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9a9013d9089981/Dokumentumok/Literature/Primusz/Pályaszerkezet-gazdálkodás az erdészeti feltáróhálózatokon/Doktori dolgozat/otleteles/"/>
    </mc:Choice>
  </mc:AlternateContent>
  <xr:revisionPtr revIDLastSave="99" documentId="11_F15DCCE84579E09C9D531E0916D0D569A717B6AF" xr6:coauthVersionLast="47" xr6:coauthVersionMax="47" xr10:uidLastSave="{E73ECD04-AA86-4345-8361-13F97158AD36}"/>
  <bookViews>
    <workbookView xWindow="0" yWindow="460" windowWidth="28760" windowHeight="14380" activeTab="1" xr2:uid="{00000000-000D-0000-FFFF-FFFF00000000}"/>
  </bookViews>
  <sheets>
    <sheet name="Munka1" sheetId="1" r:id="rId1"/>
    <sheet name="Munka2" sheetId="2" r:id="rId2"/>
    <sheet name="Munk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" l="1"/>
  <c r="H11" i="2" s="1"/>
  <c r="H10" i="2" s="1"/>
  <c r="H9" i="2" s="1"/>
  <c r="H8" i="2" s="1"/>
  <c r="H7" i="2" s="1"/>
  <c r="H6" i="2" s="1"/>
  <c r="H5" i="2" s="1"/>
  <c r="H4" i="2" s="1"/>
  <c r="H3" i="2" s="1"/>
  <c r="H2" i="2" s="1"/>
  <c r="H52" i="2"/>
  <c r="H51" i="2" s="1"/>
  <c r="H50" i="2" s="1"/>
  <c r="H49" i="2" s="1"/>
  <c r="H48" i="2" s="1"/>
  <c r="H47" i="2" s="1"/>
  <c r="H46" i="2" s="1"/>
  <c r="H45" i="2" s="1"/>
  <c r="H44" i="2" s="1"/>
  <c r="H43" i="2" s="1"/>
  <c r="H42" i="2" s="1"/>
  <c r="H41" i="2" s="1"/>
  <c r="H40" i="2" s="1"/>
  <c r="H39" i="2" s="1"/>
  <c r="H38" i="2" s="1"/>
  <c r="H37" i="2" s="1"/>
  <c r="H36" i="2" s="1"/>
  <c r="H35" i="2" s="1"/>
  <c r="H34" i="2" s="1"/>
  <c r="H33" i="2" s="1"/>
  <c r="H32" i="2" s="1"/>
  <c r="H31" i="2" s="1"/>
  <c r="H30" i="2" s="1"/>
  <c r="H29" i="2" s="1"/>
  <c r="H28" i="2" s="1"/>
  <c r="H27" i="2" s="1"/>
  <c r="H26" i="2" s="1"/>
  <c r="H25" i="2" s="1"/>
  <c r="H24" i="2" s="1"/>
  <c r="H23" i="2" s="1"/>
  <c r="H22" i="2" s="1"/>
  <c r="H21" i="2" s="1"/>
  <c r="H20" i="2" s="1"/>
  <c r="H19" i="2" s="1"/>
  <c r="H18" i="2" s="1"/>
  <c r="H17" i="2" s="1"/>
  <c r="H16" i="2" s="1"/>
  <c r="H15" i="2" s="1"/>
  <c r="H14" i="2" s="1"/>
  <c r="H13" i="2" s="1"/>
  <c r="H59" i="2"/>
  <c r="H58" i="2" s="1"/>
  <c r="H57" i="2" s="1"/>
  <c r="H56" i="2" s="1"/>
  <c r="H55" i="2" s="1"/>
  <c r="H54" i="2" s="1"/>
  <c r="H53" i="2" s="1"/>
  <c r="H60" i="2"/>
  <c r="H61" i="2"/>
  <c r="G24" i="2" l="1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3" i="2"/>
  <c r="A7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" i="2"/>
  <c r="D6" i="1"/>
  <c r="E6" i="1"/>
  <c r="F6" i="1"/>
  <c r="G6" i="1"/>
  <c r="H6" i="1"/>
  <c r="I6" i="1"/>
  <c r="J6" i="1"/>
  <c r="K6" i="1"/>
  <c r="C6" i="1"/>
  <c r="D7" i="1"/>
  <c r="E7" i="1"/>
  <c r="F7" i="1"/>
  <c r="G7" i="1"/>
  <c r="H7" i="1"/>
  <c r="I7" i="1"/>
  <c r="J7" i="1"/>
  <c r="K7" i="1"/>
  <c r="C7" i="1"/>
</calcChain>
</file>

<file path=xl/sharedStrings.xml><?xml version="1.0" encoding="utf-8"?>
<sst xmlns="http://schemas.openxmlformats.org/spreadsheetml/2006/main" count="14" uniqueCount="13">
  <si>
    <t>x  [m]</t>
  </si>
  <si>
    <t>y [microm]</t>
  </si>
  <si>
    <t>a=882</t>
  </si>
  <si>
    <t>b=-1,7</t>
  </si>
  <si>
    <t>R2=0,964</t>
  </si>
  <si>
    <t>b=4</t>
  </si>
  <si>
    <t>R2=0,955</t>
  </si>
  <si>
    <t>p</t>
  </si>
  <si>
    <t>z</t>
  </si>
  <si>
    <t>c</t>
  </si>
  <si>
    <t>Alfa</t>
  </si>
  <si>
    <t>Beta</t>
  </si>
  <si>
    <t>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</si>
</sst>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3"/>
            <c:dispRSqr val="0"/>
            <c:dispEq val="0"/>
          </c:trendline>
          <c:xVal>
            <c:numRef>
              <c:f>Munka1!$C$3:$K$3</c:f>
              <c:numCache>
                <c:formatCode>General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0.9</c:v>
                </c:pt>
                <c:pt idx="6">
                  <c:v>1.2</c:v>
                </c:pt>
                <c:pt idx="7">
                  <c:v>1.5</c:v>
                </c:pt>
                <c:pt idx="8">
                  <c:v>1.8</c:v>
                </c:pt>
              </c:numCache>
            </c:numRef>
          </c:xVal>
          <c:yVal>
            <c:numRef>
              <c:f>Munka1!$C$4:$K$4</c:f>
              <c:numCache>
                <c:formatCode>General</c:formatCode>
                <c:ptCount val="9"/>
                <c:pt idx="0">
                  <c:v>1000</c:v>
                </c:pt>
                <c:pt idx="1">
                  <c:v>780</c:v>
                </c:pt>
                <c:pt idx="2">
                  <c:v>580</c:v>
                </c:pt>
                <c:pt idx="3">
                  <c:v>380</c:v>
                </c:pt>
                <c:pt idx="4">
                  <c:v>260</c:v>
                </c:pt>
                <c:pt idx="5">
                  <c:v>140</c:v>
                </c:pt>
                <c:pt idx="6">
                  <c:v>95</c:v>
                </c:pt>
                <c:pt idx="7">
                  <c:v>70</c:v>
                </c:pt>
                <c:pt idx="8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78-BC49-8DDD-88B59D638A6C}"/>
            </c:ext>
          </c:extLst>
        </c:ser>
        <c:ser>
          <c:idx val="1"/>
          <c:order val="1"/>
          <c:tx>
            <c:strRef>
              <c:f>Munka1!$C$3:$K$3</c:f>
              <c:strCache>
                <c:ptCount val="9"/>
                <c:pt idx="0">
                  <c:v>0</c:v>
                </c:pt>
                <c:pt idx="1">
                  <c:v>0,2</c:v>
                </c:pt>
                <c:pt idx="2">
                  <c:v>0,3</c:v>
                </c:pt>
                <c:pt idx="3">
                  <c:v>0,45</c:v>
                </c:pt>
                <c:pt idx="4">
                  <c:v>0,6</c:v>
                </c:pt>
                <c:pt idx="5">
                  <c:v>0,9</c:v>
                </c:pt>
                <c:pt idx="6">
                  <c:v>1,2</c:v>
                </c:pt>
                <c:pt idx="7">
                  <c:v>1,5</c:v>
                </c:pt>
                <c:pt idx="8">
                  <c:v>1,8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Munka1!$C$3:$K$3</c:f>
              <c:numCache>
                <c:formatCode>General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0.9</c:v>
                </c:pt>
                <c:pt idx="6">
                  <c:v>1.2</c:v>
                </c:pt>
                <c:pt idx="7">
                  <c:v>1.5</c:v>
                </c:pt>
                <c:pt idx="8">
                  <c:v>1.8</c:v>
                </c:pt>
              </c:numCache>
            </c:numRef>
          </c:xVal>
          <c:yVal>
            <c:numRef>
              <c:f>Munka1!$C$7:$K$7</c:f>
              <c:numCache>
                <c:formatCode>General</c:formatCode>
                <c:ptCount val="9"/>
                <c:pt idx="0">
                  <c:v>1000</c:v>
                </c:pt>
                <c:pt idx="1">
                  <c:v>887</c:v>
                </c:pt>
                <c:pt idx="2">
                  <c:v>763</c:v>
                </c:pt>
                <c:pt idx="3">
                  <c:v>545</c:v>
                </c:pt>
                <c:pt idx="4">
                  <c:v>340</c:v>
                </c:pt>
                <c:pt idx="5">
                  <c:v>88</c:v>
                </c:pt>
                <c:pt idx="6">
                  <c:v>13</c:v>
                </c:pt>
                <c:pt idx="7">
                  <c:v>1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78-BC49-8DDD-88B59D63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1680"/>
        <c:axId val="85753216"/>
      </c:scatterChart>
      <c:valAx>
        <c:axId val="8575168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crossAx val="85753216"/>
        <c:crosses val="autoZero"/>
        <c:crossBetween val="midCat"/>
      </c:valAx>
      <c:valAx>
        <c:axId val="85753216"/>
        <c:scaling>
          <c:orientation val="maxMin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5751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Munka2!$C$4:$C$44</c:f>
              <c:numCache>
                <c:formatCode>General</c:formatCode>
                <c:ptCount val="4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  <c:pt idx="25">
                  <c:v>1250</c:v>
                </c:pt>
                <c:pt idx="26">
                  <c:v>1300</c:v>
                </c:pt>
                <c:pt idx="27">
                  <c:v>1350</c:v>
                </c:pt>
                <c:pt idx="28">
                  <c:v>1400</c:v>
                </c:pt>
                <c:pt idx="29">
                  <c:v>1450</c:v>
                </c:pt>
                <c:pt idx="30">
                  <c:v>1500</c:v>
                </c:pt>
                <c:pt idx="31">
                  <c:v>1550</c:v>
                </c:pt>
                <c:pt idx="32">
                  <c:v>1600</c:v>
                </c:pt>
                <c:pt idx="33">
                  <c:v>1650</c:v>
                </c:pt>
                <c:pt idx="34">
                  <c:v>1700</c:v>
                </c:pt>
                <c:pt idx="35">
                  <c:v>1750</c:v>
                </c:pt>
                <c:pt idx="36">
                  <c:v>1800</c:v>
                </c:pt>
                <c:pt idx="37">
                  <c:v>1850</c:v>
                </c:pt>
                <c:pt idx="38">
                  <c:v>1900</c:v>
                </c:pt>
                <c:pt idx="39">
                  <c:v>1950</c:v>
                </c:pt>
                <c:pt idx="40">
                  <c:v>2000</c:v>
                </c:pt>
              </c:numCache>
            </c:numRef>
          </c:xVal>
          <c:yVal>
            <c:numRef>
              <c:f>Munka2!$D$4:$D$44</c:f>
              <c:numCache>
                <c:formatCode>General</c:formatCode>
                <c:ptCount val="41"/>
                <c:pt idx="0">
                  <c:v>0.75</c:v>
                </c:pt>
                <c:pt idx="1">
                  <c:v>0.65853658536585369</c:v>
                </c:pt>
                <c:pt idx="2">
                  <c:v>0.48214285714285715</c:v>
                </c:pt>
                <c:pt idx="3">
                  <c:v>0.33333333333333331</c:v>
                </c:pt>
                <c:pt idx="4">
                  <c:v>0.23275862068965517</c:v>
                </c:pt>
                <c:pt idx="5">
                  <c:v>0.16770186335403728</c:v>
                </c:pt>
                <c:pt idx="6">
                  <c:v>0.125</c:v>
                </c:pt>
                <c:pt idx="7">
                  <c:v>9.6085409252669035E-2</c:v>
                </c:pt>
                <c:pt idx="8">
                  <c:v>7.5842696629213488E-2</c:v>
                </c:pt>
                <c:pt idx="9">
                  <c:v>6.1224489795918366E-2</c:v>
                </c:pt>
                <c:pt idx="10">
                  <c:v>5.0373134328358209E-2</c:v>
                </c:pt>
                <c:pt idx="11">
                  <c:v>4.2121684867394697E-2</c:v>
                </c:pt>
                <c:pt idx="12">
                  <c:v>3.5714285714285712E-2</c:v>
                </c:pt>
                <c:pt idx="13">
                  <c:v>3.0646992054483541E-2</c:v>
                </c:pt>
                <c:pt idx="14">
                  <c:v>2.6574803149606301E-2</c:v>
                </c:pt>
                <c:pt idx="15">
                  <c:v>2.3255813953488372E-2</c:v>
                </c:pt>
                <c:pt idx="16">
                  <c:v>2.0516717325227963E-2</c:v>
                </c:pt>
                <c:pt idx="17">
                  <c:v>1.8230925050641458E-2</c:v>
                </c:pt>
                <c:pt idx="18">
                  <c:v>1.6304347826086956E-2</c:v>
                </c:pt>
                <c:pt idx="19">
                  <c:v>1.4665942422596416E-2</c:v>
                </c:pt>
                <c:pt idx="20">
                  <c:v>1.3261296660117878E-2</c:v>
                </c:pt>
                <c:pt idx="21">
                  <c:v>1.2048192771084338E-2</c:v>
                </c:pt>
                <c:pt idx="22">
                  <c:v>1.0993485342019544E-2</c:v>
                </c:pt>
                <c:pt idx="23">
                  <c:v>1.0070869078701977E-2</c:v>
                </c:pt>
                <c:pt idx="24">
                  <c:v>9.2592592592592587E-3</c:v>
                </c:pt>
                <c:pt idx="25">
                  <c:v>8.5416007592534014E-3</c:v>
                </c:pt>
                <c:pt idx="26">
                  <c:v>7.9039812646370024E-3</c:v>
                </c:pt>
                <c:pt idx="27">
                  <c:v>7.3349633251833741E-3</c:v>
                </c:pt>
                <c:pt idx="28">
                  <c:v>6.8250758341759357E-3</c:v>
                </c:pt>
                <c:pt idx="29">
                  <c:v>6.3664230134402268E-3</c:v>
                </c:pt>
                <c:pt idx="30">
                  <c:v>5.9523809523809521E-3</c:v>
                </c:pt>
                <c:pt idx="31">
                  <c:v>5.5773600495765338E-3</c:v>
                </c:pt>
                <c:pt idx="32">
                  <c:v>5.2366175329712954E-3</c:v>
                </c:pt>
                <c:pt idx="33">
                  <c:v>4.9261083743842365E-3</c:v>
                </c:pt>
                <c:pt idx="34">
                  <c:v>4.642365887207703E-3</c:v>
                </c:pt>
                <c:pt idx="35">
                  <c:v>4.3824054536601197E-3</c:v>
                </c:pt>
                <c:pt idx="36">
                  <c:v>4.1436464088397788E-3</c:v>
                </c:pt>
                <c:pt idx="37">
                  <c:v>3.9238482778665889E-3</c:v>
                </c:pt>
                <c:pt idx="38">
                  <c:v>3.721058434399118E-3</c:v>
                </c:pt>
                <c:pt idx="39">
                  <c:v>3.5335689045936395E-3</c:v>
                </c:pt>
                <c:pt idx="40">
                  <c:v>3.359880537580886E-3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1E-E94E-896B-787F03078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67616"/>
        <c:axId val="63841408"/>
      </c:scatterChart>
      <c:valAx>
        <c:axId val="6396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3841408"/>
        <c:crosses val="autoZero"/>
        <c:crossBetween val="midCat"/>
      </c:valAx>
      <c:valAx>
        <c:axId val="63841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3967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Munka2!$F$2:$F$62</c:f>
              <c:numCache>
                <c:formatCode>General</c:formatCode>
                <c:ptCount val="61"/>
                <c:pt idx="0">
                  <c:v>0</c:v>
                </c:pt>
                <c:pt idx="1">
                  <c:v>10</c:v>
                </c:pt>
                <c:pt idx="2">
                  <c:v>30</c:v>
                </c:pt>
                <c:pt idx="3">
                  <c:v>50</c:v>
                </c:pt>
                <c:pt idx="4">
                  <c:v>70</c:v>
                </c:pt>
                <c:pt idx="5">
                  <c:v>90</c:v>
                </c:pt>
                <c:pt idx="6">
                  <c:v>110</c:v>
                </c:pt>
                <c:pt idx="7">
                  <c:v>130</c:v>
                </c:pt>
                <c:pt idx="8">
                  <c:v>150</c:v>
                </c:pt>
                <c:pt idx="9">
                  <c:v>170</c:v>
                </c:pt>
                <c:pt idx="10">
                  <c:v>190</c:v>
                </c:pt>
                <c:pt idx="11">
                  <c:v>210</c:v>
                </c:pt>
                <c:pt idx="12">
                  <c:v>230</c:v>
                </c:pt>
                <c:pt idx="13">
                  <c:v>250</c:v>
                </c:pt>
                <c:pt idx="14">
                  <c:v>270</c:v>
                </c:pt>
                <c:pt idx="15">
                  <c:v>290</c:v>
                </c:pt>
                <c:pt idx="16">
                  <c:v>310</c:v>
                </c:pt>
                <c:pt idx="17">
                  <c:v>330</c:v>
                </c:pt>
                <c:pt idx="18">
                  <c:v>350</c:v>
                </c:pt>
                <c:pt idx="19">
                  <c:v>370</c:v>
                </c:pt>
                <c:pt idx="20">
                  <c:v>390</c:v>
                </c:pt>
                <c:pt idx="21">
                  <c:v>410</c:v>
                </c:pt>
                <c:pt idx="22">
                  <c:v>430</c:v>
                </c:pt>
                <c:pt idx="23">
                  <c:v>450</c:v>
                </c:pt>
                <c:pt idx="24">
                  <c:v>470</c:v>
                </c:pt>
                <c:pt idx="25">
                  <c:v>490</c:v>
                </c:pt>
                <c:pt idx="26">
                  <c:v>510</c:v>
                </c:pt>
                <c:pt idx="27">
                  <c:v>530</c:v>
                </c:pt>
                <c:pt idx="28">
                  <c:v>550</c:v>
                </c:pt>
                <c:pt idx="29">
                  <c:v>570</c:v>
                </c:pt>
                <c:pt idx="30">
                  <c:v>590</c:v>
                </c:pt>
                <c:pt idx="31">
                  <c:v>610</c:v>
                </c:pt>
                <c:pt idx="32">
                  <c:v>630</c:v>
                </c:pt>
                <c:pt idx="33">
                  <c:v>650</c:v>
                </c:pt>
                <c:pt idx="34">
                  <c:v>670</c:v>
                </c:pt>
                <c:pt idx="35">
                  <c:v>690</c:v>
                </c:pt>
                <c:pt idx="36">
                  <c:v>710</c:v>
                </c:pt>
                <c:pt idx="37">
                  <c:v>730</c:v>
                </c:pt>
                <c:pt idx="38">
                  <c:v>750</c:v>
                </c:pt>
                <c:pt idx="39">
                  <c:v>770</c:v>
                </c:pt>
                <c:pt idx="40">
                  <c:v>790</c:v>
                </c:pt>
                <c:pt idx="41">
                  <c:v>810</c:v>
                </c:pt>
                <c:pt idx="42">
                  <c:v>830</c:v>
                </c:pt>
                <c:pt idx="43">
                  <c:v>850</c:v>
                </c:pt>
                <c:pt idx="44">
                  <c:v>870</c:v>
                </c:pt>
                <c:pt idx="45">
                  <c:v>890</c:v>
                </c:pt>
                <c:pt idx="46">
                  <c:v>910</c:v>
                </c:pt>
                <c:pt idx="47">
                  <c:v>930</c:v>
                </c:pt>
                <c:pt idx="48">
                  <c:v>950</c:v>
                </c:pt>
                <c:pt idx="49">
                  <c:v>970</c:v>
                </c:pt>
                <c:pt idx="50">
                  <c:v>990</c:v>
                </c:pt>
                <c:pt idx="51">
                  <c:v>1010</c:v>
                </c:pt>
                <c:pt idx="52">
                  <c:v>1030</c:v>
                </c:pt>
                <c:pt idx="53">
                  <c:v>1050</c:v>
                </c:pt>
                <c:pt idx="54">
                  <c:v>1070</c:v>
                </c:pt>
                <c:pt idx="55">
                  <c:v>1090</c:v>
                </c:pt>
                <c:pt idx="56">
                  <c:v>1110</c:v>
                </c:pt>
                <c:pt idx="57">
                  <c:v>1130</c:v>
                </c:pt>
                <c:pt idx="58">
                  <c:v>1150</c:v>
                </c:pt>
                <c:pt idx="59">
                  <c:v>1170</c:v>
                </c:pt>
                <c:pt idx="60">
                  <c:v>1190</c:v>
                </c:pt>
              </c:numCache>
            </c:numRef>
          </c:xVal>
          <c:yVal>
            <c:numRef>
              <c:f>Munka2!$H$2:$H$62</c:f>
              <c:numCache>
                <c:formatCode>General</c:formatCode>
                <c:ptCount val="61"/>
                <c:pt idx="0">
                  <c:v>1.6658070811615904</c:v>
                </c:pt>
                <c:pt idx="1">
                  <c:v>1.663290063592112</c:v>
                </c:pt>
                <c:pt idx="2">
                  <c:v>1.6475684170064411</c:v>
                </c:pt>
                <c:pt idx="3">
                  <c:v>1.6219936568181468</c:v>
                </c:pt>
                <c:pt idx="4">
                  <c:v>1.5889004253153807</c:v>
                </c:pt>
                <c:pt idx="5">
                  <c:v>1.5498616716053937</c:v>
                </c:pt>
                <c:pt idx="6">
                  <c:v>1.5061568137876209</c:v>
                </c:pt>
                <c:pt idx="7">
                  <c:v>1.4588820975519321</c:v>
                </c:pt>
                <c:pt idx="8">
                  <c:v>1.4089893393962456</c:v>
                </c:pt>
                <c:pt idx="9">
                  <c:v>1.3573035113041205</c:v>
                </c:pt>
                <c:pt idx="10">
                  <c:v>1.3045336645448526</c:v>
                </c:pt>
                <c:pt idx="11">
                  <c:v>1.2512821045122056</c:v>
                </c:pt>
                <c:pt idx="12">
                  <c:v>1.1980534532810458</c:v>
                </c:pt>
                <c:pt idx="13">
                  <c:v>1.1452639836544807</c:v>
                </c:pt>
                <c:pt idx="14">
                  <c:v>1.093251129475449</c:v>
                </c:pt>
                <c:pt idx="15">
                  <c:v>1.0422829251350014</c:v>
                </c:pt>
                <c:pt idx="16">
                  <c:v>0.99256711728220537</c:v>
                </c:pt>
                <c:pt idx="17">
                  <c:v>0.94425973913921113</c:v>
                </c:pt>
                <c:pt idx="18">
                  <c:v>0.89747300218395309</c:v>
                </c:pt>
                <c:pt idx="19">
                  <c:v>0.85228242231908691</c:v>
                </c:pt>
                <c:pt idx="20">
                  <c:v>0.80873314998594936</c:v>
                </c:pt>
                <c:pt idx="21">
                  <c:v>0.76684551365968512</c:v>
                </c:pt>
                <c:pt idx="22">
                  <c:v>0.72661981424888022</c:v>
                </c:pt>
                <c:pt idx="23">
                  <c:v>0.68804042583846237</c:v>
                </c:pt>
                <c:pt idx="24">
                  <c:v>0.65107926806193106</c:v>
                </c:pt>
                <c:pt idx="25">
                  <c:v>0.61569871921077313</c:v>
                </c:pt>
                <c:pt idx="26">
                  <c:v>0.58185403876138497</c:v>
                </c:pt>
                <c:pt idx="27">
                  <c:v>0.54949536476386185</c:v>
                </c:pt>
                <c:pt idx="28">
                  <c:v>0.51856934660232956</c:v>
                </c:pt>
                <c:pt idx="29">
                  <c:v>0.48902046782027514</c:v>
                </c:pt>
                <c:pt idx="30">
                  <c:v>0.4607921075826053</c:v>
                </c:pt>
                <c:pt idx="31">
                  <c:v>0.43382738330554538</c:v>
                </c:pt>
                <c:pt idx="32">
                  <c:v>0.40806981126968184</c:v>
                </c:pt>
                <c:pt idx="33">
                  <c:v>0.3834638167800013</c:v>
                </c:pt>
                <c:pt idx="34">
                  <c:v>0.35995512071602603</c:v>
                </c:pt>
                <c:pt idx="35">
                  <c:v>0.33749102514189361</c:v>
                </c:pt>
                <c:pt idx="36">
                  <c:v>0.31602061700537942</c:v>
                </c:pt>
                <c:pt idx="37">
                  <c:v>0.29549490581213311</c:v>
                </c:pt>
                <c:pt idx="38">
                  <c:v>0.27586690847224032</c:v>
                </c:pt>
                <c:pt idx="39">
                  <c:v>0.25709169223187461</c:v>
                </c:pt>
                <c:pt idx="40">
                  <c:v>0.23912638467425579</c:v>
                </c:pt>
                <c:pt idx="41">
                  <c:v>0.2219301581545555</c:v>
                </c:pt>
                <c:pt idx="42">
                  <c:v>0.20546419467955268</c:v>
                </c:pt>
                <c:pt idx="43">
                  <c:v>0.1896916361157564</c:v>
                </c:pt>
                <c:pt idx="44">
                  <c:v>0.1745775236748664</c:v>
                </c:pt>
                <c:pt idx="45">
                  <c:v>0.16008872985268208</c:v>
                </c:pt>
                <c:pt idx="46">
                  <c:v>0.1461938853608464</c:v>
                </c:pt>
                <c:pt idx="47">
                  <c:v>0.13286330306780719</c:v>
                </c:pt>
                <c:pt idx="48">
                  <c:v>0.12006890053710872</c:v>
                </c:pt>
                <c:pt idx="49">
                  <c:v>0.1077841224015387</c:v>
                </c:pt>
                <c:pt idx="50">
                  <c:v>9.5983863527232871E-2</c:v>
                </c:pt>
                <c:pt idx="51">
                  <c:v>8.4644393691257022E-2</c:v>
                </c:pt>
                <c:pt idx="52">
                  <c:v>7.3743284309977758E-2</c:v>
                </c:pt>
                <c:pt idx="53">
                  <c:v>6.3259337605818269E-2</c:v>
                </c:pt>
                <c:pt idx="54">
                  <c:v>5.3172518480224001E-2</c:v>
                </c:pt>
                <c:pt idx="55">
                  <c:v>4.3463889265407271E-2</c:v>
                </c:pt>
                <c:pt idx="56">
                  <c:v>3.4115547452208184E-2</c:v>
                </c:pt>
                <c:pt idx="57">
                  <c:v>2.5110566432494971E-2</c:v>
                </c:pt>
                <c:pt idx="58">
                  <c:v>1.6432939248871341E-2</c:v>
                </c:pt>
                <c:pt idx="59">
                  <c:v>8.0675253095478065E-3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E0-D949-A5E1-B580EE58B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74848"/>
        <c:axId val="1139476656"/>
      </c:scatterChart>
      <c:valAx>
        <c:axId val="113947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9476656"/>
        <c:crosses val="autoZero"/>
        <c:crossBetween val="midCat"/>
      </c:valAx>
      <c:valAx>
        <c:axId val="113947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3947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10</xdr:row>
      <xdr:rowOff>133350</xdr:rowOff>
    </xdr:from>
    <xdr:to>
      <xdr:col>21</xdr:col>
      <xdr:colOff>38100</xdr:colOff>
      <xdr:row>25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16</xdr:row>
      <xdr:rowOff>123825</xdr:rowOff>
    </xdr:from>
    <xdr:to>
      <xdr:col>18</xdr:col>
      <xdr:colOff>361950</xdr:colOff>
      <xdr:row>31</xdr:row>
      <xdr:rowOff>9525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1</xdr:row>
      <xdr:rowOff>50800</xdr:rowOff>
    </xdr:from>
    <xdr:to>
      <xdr:col>23</xdr:col>
      <xdr:colOff>25400</xdr:colOff>
      <xdr:row>15</xdr:row>
      <xdr:rowOff>12700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FF55F96-400A-A548-9395-1C2FB2FE6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workbookViewId="0">
      <selection activeCell="L15" sqref="L15"/>
    </sheetView>
  </sheetViews>
  <sheetFormatPr baseColWidth="10" defaultColWidth="8.83203125" defaultRowHeight="15" x14ac:dyDescent="0.2"/>
  <cols>
    <col min="1" max="1" width="12" bestFit="1" customWidth="1"/>
    <col min="2" max="2" width="11.6640625" customWidth="1"/>
  </cols>
  <sheetData>
    <row r="1" spans="1:15" x14ac:dyDescent="0.2">
      <c r="A1">
        <v>3</v>
      </c>
    </row>
    <row r="3" spans="1:15" x14ac:dyDescent="0.2">
      <c r="B3" s="5" t="s">
        <v>0</v>
      </c>
      <c r="C3" s="2">
        <v>0</v>
      </c>
      <c r="D3" s="2">
        <v>0.2</v>
      </c>
      <c r="E3" s="2">
        <v>0.3</v>
      </c>
      <c r="F3" s="2">
        <v>0.45</v>
      </c>
      <c r="G3" s="2">
        <v>0.6</v>
      </c>
      <c r="H3" s="2">
        <v>0.9</v>
      </c>
      <c r="I3" s="2">
        <v>1.2</v>
      </c>
      <c r="J3" s="2">
        <v>1.5</v>
      </c>
      <c r="K3" s="2">
        <v>1.8</v>
      </c>
    </row>
    <row r="4" spans="1:15" x14ac:dyDescent="0.2">
      <c r="B4" s="5" t="s">
        <v>1</v>
      </c>
      <c r="C4" s="3">
        <v>1000</v>
      </c>
      <c r="D4" s="3">
        <v>780</v>
      </c>
      <c r="E4" s="3">
        <v>580</v>
      </c>
      <c r="F4" s="3">
        <v>380</v>
      </c>
      <c r="G4" s="3">
        <v>260</v>
      </c>
      <c r="H4" s="3">
        <v>140</v>
      </c>
      <c r="I4" s="3">
        <v>95</v>
      </c>
      <c r="J4" s="3">
        <v>70</v>
      </c>
      <c r="K4" s="3">
        <v>55</v>
      </c>
    </row>
    <row r="6" spans="1:15" x14ac:dyDescent="0.2">
      <c r="B6">
        <v>1</v>
      </c>
      <c r="C6" s="4">
        <f>ROUND(882*EXP(-1.7*C3),0)</f>
        <v>882</v>
      </c>
      <c r="D6" s="4">
        <f t="shared" ref="D6:K6" si="0">ROUND(882*EXP(-1.7*D3),0)</f>
        <v>628</v>
      </c>
      <c r="E6" s="4">
        <f t="shared" si="0"/>
        <v>530</v>
      </c>
      <c r="F6" s="4">
        <f t="shared" si="0"/>
        <v>410</v>
      </c>
      <c r="G6" s="4">
        <f t="shared" si="0"/>
        <v>318</v>
      </c>
      <c r="H6" s="4">
        <f t="shared" si="0"/>
        <v>191</v>
      </c>
      <c r="I6" s="4">
        <f t="shared" si="0"/>
        <v>115</v>
      </c>
      <c r="J6" s="4">
        <f t="shared" si="0"/>
        <v>69</v>
      </c>
      <c r="K6" s="4">
        <f t="shared" si="0"/>
        <v>41</v>
      </c>
      <c r="M6" t="s">
        <v>2</v>
      </c>
      <c r="N6" t="s">
        <v>3</v>
      </c>
      <c r="O6" t="s">
        <v>4</v>
      </c>
    </row>
    <row r="7" spans="1:15" x14ac:dyDescent="0.2">
      <c r="B7">
        <v>2</v>
      </c>
      <c r="C7" s="1">
        <f t="shared" ref="C7:K7" si="1">ROUND(($C$4)*EXP(-((C3)^2)*$A$1),0)</f>
        <v>1000</v>
      </c>
      <c r="D7" s="1">
        <f t="shared" si="1"/>
        <v>887</v>
      </c>
      <c r="E7" s="1">
        <f t="shared" si="1"/>
        <v>763</v>
      </c>
      <c r="F7" s="1">
        <f t="shared" si="1"/>
        <v>545</v>
      </c>
      <c r="G7" s="1">
        <f t="shared" si="1"/>
        <v>340</v>
      </c>
      <c r="H7" s="1">
        <f t="shared" si="1"/>
        <v>88</v>
      </c>
      <c r="I7" s="1">
        <f t="shared" si="1"/>
        <v>13</v>
      </c>
      <c r="J7" s="1">
        <f t="shared" si="1"/>
        <v>1</v>
      </c>
      <c r="K7" s="1">
        <f t="shared" si="1"/>
        <v>0</v>
      </c>
      <c r="M7" t="s">
        <v>5</v>
      </c>
      <c r="O7" t="s">
        <v>6</v>
      </c>
    </row>
    <row r="8" spans="1:15" x14ac:dyDescent="0.2">
      <c r="B8">
        <v>3</v>
      </c>
    </row>
    <row r="9" spans="1:15" x14ac:dyDescent="0.2">
      <c r="B9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7" max="7" width="11.6640625" bestFit="1" customWidth="1"/>
  </cols>
  <sheetData>
    <row r="1" spans="1:10" x14ac:dyDescent="0.2">
      <c r="A1" t="s">
        <v>7</v>
      </c>
      <c r="B1" t="s">
        <v>9</v>
      </c>
    </row>
    <row r="2" spans="1:10" x14ac:dyDescent="0.2">
      <c r="A2">
        <v>0.75</v>
      </c>
      <c r="B2">
        <v>5</v>
      </c>
      <c r="F2">
        <v>0</v>
      </c>
      <c r="G2">
        <v>0</v>
      </c>
      <c r="H2">
        <f t="shared" ref="H2:H52" si="0">(((G3+G2)/2)*(F3-F2))+H3</f>
        <v>1.6658070811615904</v>
      </c>
      <c r="I2" t="s">
        <v>10</v>
      </c>
      <c r="J2">
        <v>2</v>
      </c>
    </row>
    <row r="3" spans="1:10" x14ac:dyDescent="0.2">
      <c r="C3" s="4" t="s">
        <v>8</v>
      </c>
      <c r="D3" s="4" t="s">
        <v>7</v>
      </c>
      <c r="F3">
        <v>10</v>
      </c>
      <c r="G3">
        <f>($J$4*3*150*150*($J$2*F3^$J$3)*$J$3)/(F3*(($J$2*F3^$J$3)+3*150*150)^2)</f>
        <v>5.0340351389566195E-4</v>
      </c>
      <c r="H3">
        <f t="shared" si="0"/>
        <v>1.663290063592112</v>
      </c>
      <c r="I3" t="s">
        <v>11</v>
      </c>
      <c r="J3">
        <v>1.7</v>
      </c>
    </row>
    <row r="4" spans="1:10" x14ac:dyDescent="0.2">
      <c r="C4" s="4">
        <v>0</v>
      </c>
      <c r="D4" s="4">
        <f>($A$2*4*150^2)/($B$2*C4^2+4*150^2)</f>
        <v>0.75</v>
      </c>
      <c r="F4">
        <v>30</v>
      </c>
      <c r="G4">
        <f t="shared" ref="G4:G62" si="1">($J$4*3*150*150*($J$2*F4^$J$3)*$J$3)/(F4*(($J$2*F4^$J$3)+3*150*150)^2)</f>
        <v>1.068761144671419E-3</v>
      </c>
      <c r="H4">
        <f t="shared" si="0"/>
        <v>1.6475684170064411</v>
      </c>
      <c r="I4" t="s">
        <v>12</v>
      </c>
      <c r="J4">
        <v>2</v>
      </c>
    </row>
    <row r="5" spans="1:10" x14ac:dyDescent="0.2">
      <c r="C5" s="4">
        <v>50</v>
      </c>
      <c r="D5" s="4">
        <f t="shared" ref="D5:D44" si="2">($A$2*4*150^2)/($B$2*C5^2+4*150^2)</f>
        <v>0.65853658536585369</v>
      </c>
      <c r="F5">
        <v>50</v>
      </c>
      <c r="G5">
        <f t="shared" si="1"/>
        <v>1.4887148741580024E-3</v>
      </c>
      <c r="H5">
        <f t="shared" si="0"/>
        <v>1.6219936568181468</v>
      </c>
    </row>
    <row r="6" spans="1:10" x14ac:dyDescent="0.2">
      <c r="C6" s="4">
        <v>100</v>
      </c>
      <c r="D6" s="4">
        <f t="shared" si="2"/>
        <v>0.48214285714285715</v>
      </c>
      <c r="F6">
        <v>70</v>
      </c>
      <c r="G6">
        <f t="shared" si="1"/>
        <v>1.8206082761186059E-3</v>
      </c>
      <c r="H6">
        <f t="shared" si="0"/>
        <v>1.5889004253153807</v>
      </c>
    </row>
    <row r="7" spans="1:10" x14ac:dyDescent="0.2">
      <c r="A7">
        <f>1.15*(150/SQRT(B2))</f>
        <v>77.144345223742732</v>
      </c>
      <c r="C7" s="4">
        <v>150</v>
      </c>
      <c r="D7" s="4">
        <f t="shared" si="2"/>
        <v>0.33333333333333331</v>
      </c>
      <c r="F7">
        <v>90</v>
      </c>
      <c r="G7">
        <f t="shared" si="1"/>
        <v>2.0832670948800931E-3</v>
      </c>
      <c r="H7">
        <f t="shared" si="0"/>
        <v>1.5498616716053937</v>
      </c>
    </row>
    <row r="8" spans="1:10" x14ac:dyDescent="0.2">
      <c r="C8" s="4">
        <v>200</v>
      </c>
      <c r="D8" s="4">
        <f t="shared" si="2"/>
        <v>0.23275862068965517</v>
      </c>
      <c r="F8">
        <v>110</v>
      </c>
      <c r="G8">
        <f t="shared" si="1"/>
        <v>2.2872186868971925E-3</v>
      </c>
      <c r="H8">
        <f t="shared" si="0"/>
        <v>1.5061568137876209</v>
      </c>
    </row>
    <row r="9" spans="1:10" x14ac:dyDescent="0.2">
      <c r="C9" s="4">
        <v>250</v>
      </c>
      <c r="D9" s="4">
        <f t="shared" si="2"/>
        <v>0.16770186335403728</v>
      </c>
      <c r="F9">
        <v>130</v>
      </c>
      <c r="G9">
        <f t="shared" si="1"/>
        <v>2.4402529366716911E-3</v>
      </c>
      <c r="H9">
        <f t="shared" si="0"/>
        <v>1.4588820975519321</v>
      </c>
    </row>
    <row r="10" spans="1:10" x14ac:dyDescent="0.2">
      <c r="C10" s="4">
        <v>300</v>
      </c>
      <c r="D10" s="4">
        <f t="shared" si="2"/>
        <v>0.125</v>
      </c>
      <c r="F10">
        <v>150</v>
      </c>
      <c r="G10">
        <f t="shared" si="1"/>
        <v>2.5490228788969563E-3</v>
      </c>
      <c r="H10">
        <f t="shared" si="0"/>
        <v>1.4089893393962456</v>
      </c>
    </row>
    <row r="11" spans="1:10" x14ac:dyDescent="0.2">
      <c r="C11" s="4">
        <v>350</v>
      </c>
      <c r="D11" s="4">
        <f t="shared" si="2"/>
        <v>9.6085409252669035E-2</v>
      </c>
      <c r="F11">
        <v>170</v>
      </c>
      <c r="G11">
        <f t="shared" si="1"/>
        <v>2.6195599303155581E-3</v>
      </c>
      <c r="H11">
        <f t="shared" si="0"/>
        <v>1.3573035113041205</v>
      </c>
    </row>
    <row r="12" spans="1:10" x14ac:dyDescent="0.2">
      <c r="C12" s="4">
        <v>400</v>
      </c>
      <c r="D12" s="4">
        <f t="shared" si="2"/>
        <v>7.5842696629213488E-2</v>
      </c>
      <c r="F12">
        <v>190</v>
      </c>
      <c r="G12">
        <f t="shared" si="1"/>
        <v>2.657424745611221E-3</v>
      </c>
      <c r="H12">
        <f t="shared" si="0"/>
        <v>1.3045336645448526</v>
      </c>
    </row>
    <row r="13" spans="1:10" x14ac:dyDescent="0.2">
      <c r="C13" s="4">
        <v>450</v>
      </c>
      <c r="D13" s="4">
        <f t="shared" si="2"/>
        <v>6.1224489795918366E-2</v>
      </c>
      <c r="F13">
        <v>210</v>
      </c>
      <c r="G13">
        <f t="shared" si="1"/>
        <v>2.6677312576534975E-3</v>
      </c>
      <c r="H13">
        <f t="shared" si="0"/>
        <v>1.2512821045122056</v>
      </c>
    </row>
    <row r="14" spans="1:10" x14ac:dyDescent="0.2">
      <c r="C14" s="4">
        <v>500</v>
      </c>
      <c r="D14" s="4">
        <f t="shared" si="2"/>
        <v>5.0373134328358209E-2</v>
      </c>
      <c r="F14">
        <v>230</v>
      </c>
      <c r="G14">
        <f t="shared" si="1"/>
        <v>2.6551338654624635E-3</v>
      </c>
      <c r="H14">
        <f t="shared" si="0"/>
        <v>1.1980534532810458</v>
      </c>
    </row>
    <row r="15" spans="1:10" x14ac:dyDescent="0.2">
      <c r="C15" s="4">
        <v>550</v>
      </c>
      <c r="D15" s="4">
        <f t="shared" si="2"/>
        <v>4.2121684867394697E-2</v>
      </c>
      <c r="F15">
        <v>250</v>
      </c>
      <c r="G15">
        <f t="shared" si="1"/>
        <v>2.6238130971940562E-3</v>
      </c>
      <c r="H15">
        <f t="shared" si="0"/>
        <v>1.1452639836544807</v>
      </c>
    </row>
    <row r="16" spans="1:10" x14ac:dyDescent="0.2">
      <c r="C16" s="4">
        <v>600</v>
      </c>
      <c r="D16" s="4">
        <f t="shared" si="2"/>
        <v>3.5714285714285712E-2</v>
      </c>
      <c r="F16">
        <v>270</v>
      </c>
      <c r="G16">
        <f t="shared" si="1"/>
        <v>2.5774723207091128E-3</v>
      </c>
      <c r="H16">
        <f t="shared" si="0"/>
        <v>1.093251129475449</v>
      </c>
    </row>
    <row r="17" spans="3:8" x14ac:dyDescent="0.2">
      <c r="C17" s="4">
        <v>650</v>
      </c>
      <c r="D17" s="4">
        <f t="shared" si="2"/>
        <v>3.0646992054483541E-2</v>
      </c>
      <c r="F17">
        <v>290</v>
      </c>
      <c r="G17">
        <f t="shared" si="1"/>
        <v>2.5193481133356497E-3</v>
      </c>
      <c r="H17">
        <f t="shared" si="0"/>
        <v>1.0422829251350014</v>
      </c>
    </row>
    <row r="18" spans="3:8" x14ac:dyDescent="0.2">
      <c r="C18" s="4">
        <v>700</v>
      </c>
      <c r="D18" s="4">
        <f t="shared" si="2"/>
        <v>2.6574803149606301E-2</v>
      </c>
      <c r="F18">
        <v>310</v>
      </c>
      <c r="G18">
        <f t="shared" si="1"/>
        <v>2.4522326719439622E-3</v>
      </c>
      <c r="H18">
        <f t="shared" si="0"/>
        <v>0.99256711728220537</v>
      </c>
    </row>
    <row r="19" spans="3:8" x14ac:dyDescent="0.2">
      <c r="C19" s="4">
        <v>750</v>
      </c>
      <c r="D19" s="4">
        <f t="shared" si="2"/>
        <v>2.3255813953488372E-2</v>
      </c>
      <c r="F19">
        <v>330</v>
      </c>
      <c r="G19">
        <f t="shared" si="1"/>
        <v>2.3785051423554642E-3</v>
      </c>
      <c r="H19">
        <f t="shared" si="0"/>
        <v>0.94425973913921113</v>
      </c>
    </row>
    <row r="20" spans="3:8" x14ac:dyDescent="0.2">
      <c r="C20" s="4">
        <v>800</v>
      </c>
      <c r="D20" s="4">
        <f t="shared" si="2"/>
        <v>2.0516717325227963E-2</v>
      </c>
      <c r="F20">
        <v>350</v>
      </c>
      <c r="G20">
        <f t="shared" si="1"/>
        <v>2.3001685531703364E-3</v>
      </c>
      <c r="H20">
        <f t="shared" si="0"/>
        <v>0.89747300218395309</v>
      </c>
    </row>
    <row r="21" spans="3:8" x14ac:dyDescent="0.2">
      <c r="C21" s="4">
        <v>850</v>
      </c>
      <c r="D21" s="4">
        <f t="shared" si="2"/>
        <v>1.8230925050641458E-2</v>
      </c>
      <c r="F21">
        <v>370</v>
      </c>
      <c r="G21">
        <f t="shared" si="1"/>
        <v>2.2188894333162851E-3</v>
      </c>
      <c r="H21">
        <f t="shared" si="0"/>
        <v>0.85228242231908691</v>
      </c>
    </row>
    <row r="22" spans="3:8" x14ac:dyDescent="0.2">
      <c r="C22" s="4">
        <v>900</v>
      </c>
      <c r="D22" s="4">
        <f t="shared" si="2"/>
        <v>1.6304347826086956E-2</v>
      </c>
      <c r="F22">
        <v>390</v>
      </c>
      <c r="G22">
        <f t="shared" si="1"/>
        <v>2.1360377999974736E-3</v>
      </c>
      <c r="H22">
        <f t="shared" si="0"/>
        <v>0.80873314998594936</v>
      </c>
    </row>
    <row r="23" spans="3:8" x14ac:dyDescent="0.2">
      <c r="C23" s="4">
        <v>950</v>
      </c>
      <c r="D23" s="4">
        <f t="shared" si="2"/>
        <v>1.4665942422596416E-2</v>
      </c>
      <c r="F23">
        <v>410</v>
      </c>
      <c r="G23">
        <f t="shared" si="1"/>
        <v>2.0527258326289519E-3</v>
      </c>
      <c r="H23">
        <f t="shared" si="0"/>
        <v>0.76684551365968512</v>
      </c>
    </row>
    <row r="24" spans="3:8" x14ac:dyDescent="0.2">
      <c r="C24" s="4">
        <v>1000</v>
      </c>
      <c r="D24" s="4">
        <f t="shared" si="2"/>
        <v>1.3261296660117878E-2</v>
      </c>
      <c r="F24">
        <v>430</v>
      </c>
      <c r="G24">
        <f t="shared" si="1"/>
        <v>1.9698441084515365E-3</v>
      </c>
      <c r="H24">
        <f t="shared" si="0"/>
        <v>0.72661981424888022</v>
      </c>
    </row>
    <row r="25" spans="3:8" x14ac:dyDescent="0.2">
      <c r="C25" s="4">
        <v>1050</v>
      </c>
      <c r="D25" s="4">
        <f t="shared" si="2"/>
        <v>1.2048192771084338E-2</v>
      </c>
      <c r="F25">
        <v>450</v>
      </c>
      <c r="G25">
        <f t="shared" si="1"/>
        <v>1.8880947325902453E-3</v>
      </c>
      <c r="H25">
        <f t="shared" si="0"/>
        <v>0.68804042583846237</v>
      </c>
    </row>
    <row r="26" spans="3:8" x14ac:dyDescent="0.2">
      <c r="C26" s="4">
        <v>1100</v>
      </c>
      <c r="D26" s="4">
        <f t="shared" si="2"/>
        <v>1.0993485342019544E-2</v>
      </c>
      <c r="F26">
        <v>470</v>
      </c>
      <c r="G26">
        <f t="shared" si="1"/>
        <v>1.8080210450628898E-3</v>
      </c>
      <c r="H26">
        <f t="shared" si="0"/>
        <v>0.65107926806193106</v>
      </c>
    </row>
    <row r="27" spans="3:8" x14ac:dyDescent="0.2">
      <c r="C27" s="4">
        <v>1150</v>
      </c>
      <c r="D27" s="4">
        <f t="shared" si="2"/>
        <v>1.0070869078701977E-2</v>
      </c>
      <c r="F27">
        <v>490</v>
      </c>
      <c r="G27">
        <f t="shared" si="1"/>
        <v>1.7300338400528979E-3</v>
      </c>
      <c r="H27">
        <f t="shared" si="0"/>
        <v>0.61569871921077313</v>
      </c>
    </row>
    <row r="28" spans="3:8" x14ac:dyDescent="0.2">
      <c r="C28" s="4">
        <v>1200</v>
      </c>
      <c r="D28" s="4">
        <f t="shared" si="2"/>
        <v>9.2592592592592587E-3</v>
      </c>
      <c r="F28">
        <v>510</v>
      </c>
      <c r="G28">
        <f t="shared" si="1"/>
        <v>1.6544342048859179E-3</v>
      </c>
      <c r="H28">
        <f t="shared" si="0"/>
        <v>0.58185403876138497</v>
      </c>
    </row>
    <row r="29" spans="3:8" x14ac:dyDescent="0.2">
      <c r="C29" s="4">
        <v>1250</v>
      </c>
      <c r="D29" s="4">
        <f t="shared" si="2"/>
        <v>8.5416007592534014E-3</v>
      </c>
      <c r="F29">
        <v>530</v>
      </c>
      <c r="G29">
        <f t="shared" si="1"/>
        <v>1.5814331948663962E-3</v>
      </c>
      <c r="H29">
        <f t="shared" si="0"/>
        <v>0.54949536476386185</v>
      </c>
    </row>
    <row r="30" spans="3:8" x14ac:dyDescent="0.2">
      <c r="C30" s="4">
        <v>1300</v>
      </c>
      <c r="D30" s="4">
        <f t="shared" si="2"/>
        <v>7.9039812646370024E-3</v>
      </c>
      <c r="F30">
        <v>550</v>
      </c>
      <c r="G30">
        <f t="shared" si="1"/>
        <v>1.5111686212868373E-3</v>
      </c>
      <c r="H30">
        <f t="shared" si="0"/>
        <v>0.51856934660232956</v>
      </c>
    </row>
    <row r="31" spans="3:8" x14ac:dyDescent="0.2">
      <c r="C31" s="4">
        <v>1350</v>
      </c>
      <c r="D31" s="4">
        <f t="shared" si="2"/>
        <v>7.3349633251833741E-3</v>
      </c>
      <c r="F31">
        <v>570</v>
      </c>
      <c r="G31">
        <f t="shared" si="1"/>
        <v>1.4437192569186053E-3</v>
      </c>
      <c r="H31">
        <f t="shared" si="0"/>
        <v>0.48902046782027514</v>
      </c>
    </row>
    <row r="32" spans="3:8" x14ac:dyDescent="0.2">
      <c r="C32" s="4">
        <v>1400</v>
      </c>
      <c r="D32" s="4">
        <f t="shared" si="2"/>
        <v>6.8250758341759357E-3</v>
      </c>
      <c r="F32">
        <v>590</v>
      </c>
      <c r="G32">
        <f t="shared" si="1"/>
        <v>1.3791167668483805E-3</v>
      </c>
      <c r="H32">
        <f t="shared" si="0"/>
        <v>0.4607921075826053</v>
      </c>
    </row>
    <row r="33" spans="3:8" x14ac:dyDescent="0.2">
      <c r="C33" s="4">
        <v>1450</v>
      </c>
      <c r="D33" s="4">
        <f t="shared" si="2"/>
        <v>6.3664230134402268E-3</v>
      </c>
      <c r="F33">
        <v>610</v>
      </c>
      <c r="G33">
        <f t="shared" si="1"/>
        <v>1.3173556608576098E-3</v>
      </c>
      <c r="H33">
        <f t="shared" si="0"/>
        <v>0.43382738330554538</v>
      </c>
    </row>
    <row r="34" spans="3:8" x14ac:dyDescent="0.2">
      <c r="C34" s="4">
        <v>1500</v>
      </c>
      <c r="D34" s="4">
        <f t="shared" si="2"/>
        <v>5.9523809523809521E-3</v>
      </c>
      <c r="F34">
        <v>630</v>
      </c>
      <c r="G34">
        <f t="shared" si="1"/>
        <v>1.2584015427287427E-3</v>
      </c>
      <c r="H34">
        <f t="shared" si="0"/>
        <v>0.40806981126968184</v>
      </c>
    </row>
    <row r="35" spans="3:8" x14ac:dyDescent="0.2">
      <c r="C35" s="4">
        <v>1550</v>
      </c>
      <c r="D35" s="4">
        <f t="shared" si="2"/>
        <v>5.5773600495765338E-3</v>
      </c>
      <c r="F35">
        <v>650</v>
      </c>
      <c r="G35">
        <f t="shared" si="1"/>
        <v>1.2021979062393116E-3</v>
      </c>
      <c r="H35">
        <f t="shared" si="0"/>
        <v>0.3834638167800013</v>
      </c>
    </row>
    <row r="36" spans="3:8" x14ac:dyDescent="0.2">
      <c r="C36" s="4">
        <v>1600</v>
      </c>
      <c r="D36" s="4">
        <f t="shared" si="2"/>
        <v>5.2366175329712954E-3</v>
      </c>
      <c r="F36">
        <v>670</v>
      </c>
      <c r="G36">
        <f t="shared" si="1"/>
        <v>1.1486717001582133E-3</v>
      </c>
      <c r="H36">
        <f t="shared" si="0"/>
        <v>0.35995512071602603</v>
      </c>
    </row>
    <row r="37" spans="3:8" x14ac:dyDescent="0.2">
      <c r="C37" s="4">
        <v>1650</v>
      </c>
      <c r="D37" s="4">
        <f t="shared" si="2"/>
        <v>4.9261083743842365E-3</v>
      </c>
      <c r="F37">
        <v>690</v>
      </c>
      <c r="G37">
        <f t="shared" si="1"/>
        <v>1.0977378572550307E-3</v>
      </c>
      <c r="H37">
        <f t="shared" si="0"/>
        <v>0.33749102514189361</v>
      </c>
    </row>
    <row r="38" spans="3:8" x14ac:dyDescent="0.2">
      <c r="C38" s="4">
        <v>1700</v>
      </c>
      <c r="D38" s="4">
        <f t="shared" si="2"/>
        <v>4.642365887207703E-3</v>
      </c>
      <c r="F38">
        <v>710</v>
      </c>
      <c r="G38">
        <f t="shared" si="1"/>
        <v>1.0493029563963894E-3</v>
      </c>
      <c r="H38">
        <f t="shared" si="0"/>
        <v>0.31602061700537942</v>
      </c>
    </row>
    <row r="39" spans="3:8" x14ac:dyDescent="0.2">
      <c r="C39" s="4">
        <v>1750</v>
      </c>
      <c r="D39" s="4">
        <f t="shared" si="2"/>
        <v>4.3824054536601197E-3</v>
      </c>
      <c r="F39">
        <v>730</v>
      </c>
      <c r="G39">
        <f t="shared" si="1"/>
        <v>1.0032681629282406E-3</v>
      </c>
      <c r="H39">
        <f t="shared" si="0"/>
        <v>0.29549490581213311</v>
      </c>
    </row>
    <row r="40" spans="3:8" x14ac:dyDescent="0.2">
      <c r="C40" s="4">
        <v>1800</v>
      </c>
      <c r="D40" s="4">
        <f t="shared" si="2"/>
        <v>4.1436464088397788E-3</v>
      </c>
      <c r="F40">
        <v>750</v>
      </c>
      <c r="G40">
        <f t="shared" si="1"/>
        <v>9.5953157106103886E-4</v>
      </c>
      <c r="H40">
        <f t="shared" si="0"/>
        <v>0.27586690847224032</v>
      </c>
    </row>
    <row r="41" spans="3:8" x14ac:dyDescent="0.2">
      <c r="C41" s="4">
        <v>1850</v>
      </c>
      <c r="D41" s="4">
        <f t="shared" si="2"/>
        <v>3.9238482778665889E-3</v>
      </c>
      <c r="F41">
        <v>770</v>
      </c>
      <c r="G41">
        <f t="shared" si="1"/>
        <v>9.1799005297553112E-4</v>
      </c>
      <c r="H41">
        <f t="shared" si="0"/>
        <v>0.25709169223187461</v>
      </c>
    </row>
    <row r="42" spans="3:8" x14ac:dyDescent="0.2">
      <c r="C42" s="4">
        <v>1900</v>
      </c>
      <c r="D42" s="4">
        <f t="shared" si="2"/>
        <v>3.721058434399118E-3</v>
      </c>
      <c r="F42">
        <v>790</v>
      </c>
      <c r="G42">
        <f t="shared" si="1"/>
        <v>8.7854070278635095E-4</v>
      </c>
      <c r="H42">
        <f t="shared" si="0"/>
        <v>0.23912638467425579</v>
      </c>
    </row>
    <row r="43" spans="3:8" x14ac:dyDescent="0.2">
      <c r="C43" s="4">
        <v>1950</v>
      </c>
      <c r="D43" s="4">
        <f t="shared" si="2"/>
        <v>3.5335689045936395E-3</v>
      </c>
      <c r="F43">
        <v>810</v>
      </c>
      <c r="G43">
        <f t="shared" si="1"/>
        <v>8.4108194918367711E-4</v>
      </c>
      <c r="H43">
        <f t="shared" si="0"/>
        <v>0.2219301581545555</v>
      </c>
    </row>
    <row r="44" spans="3:8" x14ac:dyDescent="0.2">
      <c r="C44" s="4">
        <v>2000</v>
      </c>
      <c r="D44" s="4">
        <f t="shared" si="2"/>
        <v>3.359880537580886E-3</v>
      </c>
      <c r="F44">
        <v>830</v>
      </c>
      <c r="G44">
        <f t="shared" si="1"/>
        <v>8.0551439831660389E-4</v>
      </c>
      <c r="H44">
        <f t="shared" si="0"/>
        <v>0.20546419467955268</v>
      </c>
    </row>
    <row r="45" spans="3:8" x14ac:dyDescent="0.2">
      <c r="F45">
        <v>850</v>
      </c>
      <c r="G45">
        <f t="shared" si="1"/>
        <v>7.7174145806302463E-4</v>
      </c>
      <c r="H45">
        <f t="shared" si="0"/>
        <v>0.1896916361157564</v>
      </c>
    </row>
    <row r="46" spans="3:8" x14ac:dyDescent="0.2">
      <c r="F46">
        <v>870</v>
      </c>
      <c r="G46">
        <f t="shared" si="1"/>
        <v>7.3966978602597584E-4</v>
      </c>
      <c r="H46">
        <f t="shared" si="0"/>
        <v>0.1745775236748664</v>
      </c>
    </row>
    <row r="47" spans="3:8" x14ac:dyDescent="0.2">
      <c r="F47">
        <v>890</v>
      </c>
      <c r="G47">
        <f t="shared" si="1"/>
        <v>7.092095961924572E-4</v>
      </c>
      <c r="H47">
        <f t="shared" si="0"/>
        <v>0.16008872985268208</v>
      </c>
    </row>
    <row r="48" spans="3:8" x14ac:dyDescent="0.2">
      <c r="F48">
        <v>910</v>
      </c>
      <c r="G48">
        <f t="shared" si="1"/>
        <v>6.8027485299110941E-4</v>
      </c>
      <c r="H48">
        <f t="shared" si="0"/>
        <v>0.1461938853608464</v>
      </c>
    </row>
    <row r="49" spans="6:8" x14ac:dyDescent="0.2">
      <c r="F49">
        <v>930</v>
      </c>
      <c r="G49">
        <f t="shared" si="1"/>
        <v>6.5278337631281282E-4</v>
      </c>
      <c r="H49">
        <f t="shared" si="0"/>
        <v>0.13286330306780719</v>
      </c>
    </row>
    <row r="50" spans="6:8" x14ac:dyDescent="0.2">
      <c r="F50">
        <v>950</v>
      </c>
      <c r="G50">
        <f t="shared" si="1"/>
        <v>6.2665687675703401E-4</v>
      </c>
      <c r="H50">
        <f t="shared" si="0"/>
        <v>0.12006890053710872</v>
      </c>
    </row>
    <row r="51" spans="6:8" x14ac:dyDescent="0.2">
      <c r="F51">
        <v>970</v>
      </c>
      <c r="G51">
        <f t="shared" si="1"/>
        <v>6.0182093679996842E-4</v>
      </c>
      <c r="H51">
        <f t="shared" si="0"/>
        <v>0.1077841224015387</v>
      </c>
    </row>
    <row r="52" spans="6:8" x14ac:dyDescent="0.2">
      <c r="F52">
        <v>990</v>
      </c>
      <c r="G52">
        <f t="shared" si="1"/>
        <v>5.7820495063061461E-4</v>
      </c>
      <c r="H52">
        <f t="shared" si="0"/>
        <v>9.5983863527232871E-2</v>
      </c>
    </row>
    <row r="53" spans="6:8" x14ac:dyDescent="0.2">
      <c r="F53">
        <v>1010</v>
      </c>
      <c r="G53">
        <f t="shared" si="1"/>
        <v>5.5574203296696989E-4</v>
      </c>
      <c r="H53">
        <f t="shared" ref="H53:H59" si="3">(((G54+G53)/2)*(F54-F53))+H54</f>
        <v>8.4644393691257022E-2</v>
      </c>
    </row>
    <row r="54" spans="6:8" x14ac:dyDescent="0.2">
      <c r="F54">
        <v>1030</v>
      </c>
      <c r="G54">
        <f t="shared" si="1"/>
        <v>5.3436890516095619E-4</v>
      </c>
      <c r="H54">
        <f t="shared" si="3"/>
        <v>7.3743284309977758E-2</v>
      </c>
    </row>
    <row r="55" spans="6:8" x14ac:dyDescent="0.2">
      <c r="F55">
        <v>1050</v>
      </c>
      <c r="G55">
        <f t="shared" si="1"/>
        <v>5.1402576525499336E-4</v>
      </c>
      <c r="H55">
        <f t="shared" si="3"/>
        <v>6.3259337605818269E-2</v>
      </c>
    </row>
    <row r="56" spans="6:8" x14ac:dyDescent="0.2">
      <c r="F56">
        <v>1070</v>
      </c>
      <c r="G56">
        <f t="shared" si="1"/>
        <v>4.9465614730443287E-4</v>
      </c>
      <c r="H56">
        <f t="shared" si="3"/>
        <v>5.3172518480224001E-2</v>
      </c>
    </row>
    <row r="57" spans="6:8" x14ac:dyDescent="0.2">
      <c r="F57">
        <v>1090</v>
      </c>
      <c r="G57">
        <f t="shared" si="1"/>
        <v>4.7620677417724029E-4</v>
      </c>
      <c r="H57">
        <f t="shared" si="3"/>
        <v>4.3463889265407271E-2</v>
      </c>
    </row>
    <row r="58" spans="6:8" x14ac:dyDescent="0.2">
      <c r="F58">
        <v>1110</v>
      </c>
      <c r="G58">
        <f t="shared" si="1"/>
        <v>4.5862740714266818E-4</v>
      </c>
      <c r="H58">
        <f t="shared" si="3"/>
        <v>3.4115547452208184E-2</v>
      </c>
    </row>
    <row r="59" spans="6:8" x14ac:dyDescent="0.2">
      <c r="F59">
        <v>1130</v>
      </c>
      <c r="G59">
        <f t="shared" si="1"/>
        <v>4.418706948286533E-4</v>
      </c>
      <c r="H59">
        <f t="shared" si="3"/>
        <v>2.5110566432494971E-2</v>
      </c>
    </row>
    <row r="60" spans="6:8" x14ac:dyDescent="0.2">
      <c r="F60">
        <v>1150</v>
      </c>
      <c r="G60">
        <f t="shared" si="1"/>
        <v>4.2589202353370974E-4</v>
      </c>
      <c r="H60">
        <f>(((G61+G60)/2)*(F61-F60))+H61</f>
        <v>1.6432939248871341E-2</v>
      </c>
    </row>
    <row r="61" spans="6:8" x14ac:dyDescent="0.2">
      <c r="F61">
        <v>1170</v>
      </c>
      <c r="G61">
        <f t="shared" si="1"/>
        <v>4.1064937039864396E-4</v>
      </c>
      <c r="H61">
        <f>((G62+G61)/2)*(F62-F61)</f>
        <v>8.0675253095478065E-3</v>
      </c>
    </row>
    <row r="62" spans="6:8" x14ac:dyDescent="0.2">
      <c r="F62">
        <v>1190</v>
      </c>
      <c r="G62">
        <f t="shared" si="1"/>
        <v>3.9610316055613655E-4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>Nyomvonal 2008 Mérnökiroda Kft.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Péter Primusz</cp:lastModifiedBy>
  <dcterms:created xsi:type="dcterms:W3CDTF">2011-03-25T10:03:47Z</dcterms:created>
  <dcterms:modified xsi:type="dcterms:W3CDTF">2021-06-23T22:04:52Z</dcterms:modified>
</cp:coreProperties>
</file>