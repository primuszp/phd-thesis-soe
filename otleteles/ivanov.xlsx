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9095" windowHeight="7395" tabRatio="574"/>
  </bookViews>
  <sheets>
    <sheet name="Munka1" sheetId="1" r:id="rId1"/>
    <sheet name="Munka2" sheetId="2" r:id="rId2"/>
    <sheet name="Munka3" sheetId="3" r:id="rId3"/>
  </sheets>
  <calcPr calcId="125725"/>
</workbook>
</file>

<file path=xl/calcChain.xml><?xml version="1.0" encoding="utf-8"?>
<calcChain xmlns="http://schemas.openxmlformats.org/spreadsheetml/2006/main">
  <c r="G46" i="1"/>
  <c r="H46" s="1"/>
  <c r="I46"/>
  <c r="J46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G6"/>
  <c r="H6" s="1"/>
  <c r="G7"/>
  <c r="H7" s="1"/>
  <c r="G8"/>
  <c r="H8" s="1"/>
  <c r="G9"/>
  <c r="H9" s="1"/>
  <c r="G10"/>
  <c r="H10" s="1"/>
  <c r="G11"/>
  <c r="H11" s="1"/>
  <c r="G12"/>
  <c r="H12" s="1"/>
  <c r="G13"/>
  <c r="H13" s="1"/>
  <c r="G14"/>
  <c r="H14" s="1"/>
  <c r="G15"/>
  <c r="H15" s="1"/>
  <c r="G16"/>
  <c r="H16" s="1"/>
  <c r="G17"/>
  <c r="H17" s="1"/>
  <c r="G18"/>
  <c r="H18" s="1"/>
  <c r="G19"/>
  <c r="H19" s="1"/>
  <c r="G20"/>
  <c r="H20" s="1"/>
  <c r="G21"/>
  <c r="H21" s="1"/>
  <c r="G22"/>
  <c r="H22" s="1"/>
  <c r="G23"/>
  <c r="H23" s="1"/>
  <c r="G24"/>
  <c r="H24" s="1"/>
  <c r="G25"/>
  <c r="H25" s="1"/>
  <c r="G26"/>
  <c r="H26" s="1"/>
  <c r="G27"/>
  <c r="H27" s="1"/>
  <c r="G28"/>
  <c r="H28" s="1"/>
  <c r="G29"/>
  <c r="H29" s="1"/>
  <c r="G30"/>
  <c r="H30" s="1"/>
  <c r="G31"/>
  <c r="H31" s="1"/>
  <c r="G32"/>
  <c r="H32" s="1"/>
  <c r="G33"/>
  <c r="H33" s="1"/>
  <c r="G34"/>
  <c r="H34" s="1"/>
  <c r="G35"/>
  <c r="H35" s="1"/>
  <c r="G36"/>
  <c r="H36" s="1"/>
  <c r="G37"/>
  <c r="H37" s="1"/>
  <c r="G38"/>
  <c r="H38" s="1"/>
  <c r="G39"/>
  <c r="H39" s="1"/>
  <c r="G40"/>
  <c r="H40" s="1"/>
  <c r="G41"/>
  <c r="H41" s="1"/>
  <c r="G42"/>
  <c r="H42" s="1"/>
  <c r="G43"/>
  <c r="H43" s="1"/>
  <c r="G44"/>
  <c r="H44" s="1"/>
  <c r="G45"/>
  <c r="H45" s="1"/>
  <c r="I5"/>
  <c r="G5" l="1"/>
  <c r="H5" l="1"/>
</calcChain>
</file>

<file path=xl/sharedStrings.xml><?xml version="1.0" encoding="utf-8"?>
<sst xmlns="http://schemas.openxmlformats.org/spreadsheetml/2006/main" count="7" uniqueCount="7">
  <si>
    <t>H</t>
  </si>
  <si>
    <t>D</t>
  </si>
  <si>
    <t>E0</t>
  </si>
  <si>
    <t>E1</t>
  </si>
  <si>
    <t>Alfa</t>
  </si>
  <si>
    <t>Ee</t>
  </si>
  <si>
    <t>h/D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</si>
</sst>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J46"/>
  <sheetViews>
    <sheetView tabSelected="1" topLeftCell="A25" workbookViewId="0">
      <selection activeCell="O39" sqref="O39"/>
    </sheetView>
  </sheetViews>
  <sheetFormatPr defaultRowHeight="15"/>
  <sheetData>
    <row r="2" spans="2:10">
      <c r="B2" t="s">
        <v>4</v>
      </c>
      <c r="C2">
        <v>1</v>
      </c>
    </row>
    <row r="4" spans="2:10">
      <c r="B4" s="1" t="s">
        <v>1</v>
      </c>
      <c r="C4" s="1" t="s">
        <v>0</v>
      </c>
      <c r="D4" s="1" t="s">
        <v>2</v>
      </c>
      <c r="E4" s="1" t="s">
        <v>3</v>
      </c>
      <c r="G4" s="1" t="s">
        <v>5</v>
      </c>
      <c r="I4" s="1" t="s">
        <v>6</v>
      </c>
    </row>
    <row r="5" spans="2:10">
      <c r="B5">
        <v>300</v>
      </c>
      <c r="C5" s="2">
        <v>0</v>
      </c>
      <c r="D5" s="2">
        <v>10</v>
      </c>
      <c r="E5" s="2">
        <v>100</v>
      </c>
      <c r="F5" s="2"/>
      <c r="G5" s="4">
        <f>ROUND($D5/(1-(2/PI())*(1-(1/(($E5/$D5)^1.4)))*ATAN((($C5*SQRT($C$2))/$B$5)*(($E5/$D5)^0.4))),2)</f>
        <v>10</v>
      </c>
      <c r="H5" s="4">
        <f>G5/E5</f>
        <v>0.1</v>
      </c>
      <c r="I5" s="3">
        <f>ROUND(C5/$B$5,2)</f>
        <v>0</v>
      </c>
      <c r="J5">
        <f>D5/E5</f>
        <v>0.1</v>
      </c>
    </row>
    <row r="6" spans="2:10">
      <c r="C6" s="2">
        <v>50</v>
      </c>
      <c r="D6" s="2">
        <v>10</v>
      </c>
      <c r="E6" s="2">
        <v>140</v>
      </c>
      <c r="F6" s="2"/>
      <c r="G6" s="4">
        <f t="shared" ref="G6:G46" si="0">ROUND($D6/(1-(2/PI())*(1-(1/(($E6/$D6)^1.4)))*ATAN((($C6*SQRT($C$2))/$B$5)*(($E6/$D6)^0.4))),2)</f>
        <v>13.84</v>
      </c>
      <c r="H6" s="4">
        <f t="shared" ref="H6:H45" si="1">G6/E6</f>
        <v>9.8857142857142852E-2</v>
      </c>
      <c r="I6" s="3">
        <f t="shared" ref="I6:I45" si="2">ROUND(C6/$B$5,2)</f>
        <v>0.17</v>
      </c>
      <c r="J6">
        <f t="shared" ref="J6:J45" si="3">D6/E6</f>
        <v>7.1428571428571425E-2</v>
      </c>
    </row>
    <row r="7" spans="2:10">
      <c r="C7" s="2">
        <v>60</v>
      </c>
      <c r="D7" s="2">
        <v>10</v>
      </c>
      <c r="E7" s="2">
        <v>155</v>
      </c>
      <c r="F7" s="2"/>
      <c r="G7" s="4">
        <f t="shared" si="0"/>
        <v>15.06</v>
      </c>
      <c r="H7" s="4">
        <f t="shared" si="1"/>
        <v>9.7161290322580654E-2</v>
      </c>
      <c r="I7" s="3">
        <f t="shared" si="2"/>
        <v>0.2</v>
      </c>
      <c r="J7">
        <f t="shared" si="3"/>
        <v>6.4516129032258063E-2</v>
      </c>
    </row>
    <row r="8" spans="2:10">
      <c r="C8" s="2">
        <v>70</v>
      </c>
      <c r="D8" s="2">
        <v>10</v>
      </c>
      <c r="E8" s="2">
        <v>170</v>
      </c>
      <c r="F8" s="2"/>
      <c r="G8" s="4">
        <f t="shared" si="0"/>
        <v>16.440000000000001</v>
      </c>
      <c r="H8" s="4">
        <f t="shared" si="1"/>
        <v>9.6705882352941183E-2</v>
      </c>
      <c r="I8" s="3">
        <f t="shared" si="2"/>
        <v>0.23</v>
      </c>
      <c r="J8">
        <f t="shared" si="3"/>
        <v>5.8823529411764705E-2</v>
      </c>
    </row>
    <row r="9" spans="2:10">
      <c r="C9" s="2">
        <v>80</v>
      </c>
      <c r="D9" s="2">
        <v>10</v>
      </c>
      <c r="E9" s="2">
        <v>190</v>
      </c>
      <c r="F9" s="2"/>
      <c r="G9" s="4">
        <f t="shared" si="0"/>
        <v>18.079999999999998</v>
      </c>
      <c r="H9" s="4">
        <f t="shared" si="1"/>
        <v>9.5157894736842094E-2</v>
      </c>
      <c r="I9" s="3">
        <f t="shared" si="2"/>
        <v>0.27</v>
      </c>
      <c r="J9">
        <f t="shared" si="3"/>
        <v>5.2631578947368418E-2</v>
      </c>
    </row>
    <row r="10" spans="2:10">
      <c r="C10" s="2">
        <v>90</v>
      </c>
      <c r="D10" s="2">
        <v>10</v>
      </c>
      <c r="E10" s="2">
        <v>200</v>
      </c>
      <c r="F10" s="2"/>
      <c r="G10" s="4">
        <f t="shared" si="0"/>
        <v>19.63</v>
      </c>
      <c r="H10" s="4">
        <f t="shared" si="1"/>
        <v>9.8150000000000001E-2</v>
      </c>
      <c r="I10" s="3">
        <f t="shared" si="2"/>
        <v>0.3</v>
      </c>
      <c r="J10">
        <f t="shared" si="3"/>
        <v>0.05</v>
      </c>
    </row>
    <row r="11" spans="2:10">
      <c r="C11" s="2">
        <v>100</v>
      </c>
      <c r="D11" s="2">
        <v>10</v>
      </c>
      <c r="E11" s="2">
        <v>230</v>
      </c>
      <c r="F11" s="2"/>
      <c r="G11" s="4">
        <f t="shared" si="0"/>
        <v>21.86</v>
      </c>
      <c r="H11" s="4">
        <f t="shared" si="1"/>
        <v>9.5043478260869563E-2</v>
      </c>
      <c r="I11" s="3">
        <f t="shared" si="2"/>
        <v>0.33</v>
      </c>
      <c r="J11">
        <f t="shared" si="3"/>
        <v>4.3478260869565216E-2</v>
      </c>
    </row>
    <row r="12" spans="2:10">
      <c r="C12" s="2">
        <v>110</v>
      </c>
      <c r="D12" s="2">
        <v>10</v>
      </c>
      <c r="E12" s="2">
        <v>250</v>
      </c>
      <c r="F12" s="2"/>
      <c r="G12" s="4">
        <f t="shared" si="0"/>
        <v>23.97</v>
      </c>
      <c r="H12" s="4">
        <f t="shared" si="1"/>
        <v>9.5879999999999993E-2</v>
      </c>
      <c r="I12" s="3">
        <f t="shared" si="2"/>
        <v>0.37</v>
      </c>
      <c r="J12">
        <f t="shared" si="3"/>
        <v>0.04</v>
      </c>
    </row>
    <row r="13" spans="2:10">
      <c r="C13" s="2">
        <v>120</v>
      </c>
      <c r="D13" s="2">
        <v>10</v>
      </c>
      <c r="E13" s="2">
        <v>270</v>
      </c>
      <c r="F13" s="2"/>
      <c r="G13" s="4">
        <f t="shared" si="0"/>
        <v>26.21</v>
      </c>
      <c r="H13" s="4">
        <f t="shared" si="1"/>
        <v>9.7074074074074077E-2</v>
      </c>
      <c r="I13" s="3">
        <f t="shared" si="2"/>
        <v>0.4</v>
      </c>
      <c r="J13">
        <f t="shared" si="3"/>
        <v>3.7037037037037035E-2</v>
      </c>
    </row>
    <row r="14" spans="2:10">
      <c r="C14" s="2">
        <v>130</v>
      </c>
      <c r="D14" s="2">
        <v>10</v>
      </c>
      <c r="E14" s="2">
        <v>290</v>
      </c>
      <c r="F14" s="2"/>
      <c r="G14" s="4">
        <f t="shared" si="0"/>
        <v>28.57</v>
      </c>
      <c r="H14" s="4">
        <f t="shared" si="1"/>
        <v>9.8517241379310352E-2</v>
      </c>
      <c r="I14" s="3">
        <f t="shared" si="2"/>
        <v>0.43</v>
      </c>
      <c r="J14">
        <f t="shared" si="3"/>
        <v>3.4482758620689655E-2</v>
      </c>
    </row>
    <row r="15" spans="2:10">
      <c r="C15" s="2">
        <v>140</v>
      </c>
      <c r="D15" s="2">
        <v>10</v>
      </c>
      <c r="E15" s="2">
        <v>330</v>
      </c>
      <c r="F15" s="2"/>
      <c r="G15" s="4">
        <f t="shared" si="0"/>
        <v>31.75</v>
      </c>
      <c r="H15" s="4">
        <f t="shared" si="1"/>
        <v>9.6212121212121207E-2</v>
      </c>
      <c r="I15" s="3">
        <f t="shared" si="2"/>
        <v>0.47</v>
      </c>
      <c r="J15">
        <f t="shared" si="3"/>
        <v>3.0303030303030304E-2</v>
      </c>
    </row>
    <row r="16" spans="2:10">
      <c r="C16" s="2">
        <v>150</v>
      </c>
      <c r="D16" s="2">
        <v>10</v>
      </c>
      <c r="E16" s="2">
        <v>360</v>
      </c>
      <c r="F16" s="2"/>
      <c r="G16" s="4">
        <f t="shared" si="0"/>
        <v>34.71</v>
      </c>
      <c r="H16" s="4">
        <f t="shared" si="1"/>
        <v>9.6416666666666664E-2</v>
      </c>
      <c r="I16" s="3">
        <f t="shared" si="2"/>
        <v>0.5</v>
      </c>
      <c r="J16">
        <f t="shared" si="3"/>
        <v>2.7777777777777776E-2</v>
      </c>
    </row>
    <row r="17" spans="3:10">
      <c r="C17" s="2">
        <v>160</v>
      </c>
      <c r="D17" s="2">
        <v>10</v>
      </c>
      <c r="E17" s="2">
        <v>390</v>
      </c>
      <c r="F17" s="2"/>
      <c r="G17" s="4">
        <f t="shared" si="0"/>
        <v>37.799999999999997</v>
      </c>
      <c r="H17" s="4">
        <f t="shared" si="1"/>
        <v>9.6923076923076917E-2</v>
      </c>
      <c r="I17" s="3">
        <f t="shared" si="2"/>
        <v>0.53</v>
      </c>
      <c r="J17">
        <f t="shared" si="3"/>
        <v>2.564102564102564E-2</v>
      </c>
    </row>
    <row r="18" spans="3:10">
      <c r="C18" s="2">
        <v>170</v>
      </c>
      <c r="D18" s="2">
        <v>10</v>
      </c>
      <c r="E18" s="2">
        <v>420</v>
      </c>
      <c r="F18" s="2"/>
      <c r="G18" s="4">
        <f t="shared" si="0"/>
        <v>40.99</v>
      </c>
      <c r="H18" s="4">
        <f t="shared" si="1"/>
        <v>9.7595238095238096E-2</v>
      </c>
      <c r="I18" s="3">
        <f t="shared" si="2"/>
        <v>0.56999999999999995</v>
      </c>
      <c r="J18">
        <f t="shared" si="3"/>
        <v>2.3809523809523808E-2</v>
      </c>
    </row>
    <row r="19" spans="3:10">
      <c r="C19" s="2">
        <v>180</v>
      </c>
      <c r="D19" s="2">
        <v>10</v>
      </c>
      <c r="E19" s="2">
        <v>450</v>
      </c>
      <c r="F19" s="2"/>
      <c r="G19" s="4">
        <f t="shared" si="0"/>
        <v>44.3</v>
      </c>
      <c r="H19" s="4">
        <f t="shared" si="1"/>
        <v>9.8444444444444432E-2</v>
      </c>
      <c r="I19" s="3">
        <f t="shared" si="2"/>
        <v>0.6</v>
      </c>
      <c r="J19">
        <f t="shared" si="3"/>
        <v>2.2222222222222223E-2</v>
      </c>
    </row>
    <row r="20" spans="3:10">
      <c r="C20" s="2">
        <v>190</v>
      </c>
      <c r="D20" s="2">
        <v>10</v>
      </c>
      <c r="E20" s="2">
        <v>480</v>
      </c>
      <c r="F20" s="2"/>
      <c r="G20" s="4">
        <f t="shared" si="0"/>
        <v>47.69</v>
      </c>
      <c r="H20" s="4">
        <f t="shared" si="1"/>
        <v>9.935416666666666E-2</v>
      </c>
      <c r="I20" s="3">
        <f t="shared" si="2"/>
        <v>0.63</v>
      </c>
      <c r="J20">
        <f t="shared" si="3"/>
        <v>2.0833333333333332E-2</v>
      </c>
    </row>
    <row r="21" spans="3:10">
      <c r="C21" s="2">
        <v>200</v>
      </c>
      <c r="D21" s="2">
        <v>10</v>
      </c>
      <c r="E21" s="2">
        <v>510</v>
      </c>
      <c r="F21" s="2"/>
      <c r="G21" s="4">
        <f t="shared" si="0"/>
        <v>51.19</v>
      </c>
      <c r="H21" s="4">
        <f t="shared" si="1"/>
        <v>0.10037254901960783</v>
      </c>
      <c r="I21" s="3">
        <f t="shared" si="2"/>
        <v>0.67</v>
      </c>
      <c r="J21">
        <f t="shared" si="3"/>
        <v>1.9607843137254902E-2</v>
      </c>
    </row>
    <row r="22" spans="3:10">
      <c r="C22" s="2">
        <v>210</v>
      </c>
      <c r="D22" s="2">
        <v>10</v>
      </c>
      <c r="E22" s="2">
        <v>560</v>
      </c>
      <c r="F22" s="2"/>
      <c r="G22" s="4">
        <f t="shared" si="0"/>
        <v>55.56</v>
      </c>
      <c r="H22" s="4">
        <f t="shared" si="1"/>
        <v>9.9214285714285713E-2</v>
      </c>
      <c r="I22" s="3">
        <f t="shared" si="2"/>
        <v>0.7</v>
      </c>
      <c r="J22">
        <f t="shared" si="3"/>
        <v>1.7857142857142856E-2</v>
      </c>
    </row>
    <row r="23" spans="3:10">
      <c r="C23" s="2">
        <v>220</v>
      </c>
      <c r="D23" s="2">
        <v>10</v>
      </c>
      <c r="E23" s="2">
        <v>590</v>
      </c>
      <c r="F23" s="2"/>
      <c r="G23" s="4">
        <f t="shared" si="0"/>
        <v>59.24</v>
      </c>
      <c r="H23" s="4">
        <f t="shared" si="1"/>
        <v>0.10040677966101695</v>
      </c>
      <c r="I23" s="3">
        <f t="shared" si="2"/>
        <v>0.73</v>
      </c>
      <c r="J23">
        <f t="shared" si="3"/>
        <v>1.6949152542372881E-2</v>
      </c>
    </row>
    <row r="24" spans="3:10">
      <c r="C24" s="2">
        <v>230</v>
      </c>
      <c r="D24" s="2">
        <v>10</v>
      </c>
      <c r="E24" s="2">
        <v>640</v>
      </c>
      <c r="F24" s="2"/>
      <c r="G24" s="4">
        <f t="shared" si="0"/>
        <v>63.8</v>
      </c>
      <c r="H24" s="4">
        <f t="shared" si="1"/>
        <v>9.9687499999999998E-2</v>
      </c>
      <c r="I24" s="3">
        <f t="shared" si="2"/>
        <v>0.77</v>
      </c>
      <c r="J24">
        <f t="shared" si="3"/>
        <v>1.5625E-2</v>
      </c>
    </row>
    <row r="25" spans="3:10">
      <c r="C25" s="2">
        <v>240</v>
      </c>
      <c r="D25" s="2">
        <v>10</v>
      </c>
      <c r="E25" s="2">
        <v>690</v>
      </c>
      <c r="F25" s="2"/>
      <c r="G25" s="4">
        <f t="shared" si="0"/>
        <v>68.45</v>
      </c>
      <c r="H25" s="4">
        <f t="shared" si="1"/>
        <v>9.9202898550724644E-2</v>
      </c>
      <c r="I25" s="3">
        <f t="shared" si="2"/>
        <v>0.8</v>
      </c>
      <c r="J25">
        <f t="shared" si="3"/>
        <v>1.4492753623188406E-2</v>
      </c>
    </row>
    <row r="26" spans="3:10">
      <c r="C26" s="2">
        <v>250</v>
      </c>
      <c r="D26" s="2">
        <v>10</v>
      </c>
      <c r="E26" s="2">
        <v>740</v>
      </c>
      <c r="F26" s="2"/>
      <c r="G26" s="4">
        <f t="shared" si="0"/>
        <v>73.19</v>
      </c>
      <c r="H26" s="4">
        <f t="shared" si="1"/>
        <v>9.8905405405405405E-2</v>
      </c>
      <c r="I26" s="3">
        <f t="shared" si="2"/>
        <v>0.83</v>
      </c>
      <c r="J26">
        <f t="shared" si="3"/>
        <v>1.3513513513513514E-2</v>
      </c>
    </row>
    <row r="27" spans="3:10">
      <c r="C27" s="2">
        <v>260</v>
      </c>
      <c r="D27" s="2">
        <v>10</v>
      </c>
      <c r="E27" s="2">
        <v>790</v>
      </c>
      <c r="F27" s="2"/>
      <c r="G27" s="4">
        <f t="shared" si="0"/>
        <v>78.02</v>
      </c>
      <c r="H27" s="4">
        <f t="shared" si="1"/>
        <v>9.8759493670886073E-2</v>
      </c>
      <c r="I27" s="3">
        <f t="shared" si="2"/>
        <v>0.87</v>
      </c>
      <c r="J27">
        <f t="shared" si="3"/>
        <v>1.2658227848101266E-2</v>
      </c>
    </row>
    <row r="28" spans="3:10">
      <c r="C28" s="2">
        <v>270</v>
      </c>
      <c r="D28" s="2">
        <v>10</v>
      </c>
      <c r="E28" s="2">
        <v>840</v>
      </c>
      <c r="F28" s="2"/>
      <c r="G28" s="4">
        <f t="shared" si="0"/>
        <v>82.93</v>
      </c>
      <c r="H28" s="4">
        <f t="shared" si="1"/>
        <v>9.8726190476190481E-2</v>
      </c>
      <c r="I28" s="3">
        <f t="shared" si="2"/>
        <v>0.9</v>
      </c>
      <c r="J28">
        <f t="shared" si="3"/>
        <v>1.1904761904761904E-2</v>
      </c>
    </row>
    <row r="29" spans="3:10">
      <c r="C29" s="2">
        <v>280</v>
      </c>
      <c r="D29" s="2">
        <v>10</v>
      </c>
      <c r="E29" s="2">
        <v>890</v>
      </c>
      <c r="F29" s="2"/>
      <c r="G29" s="4">
        <f t="shared" si="0"/>
        <v>87.91</v>
      </c>
      <c r="H29" s="4">
        <f t="shared" si="1"/>
        <v>9.8775280898876397E-2</v>
      </c>
      <c r="I29" s="3">
        <f t="shared" si="2"/>
        <v>0.93</v>
      </c>
      <c r="J29">
        <f t="shared" si="3"/>
        <v>1.1235955056179775E-2</v>
      </c>
    </row>
    <row r="30" spans="3:10">
      <c r="C30" s="2">
        <v>290</v>
      </c>
      <c r="D30" s="2">
        <v>10</v>
      </c>
      <c r="E30" s="2">
        <v>940</v>
      </c>
      <c r="F30" s="2"/>
      <c r="G30" s="4">
        <f t="shared" si="0"/>
        <v>92.98</v>
      </c>
      <c r="H30" s="4">
        <f t="shared" si="1"/>
        <v>9.8914893617021285E-2</v>
      </c>
      <c r="I30" s="3">
        <f t="shared" si="2"/>
        <v>0.97</v>
      </c>
      <c r="J30">
        <f t="shared" si="3"/>
        <v>1.0638297872340425E-2</v>
      </c>
    </row>
    <row r="31" spans="3:10">
      <c r="C31" s="2">
        <v>300</v>
      </c>
      <c r="D31" s="2">
        <v>10</v>
      </c>
      <c r="E31" s="2">
        <v>990</v>
      </c>
      <c r="F31" s="2"/>
      <c r="G31" s="4">
        <f t="shared" si="0"/>
        <v>98.13</v>
      </c>
      <c r="H31" s="4">
        <f t="shared" si="1"/>
        <v>9.912121212121211E-2</v>
      </c>
      <c r="I31" s="3">
        <f t="shared" si="2"/>
        <v>1</v>
      </c>
      <c r="J31">
        <f t="shared" si="3"/>
        <v>1.0101010101010102E-2</v>
      </c>
    </row>
    <row r="32" spans="3:10">
      <c r="C32" s="2">
        <v>310</v>
      </c>
      <c r="D32" s="2">
        <v>10</v>
      </c>
      <c r="E32" s="2">
        <v>1040</v>
      </c>
      <c r="F32" s="2"/>
      <c r="G32" s="4">
        <f t="shared" si="0"/>
        <v>103.35</v>
      </c>
      <c r="H32" s="4">
        <f t="shared" si="1"/>
        <v>9.9374999999999991E-2</v>
      </c>
      <c r="I32" s="3">
        <f t="shared" si="2"/>
        <v>1.03</v>
      </c>
      <c r="J32">
        <f t="shared" si="3"/>
        <v>9.6153846153846159E-3</v>
      </c>
    </row>
    <row r="33" spans="3:10">
      <c r="C33" s="2">
        <v>320</v>
      </c>
      <c r="D33" s="2">
        <v>10</v>
      </c>
      <c r="E33" s="2">
        <v>1090</v>
      </c>
      <c r="F33" s="2"/>
      <c r="G33" s="4">
        <f t="shared" si="0"/>
        <v>108.64</v>
      </c>
      <c r="H33" s="4">
        <f t="shared" si="1"/>
        <v>9.9669724770642204E-2</v>
      </c>
      <c r="I33" s="3">
        <f t="shared" si="2"/>
        <v>1.07</v>
      </c>
      <c r="J33">
        <f t="shared" si="3"/>
        <v>9.1743119266055051E-3</v>
      </c>
    </row>
    <row r="34" spans="3:10">
      <c r="C34" s="2">
        <v>330</v>
      </c>
      <c r="D34" s="2">
        <v>10</v>
      </c>
      <c r="E34" s="2">
        <v>1140</v>
      </c>
      <c r="F34" s="2"/>
      <c r="G34" s="4">
        <f t="shared" si="0"/>
        <v>114.01</v>
      </c>
      <c r="H34" s="4">
        <f t="shared" si="1"/>
        <v>0.10000877192982456</v>
      </c>
      <c r="I34" s="3">
        <f t="shared" si="2"/>
        <v>1.1000000000000001</v>
      </c>
      <c r="J34">
        <f t="shared" si="3"/>
        <v>8.771929824561403E-3</v>
      </c>
    </row>
    <row r="35" spans="3:10">
      <c r="C35" s="2">
        <v>340</v>
      </c>
      <c r="D35" s="2">
        <v>10</v>
      </c>
      <c r="E35" s="2">
        <v>1190</v>
      </c>
      <c r="F35" s="2"/>
      <c r="G35" s="4">
        <f t="shared" si="0"/>
        <v>119.45</v>
      </c>
      <c r="H35" s="4">
        <f t="shared" si="1"/>
        <v>0.1003781512605042</v>
      </c>
      <c r="I35" s="3">
        <f t="shared" si="2"/>
        <v>1.1299999999999999</v>
      </c>
      <c r="J35">
        <f t="shared" si="3"/>
        <v>8.4033613445378148E-3</v>
      </c>
    </row>
    <row r="36" spans="3:10">
      <c r="C36" s="2">
        <v>350</v>
      </c>
      <c r="D36" s="2">
        <v>10</v>
      </c>
      <c r="E36" s="2">
        <v>1240</v>
      </c>
      <c r="F36" s="2"/>
      <c r="G36" s="4">
        <f t="shared" si="0"/>
        <v>124.96</v>
      </c>
      <c r="H36" s="4">
        <f t="shared" si="1"/>
        <v>0.1007741935483871</v>
      </c>
      <c r="I36" s="3">
        <f t="shared" si="2"/>
        <v>1.17</v>
      </c>
      <c r="J36">
        <f t="shared" si="3"/>
        <v>8.0645161290322578E-3</v>
      </c>
    </row>
    <row r="37" spans="3:10">
      <c r="C37" s="2">
        <v>360</v>
      </c>
      <c r="D37" s="2">
        <v>10</v>
      </c>
      <c r="E37" s="2">
        <v>1290</v>
      </c>
      <c r="F37" s="2"/>
      <c r="G37" s="4">
        <f t="shared" si="0"/>
        <v>130.54</v>
      </c>
      <c r="H37" s="4">
        <f t="shared" si="1"/>
        <v>0.10119379844961239</v>
      </c>
      <c r="I37" s="3">
        <f t="shared" si="2"/>
        <v>1.2</v>
      </c>
      <c r="J37">
        <f t="shared" si="3"/>
        <v>7.7519379844961239E-3</v>
      </c>
    </row>
    <row r="38" spans="3:10">
      <c r="C38" s="2">
        <v>370</v>
      </c>
      <c r="D38" s="2">
        <v>10</v>
      </c>
      <c r="E38" s="2">
        <v>1340</v>
      </c>
      <c r="F38" s="2"/>
      <c r="G38" s="4">
        <f t="shared" si="0"/>
        <v>136.18</v>
      </c>
      <c r="H38" s="4">
        <f t="shared" si="1"/>
        <v>0.10162686567164179</v>
      </c>
      <c r="I38" s="3">
        <f t="shared" si="2"/>
        <v>1.23</v>
      </c>
      <c r="J38">
        <f t="shared" si="3"/>
        <v>7.462686567164179E-3</v>
      </c>
    </row>
    <row r="39" spans="3:10">
      <c r="C39" s="2">
        <v>380</v>
      </c>
      <c r="D39" s="2">
        <v>10</v>
      </c>
      <c r="E39" s="2">
        <v>1390</v>
      </c>
      <c r="F39" s="2"/>
      <c r="G39" s="4">
        <f t="shared" si="0"/>
        <v>141.88999999999999</v>
      </c>
      <c r="H39" s="4">
        <f t="shared" si="1"/>
        <v>0.10207913669064747</v>
      </c>
      <c r="I39" s="3">
        <f t="shared" si="2"/>
        <v>1.27</v>
      </c>
      <c r="J39">
        <f t="shared" si="3"/>
        <v>7.1942446043165471E-3</v>
      </c>
    </row>
    <row r="40" spans="3:10">
      <c r="C40" s="2">
        <v>390</v>
      </c>
      <c r="D40" s="2">
        <v>10</v>
      </c>
      <c r="E40" s="2">
        <v>1460</v>
      </c>
      <c r="F40" s="2"/>
      <c r="G40" s="4">
        <f t="shared" si="0"/>
        <v>148.5</v>
      </c>
      <c r="H40" s="4">
        <f t="shared" si="1"/>
        <v>0.10171232876712329</v>
      </c>
      <c r="I40" s="3">
        <f t="shared" si="2"/>
        <v>1.3</v>
      </c>
      <c r="J40">
        <f t="shared" si="3"/>
        <v>6.8493150684931503E-3</v>
      </c>
    </row>
    <row r="41" spans="3:10">
      <c r="C41" s="2">
        <v>400</v>
      </c>
      <c r="D41" s="2">
        <v>10</v>
      </c>
      <c r="E41" s="2">
        <v>1550</v>
      </c>
      <c r="F41" s="2"/>
      <c r="G41" s="4">
        <f t="shared" si="0"/>
        <v>156.01</v>
      </c>
      <c r="H41" s="4">
        <f t="shared" si="1"/>
        <v>0.1006516129032258</v>
      </c>
      <c r="I41" s="3">
        <f t="shared" si="2"/>
        <v>1.33</v>
      </c>
      <c r="J41">
        <f t="shared" si="3"/>
        <v>6.4516129032258064E-3</v>
      </c>
    </row>
    <row r="42" spans="3:10">
      <c r="C42" s="2">
        <v>410</v>
      </c>
      <c r="D42" s="2">
        <v>10</v>
      </c>
      <c r="E42" s="2">
        <v>1640</v>
      </c>
      <c r="F42" s="2"/>
      <c r="G42" s="4">
        <f t="shared" si="0"/>
        <v>163.57</v>
      </c>
      <c r="H42" s="4">
        <f t="shared" si="1"/>
        <v>9.9737804878048772E-2</v>
      </c>
      <c r="I42" s="3">
        <f t="shared" si="2"/>
        <v>1.37</v>
      </c>
      <c r="J42">
        <f t="shared" si="3"/>
        <v>6.0975609756097563E-3</v>
      </c>
    </row>
    <row r="43" spans="3:10">
      <c r="C43" s="2">
        <v>420</v>
      </c>
      <c r="D43" s="2">
        <v>10</v>
      </c>
      <c r="E43" s="2">
        <v>1730</v>
      </c>
      <c r="F43" s="2"/>
      <c r="G43" s="4">
        <f t="shared" si="0"/>
        <v>171.19</v>
      </c>
      <c r="H43" s="4">
        <f t="shared" si="1"/>
        <v>9.8953757225433522E-2</v>
      </c>
      <c r="I43" s="3">
        <f t="shared" si="2"/>
        <v>1.4</v>
      </c>
      <c r="J43">
        <f t="shared" si="3"/>
        <v>5.7803468208092483E-3</v>
      </c>
    </row>
    <row r="44" spans="3:10">
      <c r="C44" s="2">
        <v>430</v>
      </c>
      <c r="D44" s="2">
        <v>10</v>
      </c>
      <c r="E44" s="2">
        <v>1820</v>
      </c>
      <c r="F44" s="2"/>
      <c r="G44" s="4">
        <f t="shared" si="0"/>
        <v>178.87</v>
      </c>
      <c r="H44" s="4">
        <f t="shared" si="1"/>
        <v>9.828021978021978E-2</v>
      </c>
      <c r="I44" s="3">
        <f t="shared" si="2"/>
        <v>1.43</v>
      </c>
      <c r="J44">
        <f t="shared" si="3"/>
        <v>5.4945054945054949E-3</v>
      </c>
    </row>
    <row r="45" spans="3:10">
      <c r="C45" s="2">
        <v>440</v>
      </c>
      <c r="D45" s="2">
        <v>10</v>
      </c>
      <c r="E45" s="2">
        <v>1910</v>
      </c>
      <c r="F45" s="2"/>
      <c r="G45" s="4">
        <f t="shared" si="0"/>
        <v>186.61</v>
      </c>
      <c r="H45" s="4">
        <f t="shared" si="1"/>
        <v>9.7701570680628277E-2</v>
      </c>
      <c r="I45" s="3">
        <f t="shared" si="2"/>
        <v>1.47</v>
      </c>
      <c r="J45">
        <f t="shared" si="3"/>
        <v>5.235602094240838E-3</v>
      </c>
    </row>
    <row r="46" spans="3:10">
      <c r="C46" s="2">
        <v>450</v>
      </c>
      <c r="D46" s="2">
        <v>10</v>
      </c>
      <c r="E46" s="2">
        <v>1910</v>
      </c>
      <c r="F46" s="2"/>
      <c r="G46" s="4">
        <f t="shared" si="0"/>
        <v>190.78</v>
      </c>
      <c r="H46" s="4">
        <f t="shared" ref="H46" si="4">G46/E46</f>
        <v>9.98848167539267E-2</v>
      </c>
      <c r="I46" s="3">
        <f t="shared" ref="I46" si="5">ROUND(C46/$B$5,2)</f>
        <v>1.5</v>
      </c>
      <c r="J46">
        <f t="shared" ref="J46" si="6">D46/E46</f>
        <v>5.235602094240838E-3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Primusz Péter</dc:creator>
  <cp:lastModifiedBy>Primusz Péter</cp:lastModifiedBy>
  <dcterms:created xsi:type="dcterms:W3CDTF">2008-10-21T19:06:47Z</dcterms:created>
  <dcterms:modified xsi:type="dcterms:W3CDTF">2008-10-21T20:06:04Z</dcterms:modified>
</cp:coreProperties>
</file>