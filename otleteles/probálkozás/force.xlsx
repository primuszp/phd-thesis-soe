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8990" windowHeight="7995"/>
  </bookViews>
  <sheets>
    <sheet name="Munka1" sheetId="1" r:id="rId1"/>
    <sheet name="Munka2" sheetId="2" r:id="rId2"/>
    <sheet name="Munka3" sheetId="3" r:id="rId3"/>
  </sheets>
  <calcPr calcId="125725"/>
</workbook>
</file>

<file path=xl/calcChain.xml><?xml version="1.0" encoding="utf-8"?>
<calcChain xmlns="http://schemas.openxmlformats.org/spreadsheetml/2006/main">
  <c r="E21" i="1"/>
  <c r="F21"/>
  <c r="G21"/>
  <c r="H21"/>
  <c r="I21"/>
  <c r="J21"/>
  <c r="D21"/>
  <c r="D28"/>
  <c r="E28"/>
  <c r="F28"/>
  <c r="G28"/>
  <c r="H28"/>
  <c r="I28"/>
  <c r="J28"/>
  <c r="B16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7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B18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V4"/>
  <c r="V5"/>
  <c r="V6"/>
  <c r="V7"/>
  <c r="V8"/>
  <c r="V9"/>
  <c r="V10"/>
  <c r="V11"/>
  <c r="V12"/>
  <c r="V13"/>
  <c r="V14"/>
  <c r="V3"/>
  <c r="U14"/>
  <c r="U4"/>
  <c r="U5"/>
  <c r="U6"/>
  <c r="U7"/>
  <c r="U8"/>
  <c r="U9"/>
  <c r="U10"/>
  <c r="U11"/>
  <c r="U12"/>
  <c r="U13"/>
  <c r="U3"/>
  <c r="M1"/>
  <c r="N1"/>
  <c r="O1"/>
  <c r="P1"/>
  <c r="Q1"/>
  <c r="L1"/>
  <c r="T5"/>
  <c r="M3"/>
  <c r="N3"/>
  <c r="O3"/>
  <c r="P3"/>
  <c r="Q3"/>
  <c r="L3"/>
  <c r="A18"/>
  <c r="A17"/>
  <c r="A16"/>
  <c r="C4"/>
  <c r="C5"/>
  <c r="C6"/>
  <c r="C7"/>
  <c r="C8"/>
  <c r="C9"/>
  <c r="C10"/>
  <c r="C11"/>
  <c r="C12"/>
  <c r="C13"/>
  <c r="C14"/>
  <c r="C3"/>
  <c r="T7"/>
  <c r="T9"/>
  <c r="T11"/>
  <c r="T13"/>
  <c r="T3"/>
  <c r="T6" l="1"/>
  <c r="T4"/>
  <c r="T14"/>
  <c r="T12"/>
  <c r="T10"/>
  <c r="T8"/>
  <c r="L4"/>
  <c r="M4"/>
  <c r="N4"/>
  <c r="O4"/>
  <c r="P4"/>
  <c r="Q4"/>
  <c r="L5"/>
  <c r="M5"/>
  <c r="N5"/>
  <c r="O5"/>
  <c r="P5"/>
  <c r="Q5"/>
  <c r="L6"/>
  <c r="M6"/>
  <c r="N6"/>
  <c r="O6"/>
  <c r="P6"/>
  <c r="Q6"/>
  <c r="L7"/>
  <c r="M7"/>
  <c r="N7"/>
  <c r="O7"/>
  <c r="P7"/>
  <c r="Q7"/>
  <c r="L8"/>
  <c r="M8"/>
  <c r="N8"/>
  <c r="O8"/>
  <c r="P8"/>
  <c r="Q8"/>
  <c r="L9"/>
  <c r="M9"/>
  <c r="N9"/>
  <c r="O9"/>
  <c r="P9"/>
  <c r="Q9"/>
  <c r="L10"/>
  <c r="M10"/>
  <c r="N10"/>
  <c r="O10"/>
  <c r="P10"/>
  <c r="Q10"/>
  <c r="L11"/>
  <c r="M11"/>
  <c r="N11"/>
  <c r="O11"/>
  <c r="P11"/>
  <c r="Q11"/>
  <c r="L12"/>
  <c r="M12"/>
  <c r="N12"/>
  <c r="O12"/>
  <c r="P12"/>
  <c r="Q12"/>
  <c r="L13"/>
  <c r="M13"/>
  <c r="N13"/>
  <c r="O13"/>
  <c r="P13"/>
  <c r="Q13"/>
  <c r="L14"/>
  <c r="M14"/>
  <c r="N14"/>
  <c r="O14"/>
  <c r="P14"/>
  <c r="Q14"/>
  <c r="B4"/>
  <c r="B5"/>
  <c r="B6"/>
  <c r="B7"/>
  <c r="B8"/>
  <c r="B9"/>
  <c r="B10"/>
  <c r="B11"/>
  <c r="B12"/>
  <c r="B13"/>
  <c r="B14"/>
  <c r="B3"/>
  <c r="S14" l="1"/>
  <c r="R14"/>
  <c r="S13"/>
  <c r="R13"/>
  <c r="S12"/>
  <c r="R12"/>
  <c r="S11"/>
  <c r="R11"/>
  <c r="S10"/>
  <c r="R10"/>
  <c r="S9"/>
  <c r="R9"/>
  <c r="S8"/>
  <c r="R8"/>
  <c r="S7"/>
  <c r="R7"/>
  <c r="S6"/>
  <c r="R6"/>
  <c r="S5"/>
  <c r="R5"/>
  <c r="S4"/>
  <c r="R4"/>
  <c r="S3"/>
  <c r="R3"/>
  <c r="K4"/>
  <c r="K5"/>
  <c r="K6"/>
  <c r="K7"/>
  <c r="K8"/>
  <c r="K9"/>
  <c r="K10"/>
  <c r="K11"/>
  <c r="K12"/>
  <c r="K13"/>
  <c r="K14"/>
  <c r="K3"/>
</calcChain>
</file>

<file path=xl/sharedStrings.xml><?xml version="1.0" encoding="utf-8"?>
<sst xmlns="http://schemas.openxmlformats.org/spreadsheetml/2006/main" count="22" uniqueCount="15">
  <si>
    <t>FORCE</t>
  </si>
  <si>
    <t>D1</t>
  </si>
  <si>
    <t>D2</t>
  </si>
  <si>
    <t>D3</t>
  </si>
  <si>
    <t>D4</t>
  </si>
  <si>
    <t>D5</t>
  </si>
  <si>
    <t>D6</t>
  </si>
  <si>
    <t>D7</t>
  </si>
  <si>
    <t>α</t>
  </si>
  <si>
    <t>β</t>
  </si>
  <si>
    <t>p</t>
  </si>
  <si>
    <t>c</t>
  </si>
  <si>
    <r>
      <t>r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p</t>
    </r>
  </si>
  <si>
    <t>R</t>
  </si>
  <si>
    <r>
      <t>c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p</t>
    </r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</si>
</sst>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b/>
      <i/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ál" xfId="0" builtinId="0"/>
    <cellStyle name="Normál_M5_meglevon_korrelacio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solidFill>
                <a:schemeClr val="accent1"/>
              </a:solidFill>
            </a:ln>
          </c:spPr>
          <c:xVal>
            <c:numRef>
              <c:f>Munka1!$D$1:$J$1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Munka1!$D$28:$J$28</c:f>
              <c:numCache>
                <c:formatCode>General</c:formatCode>
                <c:ptCount val="7"/>
                <c:pt idx="0">
                  <c:v>203.125</c:v>
                </c:pt>
                <c:pt idx="1">
                  <c:v>182.19304365158462</c:v>
                </c:pt>
                <c:pt idx="2">
                  <c:v>161.40246324990068</c:v>
                </c:pt>
                <c:pt idx="3">
                  <c:v>128.42804078084248</c:v>
                </c:pt>
                <c:pt idx="4">
                  <c:v>99.864798426745324</c:v>
                </c:pt>
                <c:pt idx="5">
                  <c:v>61.062678490906357</c:v>
                </c:pt>
                <c:pt idx="6">
                  <c:v>39.549260124610591</c:v>
                </c:pt>
              </c:numCache>
            </c:numRef>
          </c:yVal>
        </c:ser>
        <c:ser>
          <c:idx val="1"/>
          <c:order val="1"/>
          <c:marker>
            <c:symbol val="circle"/>
            <c:size val="4"/>
          </c:marker>
          <c:xVal>
            <c:numRef>
              <c:f>Munka1!$D$1:$J$1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Munka1!$D$21:$J$21</c:f>
              <c:numCache>
                <c:formatCode>General</c:formatCode>
                <c:ptCount val="7"/>
                <c:pt idx="0">
                  <c:v>198.90682326774251</c:v>
                </c:pt>
                <c:pt idx="1">
                  <c:v>180.13296532598937</c:v>
                </c:pt>
                <c:pt idx="2">
                  <c:v>161.12338863324626</c:v>
                </c:pt>
                <c:pt idx="3">
                  <c:v>130.20657770574749</c:v>
                </c:pt>
                <c:pt idx="4">
                  <c:v>102.63509972535732</c:v>
                </c:pt>
                <c:pt idx="5">
                  <c:v>63.946897047980237</c:v>
                </c:pt>
                <c:pt idx="6">
                  <c:v>41.857496478902043</c:v>
                </c:pt>
              </c:numCache>
            </c:numRef>
          </c:yVal>
        </c:ser>
        <c:axId val="135333376"/>
        <c:axId val="135334912"/>
      </c:scatterChart>
      <c:valAx>
        <c:axId val="135333376"/>
        <c:scaling>
          <c:orientation val="minMax"/>
        </c:scaling>
        <c:axPos val="t"/>
        <c:numFmt formatCode="General" sourceLinked="1"/>
        <c:tickLblPos val="nextTo"/>
        <c:crossAx val="135334912"/>
        <c:crosses val="autoZero"/>
        <c:crossBetween val="midCat"/>
      </c:valAx>
      <c:valAx>
        <c:axId val="135334912"/>
        <c:scaling>
          <c:orientation val="maxMin"/>
        </c:scaling>
        <c:axPos val="l"/>
        <c:majorGridlines/>
        <c:numFmt formatCode="General" sourceLinked="1"/>
        <c:tickLblPos val="nextTo"/>
        <c:crossAx val="135333376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22</xdr:row>
      <xdr:rowOff>76200</xdr:rowOff>
    </xdr:from>
    <xdr:to>
      <xdr:col>23</xdr:col>
      <xdr:colOff>476250</xdr:colOff>
      <xdr:row>40</xdr:row>
      <xdr:rowOff>0</xdr:rowOff>
    </xdr:to>
    <xdr:graphicFrame macro="">
      <xdr:nvGraphicFramePr>
        <xdr:cNvPr id="9" name="Diagram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>
      <selection activeCell="D21" sqref="D21"/>
    </sheetView>
  </sheetViews>
  <sheetFormatPr defaultRowHeight="15"/>
  <cols>
    <col min="1" max="1" width="7.42578125" customWidth="1"/>
    <col min="2" max="3" width="6.28515625" customWidth="1"/>
    <col min="4" max="10" width="6.7109375" customWidth="1"/>
    <col min="11" max="17" width="8.7109375" customWidth="1"/>
  </cols>
  <sheetData>
    <row r="1" spans="1:24">
      <c r="D1" s="1">
        <v>0</v>
      </c>
      <c r="E1" s="2">
        <v>200</v>
      </c>
      <c r="F1" s="2">
        <v>300</v>
      </c>
      <c r="G1" s="2">
        <v>450</v>
      </c>
      <c r="H1" s="2">
        <v>600</v>
      </c>
      <c r="I1" s="2">
        <v>900</v>
      </c>
      <c r="J1" s="2">
        <v>1200</v>
      </c>
      <c r="K1" s="7">
        <v>0</v>
      </c>
      <c r="L1" s="8">
        <f>LOG10(E1)</f>
        <v>2.3010299956639813</v>
      </c>
      <c r="M1" s="8">
        <f t="shared" ref="M1:Q1" si="0">LOG10(F1)</f>
        <v>2.4771212547196626</v>
      </c>
      <c r="N1" s="8">
        <f t="shared" si="0"/>
        <v>2.6532125137753435</v>
      </c>
      <c r="O1" s="8">
        <f t="shared" si="0"/>
        <v>2.7781512503836434</v>
      </c>
      <c r="P1" s="8">
        <f t="shared" si="0"/>
        <v>2.9542425094393248</v>
      </c>
      <c r="Q1" s="8">
        <f t="shared" si="0"/>
        <v>3.0791812460476247</v>
      </c>
    </row>
    <row r="2" spans="1:24" ht="18">
      <c r="A2" s="6" t="s">
        <v>0</v>
      </c>
      <c r="B2" s="6" t="s">
        <v>10</v>
      </c>
      <c r="C2" s="6" t="s">
        <v>12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6</v>
      </c>
      <c r="Q2" s="6" t="s">
        <v>7</v>
      </c>
      <c r="R2" s="11" t="s">
        <v>8</v>
      </c>
      <c r="S2" s="11" t="s">
        <v>9</v>
      </c>
      <c r="T2" s="6" t="s">
        <v>11</v>
      </c>
      <c r="U2" s="6" t="s">
        <v>13</v>
      </c>
      <c r="V2" s="6" t="s">
        <v>14</v>
      </c>
      <c r="W2" s="6"/>
      <c r="X2" s="6"/>
    </row>
    <row r="3" spans="1:24">
      <c r="A3" s="3">
        <v>26.7057</v>
      </c>
      <c r="B3" s="3">
        <f>ROUND(A3/(150*150*PI())*1000,2)</f>
        <v>0.38</v>
      </c>
      <c r="C3" s="4">
        <f>ROUND(SQRT(A3*1000/(0.71*PI())),0)</f>
        <v>109</v>
      </c>
      <c r="D3" s="4">
        <v>213.8</v>
      </c>
      <c r="E3" s="4">
        <v>186.4</v>
      </c>
      <c r="F3" s="4">
        <v>167.8</v>
      </c>
      <c r="G3" s="4">
        <v>136.19999999999999</v>
      </c>
      <c r="H3" s="4">
        <v>115.7</v>
      </c>
      <c r="I3" s="4">
        <v>72.7</v>
      </c>
      <c r="J3" s="4">
        <v>45.2</v>
      </c>
      <c r="K3" s="9">
        <f>D3/1000</f>
        <v>0.21380000000000002</v>
      </c>
      <c r="L3" s="10">
        <f t="shared" ref="L3:L14" si="1">LOG10((((4*150*150)*$D3)/E3)-((4*150*150)))</f>
        <v>4.1215471642417496</v>
      </c>
      <c r="M3" s="10">
        <f t="shared" ref="M3" si="2">LOG10((((4*150*150)*$D3)/F3)-((4*150*150)))</f>
        <v>4.3922083846282174</v>
      </c>
      <c r="N3" s="10">
        <f t="shared" ref="N3" si="3">LOG10((((4*150*150)*$D3)/G3)-((4*150*150)))</f>
        <v>4.7099271231207469</v>
      </c>
      <c r="O3" s="10">
        <f t="shared" ref="O3" si="4">LOG10((((4*150*150)*$D3)/H3)-((4*150*150)))</f>
        <v>4.882578157867524</v>
      </c>
      <c r="P3" s="10">
        <f t="shared" ref="P3" si="5">LOG10((((4*150*150)*$D3)/I3)-((4*150*150)))</f>
        <v>5.2422351123346349</v>
      </c>
      <c r="Q3" s="10">
        <f t="shared" ref="Q3" si="6">LOG10((((4*150*150)*$D3)/J3)-((4*150*150)))</f>
        <v>5.5259616449166664</v>
      </c>
      <c r="R3" s="12">
        <f t="shared" ref="R3:R14" si="7">10^(INTERCEPT(L3:Q3,$L$1:$Q$1))</f>
        <v>0.9507640513685971</v>
      </c>
      <c r="S3" s="12">
        <f t="shared" ref="S3:S14" si="8">LINEST(L3:Q3,$L$1:$Q$1)</f>
        <v>1.7857618921239331</v>
      </c>
      <c r="T3" s="9">
        <f>ROUND(10^((SUM(L3:P3)-2*SUM($L$1:$P$1))/5),3)</f>
        <v>0.254</v>
      </c>
      <c r="U3" s="9">
        <f>ROUND(((2*150^2)/(T3*K3))/1000,3)</f>
        <v>828.65</v>
      </c>
      <c r="V3" s="9">
        <f>ROUND(0.9*A3/(U3*K3),3)</f>
        <v>0.13600000000000001</v>
      </c>
    </row>
    <row r="4" spans="1:24">
      <c r="A4" s="3">
        <v>26.847000000000001</v>
      </c>
      <c r="B4" s="3">
        <f t="shared" ref="B4:B14" si="9">ROUND(A4/(150*150*PI())*1000,2)</f>
        <v>0.38</v>
      </c>
      <c r="C4" s="4">
        <f t="shared" ref="C4:C14" si="10">ROUND(SQRT(A4*1000/(0.71*PI())),0)</f>
        <v>110</v>
      </c>
      <c r="D4" s="4">
        <v>201.6</v>
      </c>
      <c r="E4" s="4">
        <v>175.2</v>
      </c>
      <c r="F4" s="4">
        <v>156.69999999999999</v>
      </c>
      <c r="G4" s="4">
        <v>127.5</v>
      </c>
      <c r="H4" s="4">
        <v>108.1</v>
      </c>
      <c r="I4" s="4">
        <v>68.099999999999994</v>
      </c>
      <c r="J4" s="4">
        <v>41.6</v>
      </c>
      <c r="K4" s="9">
        <f t="shared" ref="K4:K14" si="11">D4/1000</f>
        <v>0.2016</v>
      </c>
      <c r="L4" s="10">
        <f t="shared" si="1"/>
        <v>4.1323123344770938</v>
      </c>
      <c r="M4" s="10">
        <f t="shared" ref="M4:M14" si="12">LOG10((((4*150*150)*$D4)/F4)-((4*150*150)))</f>
        <v>4.4114198539740581</v>
      </c>
      <c r="N4" s="10">
        <f t="shared" ref="N4:N14" si="13">LOG10((((4*150*150)*$D4)/G4)-((4*150*150)))</f>
        <v>4.7185505326486794</v>
      </c>
      <c r="O4" s="10">
        <f t="shared" ref="O4:O14" si="14">LOG10((((4*150*150)*$D4)/H4)-((4*150*150)))</f>
        <v>4.8912284263585324</v>
      </c>
      <c r="P4" s="10">
        <f t="shared" ref="P4:P14" si="15">LOG10((((4*150*150)*$D4)/I4)-((4*150*150)))</f>
        <v>5.2465766632271338</v>
      </c>
      <c r="Q4" s="10">
        <f t="shared" ref="Q4:Q14" si="16">LOG10((((4*150*150)*$D4)/J4)-((4*150*150)))</f>
        <v>5.539269161468507</v>
      </c>
      <c r="R4" s="12">
        <f t="shared" si="7"/>
        <v>1.0128873692801021</v>
      </c>
      <c r="S4" s="12">
        <f t="shared" si="8"/>
        <v>1.7796034602086472</v>
      </c>
      <c r="T4" s="9">
        <f t="shared" ref="T4:T14" si="17">ROUND(10^((SUM(L4:P4)-2*SUM($L$1:$P$1))/5),3)</f>
        <v>0.26</v>
      </c>
      <c r="U4" s="9">
        <f t="shared" ref="U4:U13" si="18">ROUND(((2*150^2)/(T4*K4))/1000,3)</f>
        <v>858.51599999999996</v>
      </c>
      <c r="V4" s="9">
        <f t="shared" ref="V4:V14" si="19">ROUND(0.9*A4/(U4*K4),3)</f>
        <v>0.14000000000000001</v>
      </c>
    </row>
    <row r="5" spans="1:24">
      <c r="A5" s="3">
        <v>27.058949999999999</v>
      </c>
      <c r="B5" s="3">
        <f t="shared" si="9"/>
        <v>0.38</v>
      </c>
      <c r="C5" s="4">
        <f t="shared" si="10"/>
        <v>110</v>
      </c>
      <c r="D5" s="4">
        <v>199.6</v>
      </c>
      <c r="E5" s="4">
        <v>173.1</v>
      </c>
      <c r="F5" s="4">
        <v>155</v>
      </c>
      <c r="G5" s="4">
        <v>125.7</v>
      </c>
      <c r="H5" s="4">
        <v>107.1</v>
      </c>
      <c r="I5" s="4">
        <v>67.099999999999994</v>
      </c>
      <c r="J5" s="4">
        <v>40.799999999999997</v>
      </c>
      <c r="K5" s="9">
        <f t="shared" si="11"/>
        <v>0.1996</v>
      </c>
      <c r="L5" s="10">
        <f t="shared" si="1"/>
        <v>4.1391913155007387</v>
      </c>
      <c r="M5" s="10">
        <f t="shared" si="12"/>
        <v>4.4132456699811753</v>
      </c>
      <c r="N5" s="10">
        <f t="shared" si="13"/>
        <v>4.7235516701481925</v>
      </c>
      <c r="O5" s="10">
        <f t="shared" si="14"/>
        <v>4.8905947713465023</v>
      </c>
      <c r="P5" s="10">
        <f t="shared" si="15"/>
        <v>5.2497358675431594</v>
      </c>
      <c r="Q5" s="10">
        <f t="shared" si="16"/>
        <v>5.5444328444405224</v>
      </c>
      <c r="R5" s="12">
        <f t="shared" si="7"/>
        <v>1.0336914617478188</v>
      </c>
      <c r="S5" s="12">
        <f t="shared" si="8"/>
        <v>1.7776590168549327</v>
      </c>
      <c r="T5" s="9">
        <f t="shared" si="17"/>
        <v>0.26200000000000001</v>
      </c>
      <c r="U5" s="9">
        <f t="shared" si="18"/>
        <v>860.5</v>
      </c>
      <c r="V5" s="9">
        <f t="shared" si="19"/>
        <v>0.14199999999999999</v>
      </c>
    </row>
    <row r="6" spans="1:24">
      <c r="A6" s="3">
        <v>27.058949999999999</v>
      </c>
      <c r="B6" s="3">
        <f t="shared" si="9"/>
        <v>0.38</v>
      </c>
      <c r="C6" s="4">
        <f t="shared" si="10"/>
        <v>110</v>
      </c>
      <c r="D6" s="4">
        <v>197.5</v>
      </c>
      <c r="E6" s="4">
        <v>171.5</v>
      </c>
      <c r="F6" s="4">
        <v>153.69999999999999</v>
      </c>
      <c r="G6" s="4">
        <v>125</v>
      </c>
      <c r="H6" s="4">
        <v>106.7</v>
      </c>
      <c r="I6" s="4">
        <v>67</v>
      </c>
      <c r="J6" s="4">
        <v>40.799999999999997</v>
      </c>
      <c r="K6" s="9">
        <f t="shared" si="11"/>
        <v>0.19750000000000001</v>
      </c>
      <c r="L6" s="10">
        <f t="shared" si="1"/>
        <v>4.1349517330313539</v>
      </c>
      <c r="M6" s="10">
        <f t="shared" si="12"/>
        <v>4.4090427524436793</v>
      </c>
      <c r="N6" s="10">
        <f t="shared" si="13"/>
        <v>4.7176705030022621</v>
      </c>
      <c r="O6" s="10">
        <f t="shared" si="14"/>
        <v>4.8841639385359397</v>
      </c>
      <c r="P6" s="10">
        <f t="shared" si="15"/>
        <v>5.2437782184127979</v>
      </c>
      <c r="Q6" s="10">
        <f t="shared" si="16"/>
        <v>5.5386513428180351</v>
      </c>
      <c r="R6" s="12">
        <f t="shared" si="7"/>
        <v>1.0370738641503032</v>
      </c>
      <c r="S6" s="12">
        <f t="shared" si="8"/>
        <v>1.7751344605424608</v>
      </c>
      <c r="T6" s="9">
        <f t="shared" si="17"/>
        <v>0.25800000000000001</v>
      </c>
      <c r="U6" s="9">
        <f t="shared" si="18"/>
        <v>883.13199999999995</v>
      </c>
      <c r="V6" s="9">
        <f t="shared" si="19"/>
        <v>0.14000000000000001</v>
      </c>
    </row>
    <row r="7" spans="1:24">
      <c r="A7" s="3">
        <v>51.150599999999997</v>
      </c>
      <c r="B7" s="3">
        <f t="shared" si="9"/>
        <v>0.72</v>
      </c>
      <c r="C7" s="4">
        <f t="shared" si="10"/>
        <v>151</v>
      </c>
      <c r="D7" s="4">
        <v>363</v>
      </c>
      <c r="E7" s="4">
        <v>319.2</v>
      </c>
      <c r="F7" s="4">
        <v>287</v>
      </c>
      <c r="G7" s="4">
        <v>240.5</v>
      </c>
      <c r="H7" s="4">
        <v>200.4</v>
      </c>
      <c r="I7" s="4">
        <v>134.5</v>
      </c>
      <c r="J7" s="4">
        <v>87.7</v>
      </c>
      <c r="K7" s="9">
        <f t="shared" si="11"/>
        <v>0.36299999999999999</v>
      </c>
      <c r="L7" s="10">
        <f t="shared" si="1"/>
        <v>4.0916537372647328</v>
      </c>
      <c r="M7" s="10">
        <f t="shared" si="12"/>
        <v>4.3771742049861242</v>
      </c>
      <c r="N7" s="10">
        <f t="shared" si="13"/>
        <v>4.6612635174300259</v>
      </c>
      <c r="O7" s="10">
        <f t="shared" si="14"/>
        <v>4.863465333502166</v>
      </c>
      <c r="P7" s="10">
        <f t="shared" si="15"/>
        <v>5.1844064295067671</v>
      </c>
      <c r="Q7" s="10">
        <f t="shared" si="16"/>
        <v>5.4510491274666144</v>
      </c>
      <c r="R7" s="12">
        <f t="shared" si="7"/>
        <v>1.2536155829343913</v>
      </c>
      <c r="S7" s="12">
        <f t="shared" si="8"/>
        <v>1.7262902024985143</v>
      </c>
      <c r="T7" s="9">
        <f t="shared" si="17"/>
        <v>0.23400000000000001</v>
      </c>
      <c r="U7" s="9">
        <f t="shared" si="18"/>
        <v>529.77300000000002</v>
      </c>
      <c r="V7" s="9">
        <f t="shared" si="19"/>
        <v>0.23899999999999999</v>
      </c>
    </row>
    <row r="8" spans="1:24">
      <c r="A8" s="3">
        <v>50.514749999999999</v>
      </c>
      <c r="B8" s="3">
        <f t="shared" si="9"/>
        <v>0.71</v>
      </c>
      <c r="C8" s="4">
        <f t="shared" si="10"/>
        <v>150</v>
      </c>
      <c r="D8" s="4">
        <v>350.2</v>
      </c>
      <c r="E8" s="4">
        <v>308</v>
      </c>
      <c r="F8" s="4">
        <v>276.60000000000002</v>
      </c>
      <c r="G8" s="4">
        <v>231.3</v>
      </c>
      <c r="H8" s="4">
        <v>194</v>
      </c>
      <c r="I8" s="4">
        <v>129.69999999999999</v>
      </c>
      <c r="J8" s="4">
        <v>84.6</v>
      </c>
      <c r="K8" s="9">
        <f t="shared" si="11"/>
        <v>0.35020000000000001</v>
      </c>
      <c r="L8" s="10">
        <f t="shared" si="1"/>
        <v>4.0910042439005547</v>
      </c>
      <c r="M8" s="10">
        <f t="shared" si="12"/>
        <v>4.3792681480035318</v>
      </c>
      <c r="N8" s="10">
        <f t="shared" si="13"/>
        <v>4.6652487312873969</v>
      </c>
      <c r="O8" s="10">
        <f t="shared" si="14"/>
        <v>4.8601218090503799</v>
      </c>
      <c r="P8" s="10">
        <f t="shared" si="15"/>
        <v>5.184711127159102</v>
      </c>
      <c r="Q8" s="10">
        <f t="shared" si="16"/>
        <v>5.4511002170962817</v>
      </c>
      <c r="R8" s="12">
        <f t="shared" si="7"/>
        <v>1.2654292996828727</v>
      </c>
      <c r="S8" s="12">
        <f t="shared" si="8"/>
        <v>1.7249358233725942</v>
      </c>
      <c r="T8" s="9">
        <f t="shared" si="17"/>
        <v>0.23499999999999999</v>
      </c>
      <c r="U8" s="9">
        <f t="shared" si="18"/>
        <v>546.79999999999995</v>
      </c>
      <c r="V8" s="9">
        <f t="shared" si="19"/>
        <v>0.23699999999999999</v>
      </c>
    </row>
    <row r="9" spans="1:24">
      <c r="A9" s="3">
        <v>50.302799999999998</v>
      </c>
      <c r="B9" s="3">
        <f t="shared" si="9"/>
        <v>0.71</v>
      </c>
      <c r="C9" s="4">
        <f t="shared" si="10"/>
        <v>150</v>
      </c>
      <c r="D9" s="4">
        <v>347.3</v>
      </c>
      <c r="E9" s="4">
        <v>305.60000000000002</v>
      </c>
      <c r="F9" s="4">
        <v>274.60000000000002</v>
      </c>
      <c r="G9" s="4">
        <v>229.3</v>
      </c>
      <c r="H9" s="4">
        <v>193.1</v>
      </c>
      <c r="I9" s="4">
        <v>128.9</v>
      </c>
      <c r="J9" s="4">
        <v>84.6</v>
      </c>
      <c r="K9" s="9">
        <f t="shared" si="11"/>
        <v>0.3473</v>
      </c>
      <c r="L9" s="10">
        <f t="shared" si="1"/>
        <v>4.0892252145094297</v>
      </c>
      <c r="M9" s="10">
        <f t="shared" si="12"/>
        <v>4.3770763873976266</v>
      </c>
      <c r="N9" s="10">
        <f t="shared" si="13"/>
        <v>4.6657204620155115</v>
      </c>
      <c r="O9" s="10">
        <f t="shared" si="14"/>
        <v>4.8565446093748683</v>
      </c>
      <c r="P9" s="10">
        <f t="shared" si="15"/>
        <v>5.1832422261186215</v>
      </c>
      <c r="Q9" s="10">
        <f t="shared" si="16"/>
        <v>5.4463322191863721</v>
      </c>
      <c r="R9" s="12">
        <f t="shared" si="7"/>
        <v>1.2811238127632112</v>
      </c>
      <c r="S9" s="12">
        <f t="shared" si="8"/>
        <v>1.7221387639643799</v>
      </c>
      <c r="T9" s="9">
        <f t="shared" si="17"/>
        <v>0.23400000000000001</v>
      </c>
      <c r="U9" s="9">
        <f t="shared" si="18"/>
        <v>553.72199999999998</v>
      </c>
      <c r="V9" s="9">
        <f t="shared" si="19"/>
        <v>0.23499999999999999</v>
      </c>
    </row>
    <row r="10" spans="1:24">
      <c r="A10" s="3">
        <v>50.161499999999997</v>
      </c>
      <c r="B10" s="3">
        <f t="shared" si="9"/>
        <v>0.71</v>
      </c>
      <c r="C10" s="4">
        <f t="shared" si="10"/>
        <v>150</v>
      </c>
      <c r="D10" s="4">
        <v>345.8</v>
      </c>
      <c r="E10" s="4">
        <v>304.2</v>
      </c>
      <c r="F10" s="4">
        <v>273</v>
      </c>
      <c r="G10" s="4">
        <v>227.4</v>
      </c>
      <c r="H10" s="4">
        <v>192.9</v>
      </c>
      <c r="I10" s="4">
        <v>127.8</v>
      </c>
      <c r="J10" s="4">
        <v>83.9</v>
      </c>
      <c r="K10" s="9">
        <f t="shared" si="11"/>
        <v>0.3458</v>
      </c>
      <c r="L10" s="10">
        <f t="shared" si="1"/>
        <v>4.0901766303490881</v>
      </c>
      <c r="M10" s="10">
        <f t="shared" si="12"/>
        <v>4.3802112417116064</v>
      </c>
      <c r="N10" s="10">
        <f t="shared" si="13"/>
        <v>4.6708037514745095</v>
      </c>
      <c r="O10" s="10">
        <f t="shared" si="14"/>
        <v>4.8533177672077601</v>
      </c>
      <c r="P10" s="10">
        <f t="shared" si="15"/>
        <v>5.1861681492215483</v>
      </c>
      <c r="Q10" s="10">
        <f t="shared" si="16"/>
        <v>5.4486160470358564</v>
      </c>
      <c r="R10" s="12">
        <f t="shared" si="7"/>
        <v>1.2873398295037057</v>
      </c>
      <c r="S10" s="12">
        <f t="shared" si="8"/>
        <v>1.722048869692373</v>
      </c>
      <c r="T10" s="9">
        <f t="shared" si="17"/>
        <v>0.23499999999999999</v>
      </c>
      <c r="U10" s="9">
        <f t="shared" si="18"/>
        <v>553.75800000000004</v>
      </c>
      <c r="V10" s="9">
        <f t="shared" si="19"/>
        <v>0.23599999999999999</v>
      </c>
    </row>
    <row r="11" spans="1:24">
      <c r="A11" s="3">
        <v>96.931799999999996</v>
      </c>
      <c r="B11" s="3">
        <f t="shared" si="9"/>
        <v>1.37</v>
      </c>
      <c r="C11" s="4">
        <f t="shared" si="10"/>
        <v>208</v>
      </c>
      <c r="D11" s="4">
        <v>584</v>
      </c>
      <c r="E11" s="4">
        <v>515.70000000000005</v>
      </c>
      <c r="F11" s="4">
        <v>464.1</v>
      </c>
      <c r="G11" s="4">
        <v>390.3</v>
      </c>
      <c r="H11" s="4">
        <v>330.2</v>
      </c>
      <c r="I11" s="4">
        <v>223.2</v>
      </c>
      <c r="J11" s="4">
        <v>149.4</v>
      </c>
      <c r="K11" s="9">
        <f t="shared" si="11"/>
        <v>0.58399999999999996</v>
      </c>
      <c r="L11" s="10">
        <f t="shared" si="1"/>
        <v>4.0762660817141425</v>
      </c>
      <c r="M11" s="10">
        <f t="shared" si="12"/>
        <v>4.3664501241191438</v>
      </c>
      <c r="N11" s="10">
        <f t="shared" si="13"/>
        <v>4.6499735788771872</v>
      </c>
      <c r="O11" s="10">
        <f t="shared" si="14"/>
        <v>4.8399570582712359</v>
      </c>
      <c r="P11" s="10">
        <f t="shared" si="15"/>
        <v>5.1628148480436877</v>
      </c>
      <c r="Q11" s="10">
        <f t="shared" si="16"/>
        <v>5.4179816339444509</v>
      </c>
      <c r="R11" s="12">
        <f t="shared" si="7"/>
        <v>1.3881562461907637</v>
      </c>
      <c r="S11" s="12">
        <f t="shared" si="8"/>
        <v>1.7028207522668499</v>
      </c>
      <c r="T11" s="9">
        <f t="shared" si="17"/>
        <v>0.22600000000000001</v>
      </c>
      <c r="U11" s="9">
        <f t="shared" si="18"/>
        <v>340.95</v>
      </c>
      <c r="V11" s="9">
        <f t="shared" si="19"/>
        <v>0.438</v>
      </c>
    </row>
    <row r="12" spans="1:24">
      <c r="A12" s="3">
        <v>99.40455</v>
      </c>
      <c r="B12" s="3">
        <f t="shared" si="9"/>
        <v>1.41</v>
      </c>
      <c r="C12" s="4">
        <f t="shared" si="10"/>
        <v>211</v>
      </c>
      <c r="D12" s="4">
        <v>580.29999999999995</v>
      </c>
      <c r="E12" s="4">
        <v>512.70000000000005</v>
      </c>
      <c r="F12" s="4">
        <v>459.6</v>
      </c>
      <c r="G12" s="4">
        <v>387.3</v>
      </c>
      <c r="H12" s="4">
        <v>329.9</v>
      </c>
      <c r="I12" s="4">
        <v>223</v>
      </c>
      <c r="J12" s="4">
        <v>148.69999999999999</v>
      </c>
      <c r="K12" s="9">
        <f t="shared" si="11"/>
        <v>0.58029999999999993</v>
      </c>
      <c r="L12" s="10">
        <f t="shared" si="1"/>
        <v>4.0743258879405611</v>
      </c>
      <c r="M12" s="10">
        <f t="shared" si="12"/>
        <v>4.3735697595204259</v>
      </c>
      <c r="N12" s="10">
        <f t="shared" si="13"/>
        <v>4.6517523214610161</v>
      </c>
      <c r="O12" s="10">
        <f t="shared" si="14"/>
        <v>4.8344945184323729</v>
      </c>
      <c r="P12" s="10">
        <f t="shared" si="15"/>
        <v>5.158970662593604</v>
      </c>
      <c r="Q12" s="10">
        <f t="shared" si="16"/>
        <v>5.4170129769282438</v>
      </c>
      <c r="R12" s="12">
        <f t="shared" si="7"/>
        <v>1.4411709441128351</v>
      </c>
      <c r="S12" s="12">
        <f t="shared" si="8"/>
        <v>1.69660389240356</v>
      </c>
      <c r="T12" s="9">
        <f t="shared" si="17"/>
        <v>0.22500000000000001</v>
      </c>
      <c r="U12" s="9">
        <f t="shared" si="18"/>
        <v>344.649</v>
      </c>
      <c r="V12" s="9">
        <f t="shared" si="19"/>
        <v>0.44700000000000001</v>
      </c>
    </row>
    <row r="13" spans="1:24">
      <c r="A13" s="3">
        <v>99.192599999999999</v>
      </c>
      <c r="B13" s="3">
        <f t="shared" si="9"/>
        <v>1.4</v>
      </c>
      <c r="C13" s="4">
        <f t="shared" si="10"/>
        <v>211</v>
      </c>
      <c r="D13" s="4">
        <v>577.4</v>
      </c>
      <c r="E13" s="4">
        <v>509.5</v>
      </c>
      <c r="F13" s="4">
        <v>459</v>
      </c>
      <c r="G13" s="4">
        <v>385.3</v>
      </c>
      <c r="H13" s="4">
        <v>328</v>
      </c>
      <c r="I13" s="4">
        <v>221.7</v>
      </c>
      <c r="J13" s="4">
        <v>147.80000000000001</v>
      </c>
      <c r="K13" s="9">
        <f t="shared" si="11"/>
        <v>0.57740000000000002</v>
      </c>
      <c r="L13" s="10">
        <f t="shared" si="1"/>
        <v>4.0789680953773813</v>
      </c>
      <c r="M13" s="10">
        <f t="shared" si="12"/>
        <v>4.3657815262889645</v>
      </c>
      <c r="N13" s="10">
        <f t="shared" si="13"/>
        <v>4.6519708652880176</v>
      </c>
      <c r="O13" s="10">
        <f t="shared" si="14"/>
        <v>4.83526511487017</v>
      </c>
      <c r="P13" s="10">
        <f t="shared" si="15"/>
        <v>5.1595606815106168</v>
      </c>
      <c r="Q13" s="10">
        <f t="shared" si="16"/>
        <v>5.4176323480720168</v>
      </c>
      <c r="R13" s="12">
        <f t="shared" si="7"/>
        <v>1.433792502481275</v>
      </c>
      <c r="S13" s="12">
        <f t="shared" si="8"/>
        <v>1.6973690039325318</v>
      </c>
      <c r="T13" s="9">
        <f t="shared" si="17"/>
        <v>0.22500000000000001</v>
      </c>
      <c r="U13" s="9">
        <f t="shared" si="18"/>
        <v>346.38</v>
      </c>
      <c r="V13" s="9">
        <f t="shared" si="19"/>
        <v>0.44600000000000001</v>
      </c>
    </row>
    <row r="14" spans="1:24">
      <c r="A14" s="3">
        <v>98.627399999999994</v>
      </c>
      <c r="B14" s="3">
        <f t="shared" si="9"/>
        <v>1.4</v>
      </c>
      <c r="C14" s="4">
        <f t="shared" si="10"/>
        <v>210</v>
      </c>
      <c r="D14" s="5">
        <v>578.29999999999995</v>
      </c>
      <c r="E14" s="5">
        <v>510.5</v>
      </c>
      <c r="F14" s="5">
        <v>460.9</v>
      </c>
      <c r="G14" s="5">
        <v>386.9</v>
      </c>
      <c r="H14" s="5">
        <v>328.4</v>
      </c>
      <c r="I14" s="5">
        <v>223.2</v>
      </c>
      <c r="J14" s="5">
        <v>149</v>
      </c>
      <c r="K14" s="9">
        <f t="shared" si="11"/>
        <v>0.57829999999999993</v>
      </c>
      <c r="L14" s="10">
        <f t="shared" si="1"/>
        <v>4.0774764568834589</v>
      </c>
      <c r="M14" s="10">
        <f t="shared" si="12"/>
        <v>4.3603038982264</v>
      </c>
      <c r="N14" s="10">
        <f t="shared" si="13"/>
        <v>4.6485857131589041</v>
      </c>
      <c r="O14" s="10">
        <f t="shared" si="14"/>
        <v>4.8356056171183717</v>
      </c>
      <c r="P14" s="10">
        <f t="shared" si="15"/>
        <v>5.1558989914753992</v>
      </c>
      <c r="Q14" s="10">
        <f t="shared" si="16"/>
        <v>5.4138171295064899</v>
      </c>
      <c r="R14" s="12">
        <f t="shared" si="7"/>
        <v>1.429460288545336</v>
      </c>
      <c r="S14" s="12">
        <f t="shared" si="8"/>
        <v>1.6967776353480433</v>
      </c>
      <c r="T14" s="9">
        <f t="shared" si="17"/>
        <v>0.224</v>
      </c>
      <c r="U14" s="9">
        <f>ROUND(((2*150^2)/(T14*K14))/1000,3)</f>
        <v>347.38499999999999</v>
      </c>
      <c r="V14" s="9">
        <f t="shared" si="19"/>
        <v>0.442</v>
      </c>
    </row>
    <row r="16" spans="1:24">
      <c r="A16" s="3">
        <f>AVERAGE(A3:A6)</f>
        <v>26.917649999999998</v>
      </c>
      <c r="B16" s="3">
        <f t="shared" ref="B16:V16" si="20">AVERAGE(B3:B6)</f>
        <v>0.38</v>
      </c>
      <c r="C16" s="3">
        <f t="shared" si="20"/>
        <v>109.75</v>
      </c>
      <c r="D16" s="3">
        <f t="shared" si="20"/>
        <v>203.125</v>
      </c>
      <c r="E16" s="3">
        <f t="shared" si="20"/>
        <v>176.55</v>
      </c>
      <c r="F16" s="3">
        <f t="shared" si="20"/>
        <v>158.30000000000001</v>
      </c>
      <c r="G16" s="3">
        <f t="shared" si="20"/>
        <v>128.6</v>
      </c>
      <c r="H16" s="3">
        <f t="shared" si="20"/>
        <v>109.39999999999999</v>
      </c>
      <c r="I16" s="3">
        <f t="shared" si="20"/>
        <v>68.724999999999994</v>
      </c>
      <c r="J16" s="3">
        <f t="shared" si="20"/>
        <v>42.1</v>
      </c>
      <c r="K16" s="3">
        <f t="shared" si="20"/>
        <v>0.203125</v>
      </c>
      <c r="L16" s="3">
        <f t="shared" si="20"/>
        <v>4.1320006368127338</v>
      </c>
      <c r="M16" s="3">
        <f t="shared" si="20"/>
        <v>4.4064791652567825</v>
      </c>
      <c r="N16" s="3">
        <f t="shared" si="20"/>
        <v>4.7174249572299711</v>
      </c>
      <c r="O16" s="3">
        <f t="shared" si="20"/>
        <v>4.8871413235271248</v>
      </c>
      <c r="P16" s="3">
        <f t="shared" si="20"/>
        <v>5.2455814653794306</v>
      </c>
      <c r="Q16" s="3">
        <f t="shared" si="20"/>
        <v>5.5370787484109325</v>
      </c>
      <c r="R16" s="3">
        <f t="shared" si="20"/>
        <v>1.0086041866367053</v>
      </c>
      <c r="S16" s="3">
        <f t="shared" si="20"/>
        <v>1.7795397074324935</v>
      </c>
      <c r="T16" s="3">
        <f t="shared" si="20"/>
        <v>0.25850000000000001</v>
      </c>
      <c r="U16" s="3">
        <f t="shared" si="20"/>
        <v>857.69950000000006</v>
      </c>
      <c r="V16" s="3">
        <f t="shared" si="20"/>
        <v>0.13950000000000001</v>
      </c>
    </row>
    <row r="17" spans="1:26">
      <c r="A17" s="3">
        <f>AVERAGE(A7:A10)</f>
        <v>50.532412499999992</v>
      </c>
      <c r="B17" s="3">
        <f t="shared" ref="B17:V17" si="21">AVERAGE(B7:B10)</f>
        <v>0.71249999999999991</v>
      </c>
      <c r="C17" s="3">
        <f t="shared" si="21"/>
        <v>150.25</v>
      </c>
      <c r="D17" s="3">
        <f t="shared" si="21"/>
        <v>351.57499999999999</v>
      </c>
      <c r="E17" s="3">
        <f t="shared" si="21"/>
        <v>309.25</v>
      </c>
      <c r="F17" s="3">
        <f t="shared" si="21"/>
        <v>277.8</v>
      </c>
      <c r="G17" s="3">
        <f t="shared" si="21"/>
        <v>232.125</v>
      </c>
      <c r="H17" s="3">
        <f t="shared" si="21"/>
        <v>195.1</v>
      </c>
      <c r="I17" s="3">
        <f t="shared" si="21"/>
        <v>130.22499999999999</v>
      </c>
      <c r="J17" s="3">
        <f t="shared" si="21"/>
        <v>85.199999999999989</v>
      </c>
      <c r="K17" s="3">
        <f t="shared" si="21"/>
        <v>0.35157499999999997</v>
      </c>
      <c r="L17" s="3">
        <f t="shared" si="21"/>
        <v>4.0905149565059515</v>
      </c>
      <c r="M17" s="3">
        <f t="shared" si="21"/>
        <v>4.3784324955247218</v>
      </c>
      <c r="N17" s="3">
        <f t="shared" si="21"/>
        <v>4.665759115551861</v>
      </c>
      <c r="O17" s="3">
        <f t="shared" si="21"/>
        <v>4.8583623797837934</v>
      </c>
      <c r="P17" s="3">
        <f t="shared" si="21"/>
        <v>5.18463198300151</v>
      </c>
      <c r="Q17" s="3">
        <f t="shared" si="21"/>
        <v>5.4492744026962807</v>
      </c>
      <c r="R17" s="3">
        <f t="shared" si="21"/>
        <v>1.2718771312210453</v>
      </c>
      <c r="S17" s="3">
        <f t="shared" si="21"/>
        <v>1.7238534148819655</v>
      </c>
      <c r="T17" s="3">
        <f t="shared" si="21"/>
        <v>0.23449999999999999</v>
      </c>
      <c r="U17" s="3">
        <f t="shared" si="21"/>
        <v>546.01324999999997</v>
      </c>
      <c r="V17" s="3">
        <f t="shared" si="21"/>
        <v>0.23674999999999999</v>
      </c>
    </row>
    <row r="18" spans="1:26">
      <c r="A18" s="3">
        <f>AVERAGE(A11:A14)</f>
        <v>98.539087499999994</v>
      </c>
      <c r="B18" s="3">
        <f t="shared" ref="B18:V18" si="22">AVERAGE(B11:B14)</f>
        <v>1.395</v>
      </c>
      <c r="C18" s="3">
        <f t="shared" si="22"/>
        <v>210</v>
      </c>
      <c r="D18" s="3">
        <f t="shared" si="22"/>
        <v>580</v>
      </c>
      <c r="E18" s="3">
        <f t="shared" si="22"/>
        <v>512.1</v>
      </c>
      <c r="F18" s="3">
        <f t="shared" si="22"/>
        <v>460.9</v>
      </c>
      <c r="G18" s="3">
        <f t="shared" si="22"/>
        <v>387.45000000000005</v>
      </c>
      <c r="H18" s="3">
        <f t="shared" si="22"/>
        <v>329.125</v>
      </c>
      <c r="I18" s="3">
        <f t="shared" si="22"/>
        <v>222.77499999999998</v>
      </c>
      <c r="J18" s="3">
        <f t="shared" si="22"/>
        <v>148.72500000000002</v>
      </c>
      <c r="K18" s="3">
        <f t="shared" si="22"/>
        <v>0.57999999999999996</v>
      </c>
      <c r="L18" s="3">
        <f t="shared" si="22"/>
        <v>4.0767591304788864</v>
      </c>
      <c r="M18" s="3">
        <f t="shared" si="22"/>
        <v>4.3665263270387333</v>
      </c>
      <c r="N18" s="3">
        <f t="shared" si="22"/>
        <v>4.650570619696281</v>
      </c>
      <c r="O18" s="3">
        <f t="shared" si="22"/>
        <v>4.8363305771730376</v>
      </c>
      <c r="P18" s="3">
        <f t="shared" si="22"/>
        <v>5.1593112959058267</v>
      </c>
      <c r="Q18" s="3">
        <f t="shared" si="22"/>
        <v>5.4166110221128001</v>
      </c>
      <c r="R18" s="3">
        <f t="shared" si="22"/>
        <v>1.4231449953325523</v>
      </c>
      <c r="S18" s="3">
        <f t="shared" si="22"/>
        <v>1.6983928209877464</v>
      </c>
      <c r="T18" s="3">
        <f t="shared" si="22"/>
        <v>0.22500000000000001</v>
      </c>
      <c r="U18" s="3">
        <f t="shared" si="22"/>
        <v>344.84099999999995</v>
      </c>
      <c r="V18" s="3">
        <f t="shared" si="22"/>
        <v>0.44324999999999998</v>
      </c>
    </row>
    <row r="20" spans="1:26">
      <c r="Z20">
        <v>940</v>
      </c>
    </row>
    <row r="21" spans="1:26">
      <c r="D21">
        <f>((((1.5*(($V17/$T17)^6)*$B16*150/(940*SQRT($T17)))*4*150^2)/($T17*D1^2+4*150^2))*1000)</f>
        <v>198.90682326774251</v>
      </c>
      <c r="E21">
        <f t="shared" ref="E21:J21" si="23">((((1.5*(($V17/$T17)^6)*$B16*150/(940*SQRT($T17)))*4*150^2)/($T17*E1^2+4*150^2))*1000)</f>
        <v>180.13296532598937</v>
      </c>
      <c r="F21">
        <f t="shared" si="23"/>
        <v>161.12338863324626</v>
      </c>
      <c r="G21">
        <f t="shared" si="23"/>
        <v>130.20657770574749</v>
      </c>
      <c r="H21">
        <f t="shared" si="23"/>
        <v>102.63509972535732</v>
      </c>
      <c r="I21">
        <f t="shared" si="23"/>
        <v>63.946897047980237</v>
      </c>
      <c r="J21">
        <f t="shared" si="23"/>
        <v>41.857496478902043</v>
      </c>
    </row>
    <row r="28" spans="1:26">
      <c r="D28">
        <f>($D16*4*150^2)/($T16*D1^2+4*150^2)</f>
        <v>203.125</v>
      </c>
      <c r="E28">
        <f t="shared" ref="E28:J28" si="24">($D16*4*150^2)/($T16*E1^2+4*150^2)</f>
        <v>182.19304365158462</v>
      </c>
      <c r="F28">
        <f t="shared" si="24"/>
        <v>161.40246324990068</v>
      </c>
      <c r="G28">
        <f t="shared" si="24"/>
        <v>128.42804078084248</v>
      </c>
      <c r="H28">
        <f t="shared" si="24"/>
        <v>99.864798426745324</v>
      </c>
      <c r="I28">
        <f t="shared" si="24"/>
        <v>61.062678490906357</v>
      </c>
      <c r="J28">
        <f t="shared" si="24"/>
        <v>39.549260124610591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Nyomvonal 2008 Mérnökiroda Kft.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Primusz Péter</cp:lastModifiedBy>
  <dcterms:created xsi:type="dcterms:W3CDTF">2011-03-23T18:24:48Z</dcterms:created>
  <dcterms:modified xsi:type="dcterms:W3CDTF">2011-03-24T09:10:45Z</dcterms:modified>
</cp:coreProperties>
</file>