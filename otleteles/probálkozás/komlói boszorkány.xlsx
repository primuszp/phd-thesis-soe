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9450" windowHeight="4095" firstSheet="5" activeTab="7"/>
  </bookViews>
  <sheets>
    <sheet name="Diagram6" sheetId="23" r:id="rId1"/>
    <sheet name="Diagram7" sheetId="24" r:id="rId2"/>
    <sheet name="Diagram8" sheetId="25" r:id="rId3"/>
    <sheet name="paraméter számoló (2)" sheetId="17" r:id="rId4"/>
    <sheet name="paraméter számoló (3)" sheetId="26" r:id="rId5"/>
    <sheet name="Diagram1" sheetId="28" r:id="rId6"/>
    <sheet name="paraméter számoló (4)" sheetId="27" r:id="rId7"/>
    <sheet name="Munka1" sheetId="29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adat25">[1]S25A60_feld!$A$1:$O$113</definedName>
    <definedName name="adatok">[2]S15A60_feld!$A$1:$O$127</definedName>
    <definedName name="alap_fny">[3]vizsgálat!$U$3:$U$1222</definedName>
    <definedName name="alap_vtg">[3]vizsgálat!$V$3:$V$1222</definedName>
    <definedName name="aszfalt_vtg">[3]vizsgálat!$AM$3:$AM$1222</definedName>
    <definedName name="átk_érték">[3]új!$M$3:$M$31</definedName>
    <definedName name="átk_kmsz">[3]új!$L$3:$L$31</definedName>
    <definedName name="beh_kmsz">[3]új!$E$3:$E$32</definedName>
    <definedName name="behajlás">[3]új!$F$3:$F$32</definedName>
    <definedName name="beton_kmsz">[3]utolsó!$Q$3:$Q$20</definedName>
    <definedName name="beton_vtg">[3]utolsó!$S$3:$S$20</definedName>
    <definedName name="burk_áll">[3]új!$I$3:$I$40</definedName>
    <definedName name="burkolatszélesség">[3]utolsó!$V$3:$V$244</definedName>
    <definedName name="burkszél_kmsz">[3]utolsó!$U$3:$U$244</definedName>
    <definedName name="ero">[4]MET!$E$9</definedName>
    <definedName name="erősítő_kmsz">[3]utolsó!$G$3:$G$94</definedName>
    <definedName name="erősítő_vtg">[3]utolsó!$H$3:$H$94</definedName>
    <definedName name="fajlagos_nyommélység">[3]vizsgálat!$AF$3:$AF$1222</definedName>
    <definedName name="felületépség">[5]vizsgálat!$AM$3:$AM$1222</definedName>
    <definedName name="határ">[3]adatok!$B$19</definedName>
    <definedName name="képlet">[3]új!$S$1:$T$1</definedName>
    <definedName name="kezd">[3]adatok!$B$17</definedName>
    <definedName name="kmsz">[3]vizsgálat!$T$3:$T$1222</definedName>
    <definedName name="kmsz_hely">[3]vizsgálat!$AA$3:$AA$1222</definedName>
    <definedName name="kopó_fny">[3]vizsgálat!$Y$3:$Y$1222</definedName>
    <definedName name="kopó_vtg">[3]vizsgálat!$Z$3:$Z$1222</definedName>
    <definedName name="korr_f1">[4]MET!$I$23</definedName>
    <definedName name="korr_f2">[4]MET!$I$24</definedName>
    <definedName name="kötő_fny">[3]vizsgálat!$W$3:$W$1222</definedName>
    <definedName name="kötő_vtg">[3]vizsgálat!$X$3:$X$1222</definedName>
    <definedName name="lista">#REF!</definedName>
    <definedName name="lreom">#REF!</definedName>
    <definedName name="marás_kmsz">[3]utolsó!$D$3:$D$21</definedName>
    <definedName name="marás_vtg">[3]utolsó!$E$3:$E$21</definedName>
    <definedName name="maximum">[3]adatok!$D$4</definedName>
    <definedName name="mért_kmsz">[3]mérés!$A$2:$A$4825</definedName>
    <definedName name="mért_nym">[3]mérés!$B$2:$B$4825</definedName>
    <definedName name="minimum">[3]adatok!$D$3</definedName>
    <definedName name="mod_e1">[4]MET!$E$16</definedName>
    <definedName name="mod_e2">[4]MET!$E$17</definedName>
    <definedName name="mod_e3">[4]MET!$E$18</definedName>
    <definedName name="OKA_burk">[3]még!$B$2:$B$232</definedName>
    <definedName name="OKA_kmsz">[3]még!$A$2:$A$232</definedName>
    <definedName name="OKA_vízt">[3]még!$C$2:$C$232</definedName>
    <definedName name="pdb">#REF!</definedName>
    <definedName name="poisson_v1">[4]MET!$M$16</definedName>
    <definedName name="poisson_v2">[4]MET!$M$17</definedName>
    <definedName name="poisson_v3">[4]MET!$M$18</definedName>
    <definedName name="pontok">[3]vizsgálat!$AI$3</definedName>
    <definedName name="rdb">#REF!</definedName>
    <definedName name="rétegvastagság">[3]vizsgálat!$AG$3:$AG$1222</definedName>
    <definedName name="rm_kmsz">[3]új!$H$3:$H$40</definedName>
    <definedName name="rvtg_h1">[4]MET!$I$16</definedName>
    <definedName name="rvtg_h2">[4]MET!$I$17</definedName>
    <definedName name="skála">[3]vizsgálat!$J$3:$J$1222</definedName>
    <definedName name="sugar">[4]MET!$E$8</definedName>
    <definedName name="szakasz">[3]vizsgálat!$B$3:$B$81</definedName>
    <definedName name="szeg_b2">[3]új!$S$3:$S$270</definedName>
    <definedName name="szeg_bal">[3]új!$Q$3:$Q$270</definedName>
    <definedName name="szeg_j2">[3]új!$T$3:$T$270</definedName>
    <definedName name="szeg_jobb">[3]új!$R$3:$R$270</definedName>
    <definedName name="szeg_kmsz">[3]új!$P$3:$P$270</definedName>
    <definedName name="szegély2">[3]új!$S$3:$T$270</definedName>
    <definedName name="szél_kmsz">[3]új!$V$3:$V$20</definedName>
    <definedName name="szélesít">[3]új!$W$3:$W$20</definedName>
    <definedName name="szín_alap_fny">[3]adatok!$E$6</definedName>
    <definedName name="szín_alap_vtg">[3]adatok!$F$6</definedName>
    <definedName name="szín_kopó_fny">[3]adatok!$I$6</definedName>
    <definedName name="szín_kopó_vtg">[3]adatok!$J$6</definedName>
    <definedName name="szín_kötő_fny">[3]adatok!$G$6</definedName>
    <definedName name="szín_kötő_vtg">[3]adatok!$H$6</definedName>
    <definedName name="t1_alap">[3]vizsgálat!$L$3:$S$1222</definedName>
    <definedName name="t1_kész">[3]vizsgálat!$T$3:$AA$1222</definedName>
    <definedName name="t2_alap">[3]vizsgálat!$AB$3:$AD$1222</definedName>
    <definedName name="t2_kész">[3]vizsgálat!$AE$3:$AG$1222</definedName>
    <definedName name="tabla">#REF!</definedName>
    <definedName name="tábla">[3]vizsgálat!$B$3:$H$81</definedName>
    <definedName name="terh_kat">[3]új!$C$3:$C$89</definedName>
    <definedName name="terh_kmsz">[3]új!$A$3:$A$89</definedName>
    <definedName name="terheles">[4]MET!$L$11</definedName>
    <definedName name="terhelés">[3]új!$B$3:$B$89</definedName>
    <definedName name="terhoszt">[3]adatok!$B$8:$C$15</definedName>
    <definedName name="terv0_vtg">[3]utolsó!$O$3:$O$125</definedName>
    <definedName name="terv1_név">[3]utolsó!$K$3:$K$125</definedName>
    <definedName name="terv1_vtg">[3]utolsó!$L$3:$L$125</definedName>
    <definedName name="terv2_név">[3]utolsó!$M$3:$M$125</definedName>
    <definedName name="terv2_vtg">[3]utolsó!$N$3:$N$125</definedName>
    <definedName name="tervezett_kmsz">[3]utolsó!$J$3:$J$125</definedName>
    <definedName name="v_ero">[4]vált!$B$1</definedName>
    <definedName name="vége">[3]adatok!$B$18</definedName>
    <definedName name="víztelen">[3]új!$J$3:$J$40</definedName>
    <definedName name="vtg_alap">[3]vizsgálat!$AL$3:$AL$1222</definedName>
  </definedNames>
  <calcPr calcId="125725"/>
</workbook>
</file>

<file path=xl/calcChain.xml><?xml version="1.0" encoding="utf-8"?>
<calcChain xmlns="http://schemas.openxmlformats.org/spreadsheetml/2006/main">
  <c r="L3" i="29"/>
  <c r="M3"/>
  <c r="N3"/>
  <c r="O3"/>
  <c r="P3"/>
  <c r="Q3"/>
  <c r="K3"/>
  <c r="C4"/>
  <c r="D4"/>
  <c r="E4"/>
  <c r="F4"/>
  <c r="G4"/>
  <c r="H4"/>
  <c r="I4"/>
  <c r="C5"/>
  <c r="D5"/>
  <c r="E5"/>
  <c r="F5"/>
  <c r="G5"/>
  <c r="H5"/>
  <c r="I5"/>
  <c r="C6"/>
  <c r="D6"/>
  <c r="E6"/>
  <c r="F6"/>
  <c r="G6"/>
  <c r="H6"/>
  <c r="I6"/>
  <c r="C7"/>
  <c r="D7"/>
  <c r="E7"/>
  <c r="F7"/>
  <c r="G7"/>
  <c r="H7"/>
  <c r="I7"/>
  <c r="C8"/>
  <c r="D8"/>
  <c r="E8"/>
  <c r="F8"/>
  <c r="G8"/>
  <c r="H8"/>
  <c r="I8"/>
  <c r="C9"/>
  <c r="D9"/>
  <c r="E9"/>
  <c r="F9"/>
  <c r="G9"/>
  <c r="H9"/>
  <c r="I9"/>
  <c r="C10"/>
  <c r="D10"/>
  <c r="E10"/>
  <c r="F10"/>
  <c r="G10"/>
  <c r="H10"/>
  <c r="I10"/>
  <c r="C11"/>
  <c r="D11"/>
  <c r="E11"/>
  <c r="F11"/>
  <c r="G11"/>
  <c r="H11"/>
  <c r="I11"/>
  <c r="C12"/>
  <c r="D12"/>
  <c r="E12"/>
  <c r="F12"/>
  <c r="G12"/>
  <c r="H12"/>
  <c r="I12"/>
  <c r="C13"/>
  <c r="D13"/>
  <c r="E13"/>
  <c r="F13"/>
  <c r="G13"/>
  <c r="H13"/>
  <c r="I13"/>
  <c r="D3"/>
  <c r="E3"/>
  <c r="F3"/>
  <c r="G3"/>
  <c r="H3"/>
  <c r="I3"/>
  <c r="C3"/>
  <c r="AB11" i="27"/>
  <c r="AB12"/>
  <c r="AB13"/>
  <c r="AB14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4"/>
  <c r="S5"/>
  <c r="S6"/>
  <c r="S7"/>
  <c r="S3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4"/>
  <c r="AB5"/>
  <c r="AB6"/>
  <c r="AB7"/>
  <c r="AB8"/>
  <c r="AB9"/>
  <c r="AB10"/>
  <c r="AB3"/>
  <c r="J1"/>
  <c r="K1"/>
  <c r="L1"/>
  <c r="M1"/>
  <c r="N1"/>
  <c r="O1"/>
  <c r="J3"/>
  <c r="K3"/>
  <c r="P3" s="1"/>
  <c r="L3"/>
  <c r="M3"/>
  <c r="N3"/>
  <c r="O3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3"/>
  <c r="Q3"/>
  <c r="J4"/>
  <c r="K4"/>
  <c r="L4"/>
  <c r="M4"/>
  <c r="N4"/>
  <c r="O4"/>
  <c r="J5"/>
  <c r="K5"/>
  <c r="L5"/>
  <c r="M5"/>
  <c r="N5"/>
  <c r="O5"/>
  <c r="J6"/>
  <c r="P6" s="1"/>
  <c r="K6"/>
  <c r="L6"/>
  <c r="M6"/>
  <c r="N6"/>
  <c r="O6"/>
  <c r="J7"/>
  <c r="Q7" s="1"/>
  <c r="K7"/>
  <c r="L7"/>
  <c r="M7"/>
  <c r="N7"/>
  <c r="O7"/>
  <c r="J8"/>
  <c r="P8" s="1"/>
  <c r="K8"/>
  <c r="L8"/>
  <c r="M8"/>
  <c r="N8"/>
  <c r="O8"/>
  <c r="J9"/>
  <c r="K9"/>
  <c r="L9"/>
  <c r="M9"/>
  <c r="N9"/>
  <c r="O9"/>
  <c r="J10"/>
  <c r="K10"/>
  <c r="L10"/>
  <c r="M10"/>
  <c r="N10"/>
  <c r="O10"/>
  <c r="J11"/>
  <c r="R11" s="1"/>
  <c r="V11" s="1"/>
  <c r="K11"/>
  <c r="L11"/>
  <c r="M11"/>
  <c r="N11"/>
  <c r="O11"/>
  <c r="J12"/>
  <c r="K12"/>
  <c r="L12"/>
  <c r="M12"/>
  <c r="N12"/>
  <c r="O12"/>
  <c r="J13"/>
  <c r="R13" s="1"/>
  <c r="K13"/>
  <c r="L13"/>
  <c r="M13"/>
  <c r="N13"/>
  <c r="O13"/>
  <c r="J14"/>
  <c r="P14" s="1"/>
  <c r="K14"/>
  <c r="L14"/>
  <c r="M14"/>
  <c r="N14"/>
  <c r="O14"/>
  <c r="J15"/>
  <c r="K15"/>
  <c r="L15"/>
  <c r="M15"/>
  <c r="N15"/>
  <c r="O15"/>
  <c r="J16"/>
  <c r="K16"/>
  <c r="L16"/>
  <c r="M16"/>
  <c r="N16"/>
  <c r="O16"/>
  <c r="J17"/>
  <c r="K17"/>
  <c r="L17"/>
  <c r="M17"/>
  <c r="N17"/>
  <c r="O17"/>
  <c r="J18"/>
  <c r="K18"/>
  <c r="L18"/>
  <c r="M18"/>
  <c r="N18"/>
  <c r="O18"/>
  <c r="J19"/>
  <c r="K19"/>
  <c r="L19"/>
  <c r="M19"/>
  <c r="N19"/>
  <c r="O19"/>
  <c r="J20"/>
  <c r="K20"/>
  <c r="L20"/>
  <c r="M20"/>
  <c r="N20"/>
  <c r="O20"/>
  <c r="J21"/>
  <c r="K21"/>
  <c r="L21"/>
  <c r="M21"/>
  <c r="N21"/>
  <c r="O21"/>
  <c r="J22"/>
  <c r="K22"/>
  <c r="L22"/>
  <c r="M22"/>
  <c r="N22"/>
  <c r="O22"/>
  <c r="J23"/>
  <c r="K23"/>
  <c r="L23"/>
  <c r="M23"/>
  <c r="N23"/>
  <c r="O23"/>
  <c r="J24"/>
  <c r="K24"/>
  <c r="L24"/>
  <c r="M24"/>
  <c r="N24"/>
  <c r="O24"/>
  <c r="J25"/>
  <c r="K25"/>
  <c r="L25"/>
  <c r="M25"/>
  <c r="N25"/>
  <c r="O25"/>
  <c r="J26"/>
  <c r="K26"/>
  <c r="L26"/>
  <c r="M26"/>
  <c r="N26"/>
  <c r="O26"/>
  <c r="J27"/>
  <c r="K27"/>
  <c r="L27"/>
  <c r="M27"/>
  <c r="N27"/>
  <c r="O27"/>
  <c r="J28"/>
  <c r="K28"/>
  <c r="L28"/>
  <c r="M28"/>
  <c r="N28"/>
  <c r="O28"/>
  <c r="J29"/>
  <c r="K29"/>
  <c r="L29"/>
  <c r="M29"/>
  <c r="N29"/>
  <c r="O29"/>
  <c r="J30"/>
  <c r="K30"/>
  <c r="L30"/>
  <c r="M30"/>
  <c r="N30"/>
  <c r="O30"/>
  <c r="J31"/>
  <c r="K31"/>
  <c r="L31"/>
  <c r="M31"/>
  <c r="N31"/>
  <c r="O31"/>
  <c r="J32"/>
  <c r="K32"/>
  <c r="L32"/>
  <c r="M32"/>
  <c r="N32"/>
  <c r="O32"/>
  <c r="J33"/>
  <c r="K33"/>
  <c r="L33"/>
  <c r="M33"/>
  <c r="N33"/>
  <c r="O33"/>
  <c r="J34"/>
  <c r="K34"/>
  <c r="L34"/>
  <c r="M34"/>
  <c r="N34"/>
  <c r="O34"/>
  <c r="J35"/>
  <c r="K35"/>
  <c r="L35"/>
  <c r="M35"/>
  <c r="N35"/>
  <c r="O35"/>
  <c r="J36"/>
  <c r="K36"/>
  <c r="L36"/>
  <c r="M36"/>
  <c r="N36"/>
  <c r="O36"/>
  <c r="J37"/>
  <c r="K37"/>
  <c r="L37"/>
  <c r="M37"/>
  <c r="N37"/>
  <c r="O37"/>
  <c r="J38"/>
  <c r="K38"/>
  <c r="L38"/>
  <c r="M38"/>
  <c r="N38"/>
  <c r="O38"/>
  <c r="J39"/>
  <c r="K39"/>
  <c r="L39"/>
  <c r="M39"/>
  <c r="N39"/>
  <c r="O39"/>
  <c r="J40"/>
  <c r="K40"/>
  <c r="L40"/>
  <c r="M40"/>
  <c r="N40"/>
  <c r="O40"/>
  <c r="J41"/>
  <c r="K41"/>
  <c r="L41"/>
  <c r="M41"/>
  <c r="N41"/>
  <c r="O41"/>
  <c r="J42"/>
  <c r="K42"/>
  <c r="L42"/>
  <c r="M42"/>
  <c r="N42"/>
  <c r="O42"/>
  <c r="J43"/>
  <c r="K43"/>
  <c r="L43"/>
  <c r="M43"/>
  <c r="N43"/>
  <c r="O43"/>
  <c r="J44"/>
  <c r="K44"/>
  <c r="L44"/>
  <c r="M44"/>
  <c r="N44"/>
  <c r="O44"/>
  <c r="J45"/>
  <c r="K45"/>
  <c r="L45"/>
  <c r="M45"/>
  <c r="N45"/>
  <c r="O45"/>
  <c r="J46"/>
  <c r="K46"/>
  <c r="L46"/>
  <c r="M46"/>
  <c r="N46"/>
  <c r="O46"/>
  <c r="J47"/>
  <c r="K47"/>
  <c r="L47"/>
  <c r="M47"/>
  <c r="N47"/>
  <c r="O47"/>
  <c r="J48"/>
  <c r="K48"/>
  <c r="L48"/>
  <c r="M48"/>
  <c r="N48"/>
  <c r="O48"/>
  <c r="J49"/>
  <c r="K49"/>
  <c r="L49"/>
  <c r="M49"/>
  <c r="N49"/>
  <c r="O49"/>
  <c r="J50"/>
  <c r="K50"/>
  <c r="L50"/>
  <c r="M50"/>
  <c r="N50"/>
  <c r="O50"/>
  <c r="J51"/>
  <c r="K51"/>
  <c r="L51"/>
  <c r="M51"/>
  <c r="N51"/>
  <c r="O51"/>
  <c r="J52"/>
  <c r="K52"/>
  <c r="L52"/>
  <c r="M52"/>
  <c r="N52"/>
  <c r="O52"/>
  <c r="J53"/>
  <c r="K53"/>
  <c r="L53"/>
  <c r="M53"/>
  <c r="N53"/>
  <c r="O53"/>
  <c r="J54"/>
  <c r="K54"/>
  <c r="L54"/>
  <c r="M54"/>
  <c r="N54"/>
  <c r="O54"/>
  <c r="J55"/>
  <c r="K55"/>
  <c r="L55"/>
  <c r="M55"/>
  <c r="N55"/>
  <c r="O55"/>
  <c r="J56"/>
  <c r="K56"/>
  <c r="L56"/>
  <c r="M56"/>
  <c r="N56"/>
  <c r="O56"/>
  <c r="J57"/>
  <c r="K57"/>
  <c r="L57"/>
  <c r="M57"/>
  <c r="N57"/>
  <c r="O57"/>
  <c r="J58"/>
  <c r="K58"/>
  <c r="L58"/>
  <c r="M58"/>
  <c r="N58"/>
  <c r="O58"/>
  <c r="J59"/>
  <c r="K59"/>
  <c r="L59"/>
  <c r="M59"/>
  <c r="N59"/>
  <c r="O59"/>
  <c r="J60"/>
  <c r="K60"/>
  <c r="L60"/>
  <c r="M60"/>
  <c r="N60"/>
  <c r="O60"/>
  <c r="J61"/>
  <c r="K61"/>
  <c r="L61"/>
  <c r="M61"/>
  <c r="N61"/>
  <c r="O61"/>
  <c r="J62"/>
  <c r="K62"/>
  <c r="L62"/>
  <c r="M62"/>
  <c r="N62"/>
  <c r="O62"/>
  <c r="J63"/>
  <c r="K63"/>
  <c r="L63"/>
  <c r="M63"/>
  <c r="N63"/>
  <c r="O63"/>
  <c r="J64"/>
  <c r="K64"/>
  <c r="L64"/>
  <c r="M64"/>
  <c r="N64"/>
  <c r="O64"/>
  <c r="J65"/>
  <c r="K65"/>
  <c r="L65"/>
  <c r="M65"/>
  <c r="N65"/>
  <c r="O65"/>
  <c r="J66"/>
  <c r="K66"/>
  <c r="L66"/>
  <c r="M66"/>
  <c r="N66"/>
  <c r="O66"/>
  <c r="J67"/>
  <c r="K67"/>
  <c r="L67"/>
  <c r="M67"/>
  <c r="N67"/>
  <c r="O67"/>
  <c r="J68"/>
  <c r="K68"/>
  <c r="L68"/>
  <c r="M68"/>
  <c r="N68"/>
  <c r="O68"/>
  <c r="J69"/>
  <c r="K69"/>
  <c r="L69"/>
  <c r="M69"/>
  <c r="N69"/>
  <c r="O69"/>
  <c r="J70"/>
  <c r="K70"/>
  <c r="L70"/>
  <c r="M70"/>
  <c r="N70"/>
  <c r="O70"/>
  <c r="J71"/>
  <c r="K71"/>
  <c r="L71"/>
  <c r="M71"/>
  <c r="N71"/>
  <c r="O71"/>
  <c r="J72"/>
  <c r="K72"/>
  <c r="L72"/>
  <c r="M72"/>
  <c r="N72"/>
  <c r="O72"/>
  <c r="J73"/>
  <c r="K73"/>
  <c r="L73"/>
  <c r="M73"/>
  <c r="N73"/>
  <c r="O73"/>
  <c r="J74"/>
  <c r="K74"/>
  <c r="L74"/>
  <c r="M74"/>
  <c r="N74"/>
  <c r="O74"/>
  <c r="J75"/>
  <c r="K75"/>
  <c r="L75"/>
  <c r="M75"/>
  <c r="N75"/>
  <c r="O75"/>
  <c r="J76"/>
  <c r="K76"/>
  <c r="L76"/>
  <c r="M76"/>
  <c r="N76"/>
  <c r="O76"/>
  <c r="J77"/>
  <c r="K77"/>
  <c r="L77"/>
  <c r="M77"/>
  <c r="N77"/>
  <c r="O77"/>
  <c r="J78"/>
  <c r="K78"/>
  <c r="L78"/>
  <c r="M78"/>
  <c r="N78"/>
  <c r="O78"/>
  <c r="J79"/>
  <c r="K79"/>
  <c r="L79"/>
  <c r="M79"/>
  <c r="N79"/>
  <c r="O79"/>
  <c r="J80"/>
  <c r="K80"/>
  <c r="L80"/>
  <c r="M80"/>
  <c r="N80"/>
  <c r="O80"/>
  <c r="J81"/>
  <c r="K81"/>
  <c r="L81"/>
  <c r="M81"/>
  <c r="N81"/>
  <c r="O81"/>
  <c r="J82"/>
  <c r="K82"/>
  <c r="L82"/>
  <c r="M82"/>
  <c r="N82"/>
  <c r="O82"/>
  <c r="J83"/>
  <c r="K83"/>
  <c r="L83"/>
  <c r="M83"/>
  <c r="N83"/>
  <c r="O83"/>
  <c r="J84"/>
  <c r="K84"/>
  <c r="L84"/>
  <c r="M84"/>
  <c r="N84"/>
  <c r="O84"/>
  <c r="J85"/>
  <c r="K85"/>
  <c r="L85"/>
  <c r="M85"/>
  <c r="N85"/>
  <c r="O85"/>
  <c r="J86"/>
  <c r="K86"/>
  <c r="L86"/>
  <c r="M86"/>
  <c r="N86"/>
  <c r="O86"/>
  <c r="J87"/>
  <c r="K87"/>
  <c r="L87"/>
  <c r="M87"/>
  <c r="N87"/>
  <c r="O87"/>
  <c r="J88"/>
  <c r="K88"/>
  <c r="L88"/>
  <c r="M88"/>
  <c r="N88"/>
  <c r="O88"/>
  <c r="J89"/>
  <c r="K89"/>
  <c r="L89"/>
  <c r="M89"/>
  <c r="N89"/>
  <c r="O89"/>
  <c r="J90"/>
  <c r="K90"/>
  <c r="L90"/>
  <c r="M90"/>
  <c r="N90"/>
  <c r="O90"/>
  <c r="J91"/>
  <c r="K91"/>
  <c r="L91"/>
  <c r="M91"/>
  <c r="N91"/>
  <c r="O91"/>
  <c r="J92"/>
  <c r="K92"/>
  <c r="L92"/>
  <c r="M92"/>
  <c r="N92"/>
  <c r="O92"/>
  <c r="J93"/>
  <c r="K93"/>
  <c r="L93"/>
  <c r="M93"/>
  <c r="N93"/>
  <c r="O93"/>
  <c r="J94"/>
  <c r="K94"/>
  <c r="L94"/>
  <c r="M94"/>
  <c r="N94"/>
  <c r="O94"/>
  <c r="J95"/>
  <c r="K95"/>
  <c r="L95"/>
  <c r="M95"/>
  <c r="N95"/>
  <c r="O95"/>
  <c r="J96"/>
  <c r="K96"/>
  <c r="L96"/>
  <c r="M96"/>
  <c r="N96"/>
  <c r="O96"/>
  <c r="J97"/>
  <c r="K97"/>
  <c r="L97"/>
  <c r="M97"/>
  <c r="N97"/>
  <c r="O97"/>
  <c r="J98"/>
  <c r="K98"/>
  <c r="L98"/>
  <c r="M98"/>
  <c r="N98"/>
  <c r="O98"/>
  <c r="P4"/>
  <c r="R7"/>
  <c r="V7" s="1"/>
  <c r="P10"/>
  <c r="P12"/>
  <c r="R15"/>
  <c r="P16"/>
  <c r="R17"/>
  <c r="Q19"/>
  <c r="R21"/>
  <c r="Q23"/>
  <c r="P24"/>
  <c r="R25"/>
  <c r="R27"/>
  <c r="P28"/>
  <c r="R29"/>
  <c r="Q31"/>
  <c r="R33"/>
  <c r="Q35"/>
  <c r="P36"/>
  <c r="R37"/>
  <c r="R39"/>
  <c r="P40"/>
  <c r="R41"/>
  <c r="Q43"/>
  <c r="R45"/>
  <c r="Q47"/>
  <c r="P48"/>
  <c r="R49"/>
  <c r="R51"/>
  <c r="P52"/>
  <c r="R53"/>
  <c r="Q55"/>
  <c r="R57"/>
  <c r="Q59"/>
  <c r="P60"/>
  <c r="R61"/>
  <c r="R63"/>
  <c r="P64"/>
  <c r="R65"/>
  <c r="Q66"/>
  <c r="R67"/>
  <c r="Q68"/>
  <c r="R69"/>
  <c r="Q70"/>
  <c r="R71"/>
  <c r="Q72"/>
  <c r="R73"/>
  <c r="Q74"/>
  <c r="R75"/>
  <c r="R79"/>
  <c r="P82"/>
  <c r="Q83"/>
  <c r="R85"/>
  <c r="P87"/>
  <c r="P88"/>
  <c r="R89"/>
  <c r="P90"/>
  <c r="P92"/>
  <c r="R93"/>
  <c r="Q95"/>
  <c r="P96"/>
  <c r="R97"/>
  <c r="P98"/>
  <c r="I3"/>
  <c r="R3"/>
  <c r="V3" s="1"/>
  <c r="R9"/>
  <c r="X3"/>
  <c r="Y3"/>
  <c r="Z3"/>
  <c r="I4"/>
  <c r="X4"/>
  <c r="Y4"/>
  <c r="Z4"/>
  <c r="I5"/>
  <c r="Q5"/>
  <c r="X5"/>
  <c r="Y5"/>
  <c r="Z5"/>
  <c r="I6"/>
  <c r="X6"/>
  <c r="Y6"/>
  <c r="Z6"/>
  <c r="I7"/>
  <c r="X7"/>
  <c r="Y7"/>
  <c r="Z7"/>
  <c r="I8"/>
  <c r="X8"/>
  <c r="Y8"/>
  <c r="Z8"/>
  <c r="I9"/>
  <c r="Q9"/>
  <c r="X9"/>
  <c r="Y9"/>
  <c r="Z9"/>
  <c r="I10"/>
  <c r="X10"/>
  <c r="Y10"/>
  <c r="Z10"/>
  <c r="I11"/>
  <c r="X11"/>
  <c r="Y11"/>
  <c r="Z11"/>
  <c r="I12"/>
  <c r="X12"/>
  <c r="Y12"/>
  <c r="Z12"/>
  <c r="I13"/>
  <c r="Q13"/>
  <c r="X13"/>
  <c r="Y13"/>
  <c r="Z13"/>
  <c r="I14"/>
  <c r="X14"/>
  <c r="Y14"/>
  <c r="Z14"/>
  <c r="I15"/>
  <c r="P15"/>
  <c r="P18"/>
  <c r="R19"/>
  <c r="P22"/>
  <c r="R23"/>
  <c r="P26"/>
  <c r="X15"/>
  <c r="Y15"/>
  <c r="Z15"/>
  <c r="I16"/>
  <c r="X16"/>
  <c r="Y16"/>
  <c r="Z16"/>
  <c r="I17"/>
  <c r="Q17"/>
  <c r="X17"/>
  <c r="Y17"/>
  <c r="Z17"/>
  <c r="I18"/>
  <c r="X18"/>
  <c r="Y18"/>
  <c r="Z18"/>
  <c r="I19"/>
  <c r="X19"/>
  <c r="Y19"/>
  <c r="Z19"/>
  <c r="I20"/>
  <c r="P20"/>
  <c r="X20"/>
  <c r="Y20"/>
  <c r="Z20"/>
  <c r="I21"/>
  <c r="X21"/>
  <c r="Y21"/>
  <c r="Z21"/>
  <c r="I22"/>
  <c r="X22"/>
  <c r="Y22"/>
  <c r="Z22"/>
  <c r="I23"/>
  <c r="V23"/>
  <c r="X23"/>
  <c r="Y23"/>
  <c r="Z23"/>
  <c r="I24"/>
  <c r="X24"/>
  <c r="Y24"/>
  <c r="Z24"/>
  <c r="I25"/>
  <c r="Q25"/>
  <c r="X25"/>
  <c r="Y25"/>
  <c r="Z25"/>
  <c r="I26"/>
  <c r="X26"/>
  <c r="Y26"/>
  <c r="Z26"/>
  <c r="I27"/>
  <c r="P27"/>
  <c r="P30"/>
  <c r="R31"/>
  <c r="P34"/>
  <c r="R35"/>
  <c r="P38"/>
  <c r="X27"/>
  <c r="Y27"/>
  <c r="Z27"/>
  <c r="I28"/>
  <c r="X28"/>
  <c r="Y28"/>
  <c r="Z28"/>
  <c r="I29"/>
  <c r="Q29"/>
  <c r="X29"/>
  <c r="Y29"/>
  <c r="Z29"/>
  <c r="I30"/>
  <c r="X30"/>
  <c r="Y30"/>
  <c r="Z30"/>
  <c r="I31"/>
  <c r="X31"/>
  <c r="Y31"/>
  <c r="Z31"/>
  <c r="I32"/>
  <c r="P32"/>
  <c r="X32"/>
  <c r="Y32"/>
  <c r="Z32"/>
  <c r="I33"/>
  <c r="X33"/>
  <c r="Y33"/>
  <c r="Z33"/>
  <c r="I34"/>
  <c r="X34"/>
  <c r="Y34"/>
  <c r="Z34"/>
  <c r="I35"/>
  <c r="V35"/>
  <c r="X35"/>
  <c r="Y35"/>
  <c r="Z35"/>
  <c r="I36"/>
  <c r="X36"/>
  <c r="Y36"/>
  <c r="Z36"/>
  <c r="I37"/>
  <c r="Q37"/>
  <c r="X37"/>
  <c r="Y37"/>
  <c r="Z37"/>
  <c r="I38"/>
  <c r="X38"/>
  <c r="Y38"/>
  <c r="Z38"/>
  <c r="I39"/>
  <c r="P39"/>
  <c r="P42"/>
  <c r="R43"/>
  <c r="P46"/>
  <c r="R47"/>
  <c r="P50"/>
  <c r="X39"/>
  <c r="Y39"/>
  <c r="Z39"/>
  <c r="I40"/>
  <c r="X40"/>
  <c r="Y40"/>
  <c r="Z40"/>
  <c r="I41"/>
  <c r="Q41"/>
  <c r="X41"/>
  <c r="Y41"/>
  <c r="Z41"/>
  <c r="I42"/>
  <c r="X42"/>
  <c r="Y42"/>
  <c r="Z42"/>
  <c r="I43"/>
  <c r="X43"/>
  <c r="Y43"/>
  <c r="Z43"/>
  <c r="I44"/>
  <c r="P44"/>
  <c r="X44"/>
  <c r="Y44"/>
  <c r="Z44"/>
  <c r="I45"/>
  <c r="X45"/>
  <c r="Y45"/>
  <c r="Z45"/>
  <c r="I46"/>
  <c r="X46"/>
  <c r="Y46"/>
  <c r="Z46"/>
  <c r="I47"/>
  <c r="V47"/>
  <c r="X47"/>
  <c r="Y47"/>
  <c r="Z47"/>
  <c r="I48"/>
  <c r="X48"/>
  <c r="Y48"/>
  <c r="Z48"/>
  <c r="I49"/>
  <c r="Q49"/>
  <c r="X49"/>
  <c r="Y49"/>
  <c r="Z49"/>
  <c r="I50"/>
  <c r="X50"/>
  <c r="Y50"/>
  <c r="Z50"/>
  <c r="I51"/>
  <c r="P51"/>
  <c r="P54"/>
  <c r="R55"/>
  <c r="P58"/>
  <c r="R59"/>
  <c r="P62"/>
  <c r="X51"/>
  <c r="Y51"/>
  <c r="Z51"/>
  <c r="I52"/>
  <c r="X52"/>
  <c r="Y52"/>
  <c r="Z52"/>
  <c r="I53"/>
  <c r="Q53"/>
  <c r="X53"/>
  <c r="Y53"/>
  <c r="Z53"/>
  <c r="I54"/>
  <c r="X54"/>
  <c r="Y54"/>
  <c r="Z54"/>
  <c r="I55"/>
  <c r="X55"/>
  <c r="Y55"/>
  <c r="Z55"/>
  <c r="I56"/>
  <c r="P56"/>
  <c r="X56"/>
  <c r="Y56"/>
  <c r="Z56"/>
  <c r="I57"/>
  <c r="X57"/>
  <c r="Y57"/>
  <c r="Z57"/>
  <c r="I58"/>
  <c r="X58"/>
  <c r="Y58"/>
  <c r="Z58"/>
  <c r="I59"/>
  <c r="V59"/>
  <c r="X59"/>
  <c r="Y59"/>
  <c r="Z59"/>
  <c r="I60"/>
  <c r="X60"/>
  <c r="Y60"/>
  <c r="Z60"/>
  <c r="I61"/>
  <c r="Q61"/>
  <c r="X61"/>
  <c r="Y61"/>
  <c r="Z61"/>
  <c r="I62"/>
  <c r="X62"/>
  <c r="Y62"/>
  <c r="Z62"/>
  <c r="I63"/>
  <c r="P63"/>
  <c r="P66"/>
  <c r="P68"/>
  <c r="P70"/>
  <c r="P72"/>
  <c r="P74"/>
  <c r="X63"/>
  <c r="Y63"/>
  <c r="Z63"/>
  <c r="I64"/>
  <c r="X64"/>
  <c r="Y64"/>
  <c r="Z64"/>
  <c r="I65"/>
  <c r="Q65"/>
  <c r="X65"/>
  <c r="Y65"/>
  <c r="Z65"/>
  <c r="I66"/>
  <c r="X66"/>
  <c r="Y66"/>
  <c r="Z66"/>
  <c r="I67"/>
  <c r="Q67"/>
  <c r="X67"/>
  <c r="Y67"/>
  <c r="Z67"/>
  <c r="I68"/>
  <c r="X68"/>
  <c r="Y68"/>
  <c r="Z68"/>
  <c r="I69"/>
  <c r="Q69"/>
  <c r="X69"/>
  <c r="Y69"/>
  <c r="Z69"/>
  <c r="I70"/>
  <c r="X70"/>
  <c r="Y70"/>
  <c r="Z70"/>
  <c r="I71"/>
  <c r="Q71"/>
  <c r="X71"/>
  <c r="Y71"/>
  <c r="Z71"/>
  <c r="I72"/>
  <c r="X72"/>
  <c r="Y72"/>
  <c r="Z72"/>
  <c r="I73"/>
  <c r="Q73"/>
  <c r="X73"/>
  <c r="Y73"/>
  <c r="Z73"/>
  <c r="I74"/>
  <c r="X74"/>
  <c r="Y74"/>
  <c r="Z74"/>
  <c r="I75"/>
  <c r="P75"/>
  <c r="R77"/>
  <c r="W77" s="1"/>
  <c r="R81"/>
  <c r="W81" s="1"/>
  <c r="R83"/>
  <c r="W83" s="1"/>
  <c r="P86"/>
  <c r="X75"/>
  <c r="Y75"/>
  <c r="Z75"/>
  <c r="I76"/>
  <c r="X76"/>
  <c r="Y76"/>
  <c r="Z76"/>
  <c r="I77"/>
  <c r="X77"/>
  <c r="Y77"/>
  <c r="Z77"/>
  <c r="I78"/>
  <c r="P78"/>
  <c r="X78"/>
  <c r="Y78"/>
  <c r="Z78"/>
  <c r="I79"/>
  <c r="X79"/>
  <c r="Y79"/>
  <c r="Z79"/>
  <c r="I80"/>
  <c r="X80"/>
  <c r="Y80"/>
  <c r="Z80"/>
  <c r="I81"/>
  <c r="Q81"/>
  <c r="X81"/>
  <c r="Y81"/>
  <c r="Z81"/>
  <c r="I82"/>
  <c r="X82"/>
  <c r="Y82"/>
  <c r="Z82"/>
  <c r="I83"/>
  <c r="X83"/>
  <c r="Y83"/>
  <c r="Z83"/>
  <c r="I84"/>
  <c r="X84"/>
  <c r="Y84"/>
  <c r="Z84"/>
  <c r="I85"/>
  <c r="Q85"/>
  <c r="X85"/>
  <c r="Y85"/>
  <c r="Z85"/>
  <c r="I86"/>
  <c r="X86"/>
  <c r="Y86"/>
  <c r="Z86"/>
  <c r="I87"/>
  <c r="R87"/>
  <c r="Q89"/>
  <c r="R91"/>
  <c r="Q93"/>
  <c r="R95"/>
  <c r="Q97"/>
  <c r="X87"/>
  <c r="Y87"/>
  <c r="Z87"/>
  <c r="I88"/>
  <c r="X88"/>
  <c r="Y88"/>
  <c r="Z88"/>
  <c r="I89"/>
  <c r="X89"/>
  <c r="Y89"/>
  <c r="Z89"/>
  <c r="I90"/>
  <c r="X90"/>
  <c r="Y90"/>
  <c r="Z90"/>
  <c r="I91"/>
  <c r="Q91"/>
  <c r="X91"/>
  <c r="Y91"/>
  <c r="Z91"/>
  <c r="I92"/>
  <c r="X92"/>
  <c r="Y92"/>
  <c r="Z92"/>
  <c r="I93"/>
  <c r="X93"/>
  <c r="Y93"/>
  <c r="Z93"/>
  <c r="I94"/>
  <c r="P94"/>
  <c r="X94"/>
  <c r="Y94"/>
  <c r="Z94"/>
  <c r="I95"/>
  <c r="X95"/>
  <c r="Y95"/>
  <c r="Z95"/>
  <c r="I96"/>
  <c r="X96"/>
  <c r="Y96"/>
  <c r="Z96"/>
  <c r="I97"/>
  <c r="X97"/>
  <c r="Y97"/>
  <c r="Z97"/>
  <c r="I98"/>
  <c r="X98"/>
  <c r="Y98"/>
  <c r="Z98"/>
  <c r="J1" i="26"/>
  <c r="K1"/>
  <c r="L1"/>
  <c r="M1"/>
  <c r="N1"/>
  <c r="O1"/>
  <c r="I4"/>
  <c r="J4"/>
  <c r="K4"/>
  <c r="L4"/>
  <c r="M4"/>
  <c r="N4"/>
  <c r="O4"/>
  <c r="Y4"/>
  <c r="Z4"/>
  <c r="AA4"/>
  <c r="I5"/>
  <c r="J5"/>
  <c r="K5"/>
  <c r="L5"/>
  <c r="M5"/>
  <c r="N5"/>
  <c r="O5"/>
  <c r="Y5"/>
  <c r="Z5"/>
  <c r="AA5"/>
  <c r="I6"/>
  <c r="J6"/>
  <c r="K6"/>
  <c r="L6"/>
  <c r="M6"/>
  <c r="N6"/>
  <c r="O6"/>
  <c r="Y6"/>
  <c r="Z6"/>
  <c r="AA6"/>
  <c r="I7"/>
  <c r="J7"/>
  <c r="K7"/>
  <c r="L7"/>
  <c r="M7"/>
  <c r="N7"/>
  <c r="O7"/>
  <c r="Y7"/>
  <c r="Z7"/>
  <c r="AA7"/>
  <c r="I8"/>
  <c r="J8"/>
  <c r="K8"/>
  <c r="L8"/>
  <c r="M8"/>
  <c r="N8"/>
  <c r="O8"/>
  <c r="Y8"/>
  <c r="Z8"/>
  <c r="AA8"/>
  <c r="I9"/>
  <c r="J9"/>
  <c r="K9"/>
  <c r="L9"/>
  <c r="M9"/>
  <c r="N9"/>
  <c r="O9"/>
  <c r="Y9"/>
  <c r="Z9"/>
  <c r="AA9"/>
  <c r="I10"/>
  <c r="J10"/>
  <c r="K10"/>
  <c r="L10"/>
  <c r="M10"/>
  <c r="N10"/>
  <c r="O10"/>
  <c r="Y10"/>
  <c r="Z10"/>
  <c r="AA10"/>
  <c r="I11"/>
  <c r="J11"/>
  <c r="K11"/>
  <c r="L11"/>
  <c r="M11"/>
  <c r="N11"/>
  <c r="O11"/>
  <c r="Y11"/>
  <c r="Z11"/>
  <c r="AA11"/>
  <c r="I12"/>
  <c r="J12"/>
  <c r="K12"/>
  <c r="L12"/>
  <c r="M12"/>
  <c r="N12"/>
  <c r="O12"/>
  <c r="Y12"/>
  <c r="Z12"/>
  <c r="AA12"/>
  <c r="I13"/>
  <c r="J13"/>
  <c r="K13"/>
  <c r="L13"/>
  <c r="M13"/>
  <c r="N13"/>
  <c r="O13"/>
  <c r="Y13"/>
  <c r="Z13"/>
  <c r="AA13"/>
  <c r="I14"/>
  <c r="J14"/>
  <c r="K14"/>
  <c r="L14"/>
  <c r="M14"/>
  <c r="N14"/>
  <c r="O14"/>
  <c r="Y14"/>
  <c r="Z14"/>
  <c r="AA14"/>
  <c r="I15"/>
  <c r="J15"/>
  <c r="K15"/>
  <c r="L15"/>
  <c r="M15"/>
  <c r="N15"/>
  <c r="O15"/>
  <c r="Y15"/>
  <c r="Z15"/>
  <c r="AA15"/>
  <c r="A16"/>
  <c r="B16"/>
  <c r="C16"/>
  <c r="D16"/>
  <c r="E16"/>
  <c r="F16"/>
  <c r="G16"/>
  <c r="H16"/>
  <c r="I16"/>
  <c r="J16"/>
  <c r="K16"/>
  <c r="L16"/>
  <c r="M16"/>
  <c r="N16"/>
  <c r="O16"/>
  <c r="Y16"/>
  <c r="Z16"/>
  <c r="AA16"/>
  <c r="A17"/>
  <c r="B17"/>
  <c r="C17"/>
  <c r="D17"/>
  <c r="E17"/>
  <c r="F17"/>
  <c r="G17"/>
  <c r="H17"/>
  <c r="J17"/>
  <c r="L17"/>
  <c r="N17"/>
  <c r="Y17"/>
  <c r="AA17"/>
  <c r="A18"/>
  <c r="B18"/>
  <c r="C18"/>
  <c r="D18"/>
  <c r="E18"/>
  <c r="F18"/>
  <c r="G18"/>
  <c r="H18"/>
  <c r="J18"/>
  <c r="L18"/>
  <c r="N18"/>
  <c r="Y18"/>
  <c r="AA18"/>
  <c r="I20"/>
  <c r="J20"/>
  <c r="K20"/>
  <c r="L20"/>
  <c r="M20"/>
  <c r="N20"/>
  <c r="O20"/>
  <c r="R20"/>
  <c r="V20"/>
  <c r="Y20"/>
  <c r="Z20"/>
  <c r="AA20"/>
  <c r="AD20"/>
  <c r="AH20"/>
  <c r="I21"/>
  <c r="J21"/>
  <c r="K21"/>
  <c r="L21"/>
  <c r="M21"/>
  <c r="N21"/>
  <c r="O21"/>
  <c r="Q21"/>
  <c r="Y21"/>
  <c r="Z21"/>
  <c r="AA21"/>
  <c r="I22"/>
  <c r="J22"/>
  <c r="K22"/>
  <c r="L22"/>
  <c r="L32" s="1"/>
  <c r="M22"/>
  <c r="N22"/>
  <c r="O22"/>
  <c r="P22"/>
  <c r="Y22"/>
  <c r="Z22"/>
  <c r="AA22"/>
  <c r="I23"/>
  <c r="J23"/>
  <c r="K23"/>
  <c r="L23"/>
  <c r="M23"/>
  <c r="N23"/>
  <c r="O23"/>
  <c r="Y23"/>
  <c r="Z23"/>
  <c r="Z32" s="1"/>
  <c r="AA23"/>
  <c r="I24"/>
  <c r="J24"/>
  <c r="K24"/>
  <c r="L24"/>
  <c r="M24"/>
  <c r="N24"/>
  <c r="O24"/>
  <c r="R24"/>
  <c r="V24"/>
  <c r="Y24"/>
  <c r="Z24"/>
  <c r="AA24"/>
  <c r="AD24"/>
  <c r="AH24"/>
  <c r="I25"/>
  <c r="J25"/>
  <c r="K25"/>
  <c r="L25"/>
  <c r="M25"/>
  <c r="N25"/>
  <c r="O25"/>
  <c r="Q25"/>
  <c r="Y25"/>
  <c r="Z25"/>
  <c r="AA25"/>
  <c r="I26"/>
  <c r="J26"/>
  <c r="K26"/>
  <c r="L26"/>
  <c r="L33" s="1"/>
  <c r="M26"/>
  <c r="N26"/>
  <c r="O26"/>
  <c r="P26"/>
  <c r="Y26"/>
  <c r="Z26"/>
  <c r="AA26"/>
  <c r="I27"/>
  <c r="J27"/>
  <c r="K27"/>
  <c r="L27"/>
  <c r="M27"/>
  <c r="N27"/>
  <c r="O27"/>
  <c r="Y27"/>
  <c r="Z27"/>
  <c r="Z33" s="1"/>
  <c r="AA27"/>
  <c r="I28"/>
  <c r="J28"/>
  <c r="K28"/>
  <c r="L28"/>
  <c r="M28"/>
  <c r="N28"/>
  <c r="O28"/>
  <c r="R28"/>
  <c r="V28"/>
  <c r="Y28"/>
  <c r="Z28"/>
  <c r="AA28"/>
  <c r="AD28"/>
  <c r="AH28"/>
  <c r="I29"/>
  <c r="J29"/>
  <c r="K29"/>
  <c r="L29"/>
  <c r="M29"/>
  <c r="N29"/>
  <c r="O29"/>
  <c r="Q29"/>
  <c r="Y29"/>
  <c r="Z29"/>
  <c r="AA29"/>
  <c r="I30"/>
  <c r="J30"/>
  <c r="K30"/>
  <c r="L30"/>
  <c r="M30"/>
  <c r="N30"/>
  <c r="N34" s="1"/>
  <c r="O30"/>
  <c r="P30"/>
  <c r="Y30"/>
  <c r="Z30"/>
  <c r="AA30"/>
  <c r="I31"/>
  <c r="J31"/>
  <c r="K31"/>
  <c r="L31"/>
  <c r="M31"/>
  <c r="N31"/>
  <c r="O31"/>
  <c r="Y31"/>
  <c r="Z31"/>
  <c r="AA31"/>
  <c r="A32"/>
  <c r="B32"/>
  <c r="C32"/>
  <c r="D32"/>
  <c r="E32"/>
  <c r="F32"/>
  <c r="G32"/>
  <c r="H32"/>
  <c r="J32"/>
  <c r="N32"/>
  <c r="A33"/>
  <c r="B33"/>
  <c r="C33"/>
  <c r="D33"/>
  <c r="E33"/>
  <c r="F33"/>
  <c r="G33"/>
  <c r="H33"/>
  <c r="J33"/>
  <c r="N33"/>
  <c r="A34"/>
  <c r="B34"/>
  <c r="C34"/>
  <c r="D34"/>
  <c r="E34"/>
  <c r="F34"/>
  <c r="G34"/>
  <c r="H34"/>
  <c r="L34"/>
  <c r="Z34"/>
  <c r="I35"/>
  <c r="J35"/>
  <c r="K35"/>
  <c r="L35"/>
  <c r="M35"/>
  <c r="N35"/>
  <c r="O35"/>
  <c r="R35"/>
  <c r="V35"/>
  <c r="Y35"/>
  <c r="Z35"/>
  <c r="AA35"/>
  <c r="AD35"/>
  <c r="AH35"/>
  <c r="I36"/>
  <c r="J36"/>
  <c r="K36"/>
  <c r="L36"/>
  <c r="M36"/>
  <c r="N36"/>
  <c r="O36"/>
  <c r="Q36"/>
  <c r="Y36"/>
  <c r="Z36"/>
  <c r="AA36"/>
  <c r="I37"/>
  <c r="J37"/>
  <c r="K37"/>
  <c r="L37"/>
  <c r="L47" s="1"/>
  <c r="M37"/>
  <c r="N37"/>
  <c r="N47" s="1"/>
  <c r="O37"/>
  <c r="P37"/>
  <c r="Y37"/>
  <c r="Z37"/>
  <c r="AA37"/>
  <c r="I38"/>
  <c r="J38"/>
  <c r="K38"/>
  <c r="L38"/>
  <c r="M38"/>
  <c r="N38"/>
  <c r="O38"/>
  <c r="Y38"/>
  <c r="Z38"/>
  <c r="Z47" s="1"/>
  <c r="AA38"/>
  <c r="I39"/>
  <c r="J39"/>
  <c r="K39"/>
  <c r="L39"/>
  <c r="M39"/>
  <c r="N39"/>
  <c r="O39"/>
  <c r="R39"/>
  <c r="V39"/>
  <c r="Y39"/>
  <c r="Z39"/>
  <c r="AA39"/>
  <c r="AD39"/>
  <c r="AH39"/>
  <c r="I40"/>
  <c r="J40"/>
  <c r="K40"/>
  <c r="L40"/>
  <c r="M40"/>
  <c r="N40"/>
  <c r="O40"/>
  <c r="Q40"/>
  <c r="Y40"/>
  <c r="Z40"/>
  <c r="AA40"/>
  <c r="I41"/>
  <c r="J41"/>
  <c r="K41"/>
  <c r="L41"/>
  <c r="L48" s="1"/>
  <c r="M41"/>
  <c r="N41"/>
  <c r="N48" s="1"/>
  <c r="O41"/>
  <c r="P41"/>
  <c r="Y41"/>
  <c r="Z41"/>
  <c r="AA41"/>
  <c r="I42"/>
  <c r="J42"/>
  <c r="K42"/>
  <c r="L42"/>
  <c r="M42"/>
  <c r="N42"/>
  <c r="O42"/>
  <c r="Y42"/>
  <c r="Z42"/>
  <c r="AA42"/>
  <c r="I43"/>
  <c r="J43"/>
  <c r="K43"/>
  <c r="L43"/>
  <c r="M43"/>
  <c r="N43"/>
  <c r="O43"/>
  <c r="Q43"/>
  <c r="Y43"/>
  <c r="Z43"/>
  <c r="AA43"/>
  <c r="I44"/>
  <c r="J44"/>
  <c r="R44" s="1"/>
  <c r="K44"/>
  <c r="L44"/>
  <c r="M44"/>
  <c r="N44"/>
  <c r="O44"/>
  <c r="P44"/>
  <c r="Y44"/>
  <c r="Z44"/>
  <c r="AA44"/>
  <c r="I45"/>
  <c r="J45"/>
  <c r="K45"/>
  <c r="Q45" s="1"/>
  <c r="L45"/>
  <c r="M45"/>
  <c r="N45"/>
  <c r="O45"/>
  <c r="Y45"/>
  <c r="Z45"/>
  <c r="AA45"/>
  <c r="I46"/>
  <c r="J46"/>
  <c r="K46"/>
  <c r="L46"/>
  <c r="M46"/>
  <c r="N46"/>
  <c r="O46"/>
  <c r="P46"/>
  <c r="R46"/>
  <c r="AF46" s="1"/>
  <c r="V46"/>
  <c r="Y46"/>
  <c r="Z46"/>
  <c r="AA46"/>
  <c r="AD46"/>
  <c r="AH46"/>
  <c r="A47"/>
  <c r="B47"/>
  <c r="C47"/>
  <c r="D47"/>
  <c r="E47"/>
  <c r="F47"/>
  <c r="G47"/>
  <c r="H47"/>
  <c r="I47"/>
  <c r="K47"/>
  <c r="M47"/>
  <c r="O47"/>
  <c r="Y47"/>
  <c r="AA47"/>
  <c r="A48"/>
  <c r="B48"/>
  <c r="C48"/>
  <c r="D48"/>
  <c r="E48"/>
  <c r="F48"/>
  <c r="G48"/>
  <c r="H48"/>
  <c r="I48"/>
  <c r="K48"/>
  <c r="M48"/>
  <c r="O48"/>
  <c r="Y48"/>
  <c r="Z48"/>
  <c r="AA48"/>
  <c r="A49"/>
  <c r="B49"/>
  <c r="C49"/>
  <c r="D49"/>
  <c r="E49"/>
  <c r="F49"/>
  <c r="G49"/>
  <c r="H49"/>
  <c r="I49"/>
  <c r="J49"/>
  <c r="K49"/>
  <c r="L49"/>
  <c r="M49"/>
  <c r="N49"/>
  <c r="O49"/>
  <c r="Y49"/>
  <c r="Z49"/>
  <c r="AA49"/>
  <c r="I50"/>
  <c r="J50"/>
  <c r="Q50" s="1"/>
  <c r="K50"/>
  <c r="L50"/>
  <c r="M50"/>
  <c r="N50"/>
  <c r="O50"/>
  <c r="P50"/>
  <c r="R50"/>
  <c r="S50" s="1"/>
  <c r="V50"/>
  <c r="Y50"/>
  <c r="Y62" s="1"/>
  <c r="Z50"/>
  <c r="AA50"/>
  <c r="AA62" s="1"/>
  <c r="AD50"/>
  <c r="AF50"/>
  <c r="AH50"/>
  <c r="I51"/>
  <c r="J51"/>
  <c r="K51"/>
  <c r="P51" s="1"/>
  <c r="L51"/>
  <c r="M51"/>
  <c r="M62" s="1"/>
  <c r="N51"/>
  <c r="O51"/>
  <c r="O62" s="1"/>
  <c r="Q51"/>
  <c r="Y51"/>
  <c r="Z51"/>
  <c r="AA51"/>
  <c r="I52"/>
  <c r="J52"/>
  <c r="Q52" s="1"/>
  <c r="K52"/>
  <c r="L52"/>
  <c r="M52"/>
  <c r="N52"/>
  <c r="O52"/>
  <c r="P52"/>
  <c r="R52"/>
  <c r="S52" s="1"/>
  <c r="T52" s="1"/>
  <c r="V52"/>
  <c r="Y52"/>
  <c r="Z52"/>
  <c r="AA52"/>
  <c r="AD52"/>
  <c r="AF52"/>
  <c r="AH52"/>
  <c r="I53"/>
  <c r="J53"/>
  <c r="K53"/>
  <c r="P53" s="1"/>
  <c r="L53"/>
  <c r="M53"/>
  <c r="N53"/>
  <c r="O53"/>
  <c r="Q53"/>
  <c r="Y53"/>
  <c r="Z53"/>
  <c r="AA53"/>
  <c r="I54"/>
  <c r="J54"/>
  <c r="Q54" s="1"/>
  <c r="K54"/>
  <c r="L54"/>
  <c r="M54"/>
  <c r="N54"/>
  <c r="O54"/>
  <c r="P54"/>
  <c r="R54"/>
  <c r="S54" s="1"/>
  <c r="V54"/>
  <c r="Y54"/>
  <c r="Y63" s="1"/>
  <c r="Z54"/>
  <c r="AA54"/>
  <c r="AA63" s="1"/>
  <c r="AD54"/>
  <c r="AF54"/>
  <c r="AH54"/>
  <c r="I55"/>
  <c r="J55"/>
  <c r="K55"/>
  <c r="P55" s="1"/>
  <c r="L55"/>
  <c r="M55"/>
  <c r="M63" s="1"/>
  <c r="N55"/>
  <c r="O55"/>
  <c r="O63" s="1"/>
  <c r="Q55"/>
  <c r="Y55"/>
  <c r="Z55"/>
  <c r="AA55"/>
  <c r="I56"/>
  <c r="J56"/>
  <c r="Q56" s="1"/>
  <c r="K56"/>
  <c r="L56"/>
  <c r="M56"/>
  <c r="N56"/>
  <c r="O56"/>
  <c r="P56"/>
  <c r="R56"/>
  <c r="S56" s="1"/>
  <c r="T56" s="1"/>
  <c r="V56"/>
  <c r="Y56"/>
  <c r="Z56"/>
  <c r="AA56"/>
  <c r="AD56"/>
  <c r="AF56"/>
  <c r="AH56"/>
  <c r="I57"/>
  <c r="J57"/>
  <c r="K57"/>
  <c r="P57" s="1"/>
  <c r="L57"/>
  <c r="M57"/>
  <c r="N57"/>
  <c r="O57"/>
  <c r="Q57"/>
  <c r="Y57"/>
  <c r="Z57"/>
  <c r="AA57"/>
  <c r="I58"/>
  <c r="J58"/>
  <c r="Q58" s="1"/>
  <c r="K58"/>
  <c r="L58"/>
  <c r="M58"/>
  <c r="N58"/>
  <c r="O58"/>
  <c r="P58"/>
  <c r="R58"/>
  <c r="S58" s="1"/>
  <c r="V58"/>
  <c r="Y58"/>
  <c r="Z58"/>
  <c r="AA58"/>
  <c r="AD58"/>
  <c r="AF58"/>
  <c r="AH58"/>
  <c r="I59"/>
  <c r="J59"/>
  <c r="K59"/>
  <c r="P59" s="1"/>
  <c r="L59"/>
  <c r="M59"/>
  <c r="N59"/>
  <c r="O59"/>
  <c r="Q59"/>
  <c r="Y59"/>
  <c r="Z59"/>
  <c r="AA59"/>
  <c r="I60"/>
  <c r="J60"/>
  <c r="K60"/>
  <c r="L60"/>
  <c r="R60" s="1"/>
  <c r="M60"/>
  <c r="N60"/>
  <c r="O60"/>
  <c r="P60"/>
  <c r="Y60"/>
  <c r="Z60"/>
  <c r="AA60"/>
  <c r="I61"/>
  <c r="J61"/>
  <c r="K61"/>
  <c r="Q61" s="1"/>
  <c r="L61"/>
  <c r="M61"/>
  <c r="N61"/>
  <c r="O61"/>
  <c r="Y61"/>
  <c r="Z61"/>
  <c r="AA61"/>
  <c r="A62"/>
  <c r="B62"/>
  <c r="C62"/>
  <c r="D62"/>
  <c r="E62"/>
  <c r="F62"/>
  <c r="G62"/>
  <c r="H62"/>
  <c r="J62"/>
  <c r="L62"/>
  <c r="N62"/>
  <c r="P62"/>
  <c r="Z62"/>
  <c r="A63"/>
  <c r="B63"/>
  <c r="C63"/>
  <c r="D63"/>
  <c r="E63"/>
  <c r="F63"/>
  <c r="G63"/>
  <c r="H63"/>
  <c r="J63"/>
  <c r="L63"/>
  <c r="N63"/>
  <c r="P63"/>
  <c r="Z63"/>
  <c r="A64"/>
  <c r="B64"/>
  <c r="C64"/>
  <c r="D64"/>
  <c r="E64"/>
  <c r="F64"/>
  <c r="G64"/>
  <c r="H64"/>
  <c r="J64"/>
  <c r="L64"/>
  <c r="N64"/>
  <c r="Z64"/>
  <c r="I65"/>
  <c r="J65"/>
  <c r="K65"/>
  <c r="L65"/>
  <c r="M65"/>
  <c r="N65"/>
  <c r="O65"/>
  <c r="P65"/>
  <c r="R65"/>
  <c r="V65"/>
  <c r="Y65"/>
  <c r="Z65"/>
  <c r="AA65"/>
  <c r="AD65"/>
  <c r="AF65"/>
  <c r="AH65"/>
  <c r="I66"/>
  <c r="J66"/>
  <c r="K66"/>
  <c r="L66"/>
  <c r="M66"/>
  <c r="N66"/>
  <c r="O66"/>
  <c r="Q66"/>
  <c r="Y66"/>
  <c r="Z66"/>
  <c r="AA66"/>
  <c r="I67"/>
  <c r="J67"/>
  <c r="R67" s="1"/>
  <c r="K67"/>
  <c r="L67"/>
  <c r="M67"/>
  <c r="N67"/>
  <c r="O67"/>
  <c r="P67"/>
  <c r="Y67"/>
  <c r="Z67"/>
  <c r="AA67"/>
  <c r="I68"/>
  <c r="J68"/>
  <c r="K68"/>
  <c r="Q68" s="1"/>
  <c r="L68"/>
  <c r="M68"/>
  <c r="N68"/>
  <c r="O68"/>
  <c r="Y68"/>
  <c r="Z68"/>
  <c r="AA68"/>
  <c r="I69"/>
  <c r="J69"/>
  <c r="K69"/>
  <c r="L69"/>
  <c r="M69"/>
  <c r="N69"/>
  <c r="O69"/>
  <c r="P69"/>
  <c r="R69"/>
  <c r="AF69" s="1"/>
  <c r="V69"/>
  <c r="Y69"/>
  <c r="Z69"/>
  <c r="AA69"/>
  <c r="AD69"/>
  <c r="AH69"/>
  <c r="I70"/>
  <c r="J70"/>
  <c r="K70"/>
  <c r="L70"/>
  <c r="M70"/>
  <c r="N70"/>
  <c r="O70"/>
  <c r="Q70"/>
  <c r="Y70"/>
  <c r="Z70"/>
  <c r="AA70"/>
  <c r="I71"/>
  <c r="J71"/>
  <c r="R71" s="1"/>
  <c r="K71"/>
  <c r="L71"/>
  <c r="M71"/>
  <c r="N71"/>
  <c r="O71"/>
  <c r="P71"/>
  <c r="Y71"/>
  <c r="Z71"/>
  <c r="AA71"/>
  <c r="I72"/>
  <c r="J72"/>
  <c r="K72"/>
  <c r="Q72" s="1"/>
  <c r="L72"/>
  <c r="M72"/>
  <c r="N72"/>
  <c r="O72"/>
  <c r="Y72"/>
  <c r="Z72"/>
  <c r="Z78" s="1"/>
  <c r="AA72"/>
  <c r="I73"/>
  <c r="J73"/>
  <c r="K73"/>
  <c r="L73"/>
  <c r="M73"/>
  <c r="N73"/>
  <c r="O73"/>
  <c r="P73"/>
  <c r="R73"/>
  <c r="AF73" s="1"/>
  <c r="V73"/>
  <c r="Y73"/>
  <c r="Z73"/>
  <c r="AA73"/>
  <c r="AD73"/>
  <c r="AH73"/>
  <c r="I74"/>
  <c r="J74"/>
  <c r="K74"/>
  <c r="L74"/>
  <c r="M74"/>
  <c r="N74"/>
  <c r="O74"/>
  <c r="Q74"/>
  <c r="Y74"/>
  <c r="Z74"/>
  <c r="AA74"/>
  <c r="I75"/>
  <c r="J75"/>
  <c r="R75" s="1"/>
  <c r="K75"/>
  <c r="L75"/>
  <c r="M75"/>
  <c r="N75"/>
  <c r="N79" s="1"/>
  <c r="O75"/>
  <c r="P75"/>
  <c r="Y75"/>
  <c r="Z75"/>
  <c r="AA75"/>
  <c r="I76"/>
  <c r="J76"/>
  <c r="K76"/>
  <c r="Q76" s="1"/>
  <c r="L76"/>
  <c r="M76"/>
  <c r="N76"/>
  <c r="O76"/>
  <c r="Y76"/>
  <c r="Z76"/>
  <c r="AA76"/>
  <c r="A77"/>
  <c r="B77"/>
  <c r="C77"/>
  <c r="D77"/>
  <c r="E77"/>
  <c r="F77"/>
  <c r="G77"/>
  <c r="H77"/>
  <c r="J77"/>
  <c r="L77"/>
  <c r="N77"/>
  <c r="Z77"/>
  <c r="A78"/>
  <c r="B78"/>
  <c r="C78"/>
  <c r="D78"/>
  <c r="E78"/>
  <c r="F78"/>
  <c r="G78"/>
  <c r="H78"/>
  <c r="J78"/>
  <c r="L78"/>
  <c r="N78"/>
  <c r="A79"/>
  <c r="B79"/>
  <c r="C79"/>
  <c r="D79"/>
  <c r="E79"/>
  <c r="F79"/>
  <c r="G79"/>
  <c r="H79"/>
  <c r="L79"/>
  <c r="Z79"/>
  <c r="I80"/>
  <c r="J80"/>
  <c r="K80"/>
  <c r="L80"/>
  <c r="M80"/>
  <c r="N80"/>
  <c r="O80"/>
  <c r="P80"/>
  <c r="R80"/>
  <c r="AF80" s="1"/>
  <c r="V80"/>
  <c r="Y80"/>
  <c r="Z80"/>
  <c r="AA80"/>
  <c r="AD80"/>
  <c r="AH80"/>
  <c r="I81"/>
  <c r="J81"/>
  <c r="K81"/>
  <c r="L81"/>
  <c r="M81"/>
  <c r="N81"/>
  <c r="O81"/>
  <c r="Q81"/>
  <c r="Y81"/>
  <c r="Z81"/>
  <c r="AA81"/>
  <c r="I82"/>
  <c r="J82"/>
  <c r="R82" s="1"/>
  <c r="K82"/>
  <c r="L82"/>
  <c r="M82"/>
  <c r="N82"/>
  <c r="O82"/>
  <c r="P82"/>
  <c r="Y82"/>
  <c r="Z82"/>
  <c r="AA82"/>
  <c r="I83"/>
  <c r="J83"/>
  <c r="K83"/>
  <c r="Q83" s="1"/>
  <c r="L83"/>
  <c r="M83"/>
  <c r="N83"/>
  <c r="O83"/>
  <c r="Y83"/>
  <c r="Z83"/>
  <c r="Z92" s="1"/>
  <c r="AA83"/>
  <c r="I84"/>
  <c r="J84"/>
  <c r="K84"/>
  <c r="L84"/>
  <c r="M84"/>
  <c r="N84"/>
  <c r="O84"/>
  <c r="P84"/>
  <c r="R84"/>
  <c r="AF84" s="1"/>
  <c r="V84"/>
  <c r="Y84"/>
  <c r="Z84"/>
  <c r="AA84"/>
  <c r="AD84"/>
  <c r="AH84"/>
  <c r="I85"/>
  <c r="J85"/>
  <c r="K85"/>
  <c r="L85"/>
  <c r="M85"/>
  <c r="N85"/>
  <c r="O85"/>
  <c r="Q85"/>
  <c r="Y85"/>
  <c r="Z85"/>
  <c r="AA85"/>
  <c r="I86"/>
  <c r="J86"/>
  <c r="R86" s="1"/>
  <c r="K86"/>
  <c r="L86"/>
  <c r="L93" s="1"/>
  <c r="M86"/>
  <c r="N86"/>
  <c r="O86"/>
  <c r="P86"/>
  <c r="Y86"/>
  <c r="Z86"/>
  <c r="AA86"/>
  <c r="I87"/>
  <c r="J87"/>
  <c r="K87"/>
  <c r="Q87" s="1"/>
  <c r="L87"/>
  <c r="M87"/>
  <c r="N87"/>
  <c r="O87"/>
  <c r="Y87"/>
  <c r="Z87"/>
  <c r="Z93" s="1"/>
  <c r="AA87"/>
  <c r="I88"/>
  <c r="J88"/>
  <c r="K88"/>
  <c r="L88"/>
  <c r="M88"/>
  <c r="N88"/>
  <c r="O88"/>
  <c r="P88"/>
  <c r="R88"/>
  <c r="AF88" s="1"/>
  <c r="V88"/>
  <c r="Y88"/>
  <c r="Z88"/>
  <c r="AA88"/>
  <c r="AD88"/>
  <c r="AH88"/>
  <c r="I89"/>
  <c r="J89"/>
  <c r="K89"/>
  <c r="L89"/>
  <c r="M89"/>
  <c r="N89"/>
  <c r="O89"/>
  <c r="Q89"/>
  <c r="Y89"/>
  <c r="Z89"/>
  <c r="AA89"/>
  <c r="I90"/>
  <c r="J90"/>
  <c r="R90" s="1"/>
  <c r="K90"/>
  <c r="L90"/>
  <c r="M90"/>
  <c r="N90"/>
  <c r="N94" s="1"/>
  <c r="O90"/>
  <c r="P90"/>
  <c r="Y90"/>
  <c r="Z90"/>
  <c r="AA90"/>
  <c r="I91"/>
  <c r="J91"/>
  <c r="K91"/>
  <c r="Q91" s="1"/>
  <c r="L91"/>
  <c r="M91"/>
  <c r="N91"/>
  <c r="O91"/>
  <c r="Y91"/>
  <c r="Z91"/>
  <c r="AA91"/>
  <c r="A92"/>
  <c r="B92"/>
  <c r="C92"/>
  <c r="D92"/>
  <c r="E92"/>
  <c r="F92"/>
  <c r="G92"/>
  <c r="H92"/>
  <c r="J92"/>
  <c r="L92"/>
  <c r="N92"/>
  <c r="A93"/>
  <c r="B93"/>
  <c r="C93"/>
  <c r="D93"/>
  <c r="E93"/>
  <c r="F93"/>
  <c r="G93"/>
  <c r="H93"/>
  <c r="J93"/>
  <c r="N93"/>
  <c r="A94"/>
  <c r="B94"/>
  <c r="C94"/>
  <c r="D94"/>
  <c r="E94"/>
  <c r="F94"/>
  <c r="G94"/>
  <c r="H94"/>
  <c r="L94"/>
  <c r="Z94"/>
  <c r="I95"/>
  <c r="J95"/>
  <c r="K95"/>
  <c r="L95"/>
  <c r="M95"/>
  <c r="N95"/>
  <c r="O95"/>
  <c r="P95"/>
  <c r="R95"/>
  <c r="AF95" s="1"/>
  <c r="V95"/>
  <c r="Y95"/>
  <c r="Z95"/>
  <c r="AA95"/>
  <c r="AD95"/>
  <c r="AH95"/>
  <c r="I96"/>
  <c r="J96"/>
  <c r="K96"/>
  <c r="L96"/>
  <c r="M96"/>
  <c r="N96"/>
  <c r="O96"/>
  <c r="Q96"/>
  <c r="Y96"/>
  <c r="Z96"/>
  <c r="AA96"/>
  <c r="I97"/>
  <c r="J97"/>
  <c r="R97" s="1"/>
  <c r="K97"/>
  <c r="L97"/>
  <c r="L107" s="1"/>
  <c r="M97"/>
  <c r="N97"/>
  <c r="N107" s="1"/>
  <c r="O97"/>
  <c r="P97"/>
  <c r="Y97"/>
  <c r="Z97"/>
  <c r="AA97"/>
  <c r="I98"/>
  <c r="J98"/>
  <c r="K98"/>
  <c r="Q98" s="1"/>
  <c r="L98"/>
  <c r="M98"/>
  <c r="N98"/>
  <c r="O98"/>
  <c r="Y98"/>
  <c r="Z98"/>
  <c r="Z107" s="1"/>
  <c r="AA98"/>
  <c r="I99"/>
  <c r="J99"/>
  <c r="K99"/>
  <c r="L99"/>
  <c r="M99"/>
  <c r="N99"/>
  <c r="O99"/>
  <c r="P99"/>
  <c r="R99"/>
  <c r="AF99" s="1"/>
  <c r="V99"/>
  <c r="Y99"/>
  <c r="Z99"/>
  <c r="AA99"/>
  <c r="AD99"/>
  <c r="AH99"/>
  <c r="I100"/>
  <c r="J100"/>
  <c r="Q100" s="1"/>
  <c r="K100"/>
  <c r="L100"/>
  <c r="L108" s="1"/>
  <c r="M100"/>
  <c r="N100"/>
  <c r="N108" s="1"/>
  <c r="O100"/>
  <c r="P100"/>
  <c r="P108" s="1"/>
  <c r="R100"/>
  <c r="S100" s="1"/>
  <c r="T100" s="1"/>
  <c r="V100"/>
  <c r="Y100"/>
  <c r="Z100"/>
  <c r="AA100"/>
  <c r="AD100"/>
  <c r="AF100"/>
  <c r="AH100"/>
  <c r="I101"/>
  <c r="J101"/>
  <c r="K101"/>
  <c r="P101" s="1"/>
  <c r="L101"/>
  <c r="M101"/>
  <c r="N101"/>
  <c r="O101"/>
  <c r="Q101"/>
  <c r="Y101"/>
  <c r="Z101"/>
  <c r="Z108" s="1"/>
  <c r="AA101"/>
  <c r="I102"/>
  <c r="J102"/>
  <c r="Q102" s="1"/>
  <c r="K102"/>
  <c r="L102"/>
  <c r="M102"/>
  <c r="N102"/>
  <c r="O102"/>
  <c r="P102"/>
  <c r="R102"/>
  <c r="S102" s="1"/>
  <c r="T102" s="1"/>
  <c r="V102"/>
  <c r="Y102"/>
  <c r="Z102"/>
  <c r="AA102"/>
  <c r="AD102"/>
  <c r="AF102"/>
  <c r="AH102"/>
  <c r="I103"/>
  <c r="J103"/>
  <c r="K103"/>
  <c r="P103" s="1"/>
  <c r="P109" s="1"/>
  <c r="L103"/>
  <c r="M103"/>
  <c r="N103"/>
  <c r="O103"/>
  <c r="Q103"/>
  <c r="Y103"/>
  <c r="Z103"/>
  <c r="Z109" s="1"/>
  <c r="AA103"/>
  <c r="I104"/>
  <c r="J104"/>
  <c r="Q104" s="1"/>
  <c r="Q109" s="1"/>
  <c r="K104"/>
  <c r="L104"/>
  <c r="L109" s="1"/>
  <c r="M104"/>
  <c r="N104"/>
  <c r="N109" s="1"/>
  <c r="O104"/>
  <c r="P104"/>
  <c r="R104"/>
  <c r="S104" s="1"/>
  <c r="T104" s="1"/>
  <c r="V104"/>
  <c r="Y104"/>
  <c r="Z104"/>
  <c r="AA104"/>
  <c r="AD104"/>
  <c r="AF104"/>
  <c r="AH104"/>
  <c r="I105"/>
  <c r="J105"/>
  <c r="K105"/>
  <c r="P105" s="1"/>
  <c r="L105"/>
  <c r="M105"/>
  <c r="N105"/>
  <c r="O105"/>
  <c r="Q105"/>
  <c r="Y105"/>
  <c r="Z105"/>
  <c r="AA105"/>
  <c r="I106"/>
  <c r="J106"/>
  <c r="Q106" s="1"/>
  <c r="K106"/>
  <c r="L106"/>
  <c r="M106"/>
  <c r="N106"/>
  <c r="O106"/>
  <c r="P106"/>
  <c r="R106"/>
  <c r="S106" s="1"/>
  <c r="T106" s="1"/>
  <c r="V106"/>
  <c r="Y106"/>
  <c r="Z106"/>
  <c r="AA106"/>
  <c r="AD106"/>
  <c r="AF106"/>
  <c r="AH106"/>
  <c r="A107"/>
  <c r="B107"/>
  <c r="C107"/>
  <c r="D107"/>
  <c r="E107"/>
  <c r="F107"/>
  <c r="G107"/>
  <c r="H107"/>
  <c r="I107"/>
  <c r="K107"/>
  <c r="M107"/>
  <c r="O107"/>
  <c r="Y107"/>
  <c r="AA107"/>
  <c r="A108"/>
  <c r="B108"/>
  <c r="C108"/>
  <c r="D108"/>
  <c r="E108"/>
  <c r="F108"/>
  <c r="G108"/>
  <c r="H108"/>
  <c r="I108"/>
  <c r="K108"/>
  <c r="M108"/>
  <c r="O108"/>
  <c r="Y108"/>
  <c r="AA108"/>
  <c r="A109"/>
  <c r="B109"/>
  <c r="C109"/>
  <c r="D109"/>
  <c r="E109"/>
  <c r="F109"/>
  <c r="G109"/>
  <c r="H109"/>
  <c r="I109"/>
  <c r="K109"/>
  <c r="M109"/>
  <c r="O109"/>
  <c r="Y109"/>
  <c r="AA109"/>
  <c r="I110"/>
  <c r="J110"/>
  <c r="K110"/>
  <c r="P110" s="1"/>
  <c r="P122" s="1"/>
  <c r="L110"/>
  <c r="M110"/>
  <c r="N110"/>
  <c r="O110"/>
  <c r="Q110"/>
  <c r="Y110"/>
  <c r="Z110"/>
  <c r="Z122" s="1"/>
  <c r="AA110"/>
  <c r="I111"/>
  <c r="J111"/>
  <c r="Q111" s="1"/>
  <c r="Q122" s="1"/>
  <c r="K111"/>
  <c r="L111"/>
  <c r="L122" s="1"/>
  <c r="M111"/>
  <c r="N111"/>
  <c r="N122" s="1"/>
  <c r="O111"/>
  <c r="P111"/>
  <c r="R111"/>
  <c r="S111" s="1"/>
  <c r="T111" s="1"/>
  <c r="V111"/>
  <c r="Y111"/>
  <c r="Z111"/>
  <c r="AA111"/>
  <c r="AD111"/>
  <c r="AF111"/>
  <c r="AH111"/>
  <c r="I112"/>
  <c r="J112"/>
  <c r="K112"/>
  <c r="P112" s="1"/>
  <c r="L112"/>
  <c r="M112"/>
  <c r="N112"/>
  <c r="O112"/>
  <c r="Q112"/>
  <c r="Y112"/>
  <c r="Z112"/>
  <c r="AA112"/>
  <c r="I113"/>
  <c r="J113"/>
  <c r="Q113" s="1"/>
  <c r="K113"/>
  <c r="L113"/>
  <c r="M113"/>
  <c r="N113"/>
  <c r="O113"/>
  <c r="P113"/>
  <c r="R113"/>
  <c r="S113" s="1"/>
  <c r="T113" s="1"/>
  <c r="V113"/>
  <c r="Y113"/>
  <c r="Z113"/>
  <c r="AA113"/>
  <c r="AD113"/>
  <c r="AF113"/>
  <c r="AH113"/>
  <c r="I114"/>
  <c r="J114"/>
  <c r="K114"/>
  <c r="P114" s="1"/>
  <c r="P123" s="1"/>
  <c r="L114"/>
  <c r="M114"/>
  <c r="N114"/>
  <c r="O114"/>
  <c r="Q114"/>
  <c r="Y114"/>
  <c r="Z114"/>
  <c r="Z123" s="1"/>
  <c r="AA114"/>
  <c r="I115"/>
  <c r="J115"/>
  <c r="Q115" s="1"/>
  <c r="Q123" s="1"/>
  <c r="K115"/>
  <c r="L115"/>
  <c r="L123" s="1"/>
  <c r="M115"/>
  <c r="N115"/>
  <c r="N123" s="1"/>
  <c r="O115"/>
  <c r="P115"/>
  <c r="R115"/>
  <c r="S115" s="1"/>
  <c r="T115" s="1"/>
  <c r="V115"/>
  <c r="Y115"/>
  <c r="Z115"/>
  <c r="AA115"/>
  <c r="AD115"/>
  <c r="AF115"/>
  <c r="AH115"/>
  <c r="I116"/>
  <c r="J116"/>
  <c r="K116"/>
  <c r="P116" s="1"/>
  <c r="L116"/>
  <c r="M116"/>
  <c r="N116"/>
  <c r="O116"/>
  <c r="Q116"/>
  <c r="Y116"/>
  <c r="Z116"/>
  <c r="AA116"/>
  <c r="I117"/>
  <c r="J117"/>
  <c r="Q117" s="1"/>
  <c r="K117"/>
  <c r="L117"/>
  <c r="M117"/>
  <c r="N117"/>
  <c r="O117"/>
  <c r="P117"/>
  <c r="R117"/>
  <c r="S117" s="1"/>
  <c r="T117" s="1"/>
  <c r="V117"/>
  <c r="Y117"/>
  <c r="Z117"/>
  <c r="AA117"/>
  <c r="AD117"/>
  <c r="AF117"/>
  <c r="AH117"/>
  <c r="I118"/>
  <c r="J118"/>
  <c r="K118"/>
  <c r="P118" s="1"/>
  <c r="P124" s="1"/>
  <c r="L118"/>
  <c r="M118"/>
  <c r="N118"/>
  <c r="O118"/>
  <c r="Q118"/>
  <c r="Y118"/>
  <c r="Z118"/>
  <c r="Z124" s="1"/>
  <c r="AA118"/>
  <c r="I119"/>
  <c r="J119"/>
  <c r="Q119" s="1"/>
  <c r="Q124" s="1"/>
  <c r="K119"/>
  <c r="L119"/>
  <c r="L124" s="1"/>
  <c r="M119"/>
  <c r="N119"/>
  <c r="N124" s="1"/>
  <c r="O119"/>
  <c r="P119"/>
  <c r="R119"/>
  <c r="S119" s="1"/>
  <c r="T119" s="1"/>
  <c r="V119"/>
  <c r="Y119"/>
  <c r="Z119"/>
  <c r="AA119"/>
  <c r="AD119"/>
  <c r="AF119"/>
  <c r="AH119"/>
  <c r="I120"/>
  <c r="J120"/>
  <c r="K120"/>
  <c r="P120" s="1"/>
  <c r="L120"/>
  <c r="M120"/>
  <c r="N120"/>
  <c r="O120"/>
  <c r="Q120"/>
  <c r="Y120"/>
  <c r="Z120"/>
  <c r="AA120"/>
  <c r="I121"/>
  <c r="J121"/>
  <c r="Q121" s="1"/>
  <c r="K121"/>
  <c r="L121"/>
  <c r="M121"/>
  <c r="N121"/>
  <c r="O121"/>
  <c r="P121"/>
  <c r="R121"/>
  <c r="S121" s="1"/>
  <c r="T121" s="1"/>
  <c r="V121"/>
  <c r="Y121"/>
  <c r="Z121"/>
  <c r="AA121"/>
  <c r="AD121"/>
  <c r="AF121"/>
  <c r="AH121"/>
  <c r="A122"/>
  <c r="B122"/>
  <c r="C122"/>
  <c r="D122"/>
  <c r="E122"/>
  <c r="F122"/>
  <c r="G122"/>
  <c r="H122"/>
  <c r="I122"/>
  <c r="K122"/>
  <c r="M122"/>
  <c r="O122"/>
  <c r="Y122"/>
  <c r="AA122"/>
  <c r="A123"/>
  <c r="B123"/>
  <c r="C123"/>
  <c r="D123"/>
  <c r="E123"/>
  <c r="F123"/>
  <c r="G123"/>
  <c r="H123"/>
  <c r="I123"/>
  <c r="K123"/>
  <c r="M123"/>
  <c r="O123"/>
  <c r="Y123"/>
  <c r="AA123"/>
  <c r="A124"/>
  <c r="B124"/>
  <c r="C124"/>
  <c r="D124"/>
  <c r="E124"/>
  <c r="F124"/>
  <c r="G124"/>
  <c r="H124"/>
  <c r="I124"/>
  <c r="K124"/>
  <c r="M124"/>
  <c r="O124"/>
  <c r="Y124"/>
  <c r="AA124"/>
  <c r="I125"/>
  <c r="J125"/>
  <c r="K125"/>
  <c r="P125" s="1"/>
  <c r="P137" s="1"/>
  <c r="L125"/>
  <c r="M125"/>
  <c r="N125"/>
  <c r="O125"/>
  <c r="Q125"/>
  <c r="Y125"/>
  <c r="Z125"/>
  <c r="Z137" s="1"/>
  <c r="AA125"/>
  <c r="I126"/>
  <c r="J126"/>
  <c r="Q126" s="1"/>
  <c r="Q137" s="1"/>
  <c r="K126"/>
  <c r="L126"/>
  <c r="L137" s="1"/>
  <c r="M126"/>
  <c r="N126"/>
  <c r="N137" s="1"/>
  <c r="O126"/>
  <c r="P126"/>
  <c r="R126"/>
  <c r="S126" s="1"/>
  <c r="T126" s="1"/>
  <c r="V126"/>
  <c r="Y126"/>
  <c r="Z126"/>
  <c r="AA126"/>
  <c r="AD126"/>
  <c r="AF126"/>
  <c r="AH126"/>
  <c r="I127"/>
  <c r="J127"/>
  <c r="K127"/>
  <c r="P127" s="1"/>
  <c r="L127"/>
  <c r="M127"/>
  <c r="N127"/>
  <c r="O127"/>
  <c r="Q127"/>
  <c r="Y127"/>
  <c r="Z127"/>
  <c r="AA127"/>
  <c r="I128"/>
  <c r="J128"/>
  <c r="Q128" s="1"/>
  <c r="K128"/>
  <c r="L128"/>
  <c r="M128"/>
  <c r="N128"/>
  <c r="O128"/>
  <c r="P128"/>
  <c r="R128"/>
  <c r="S128" s="1"/>
  <c r="T128" s="1"/>
  <c r="V128"/>
  <c r="Y128"/>
  <c r="Z128"/>
  <c r="AA128"/>
  <c r="AD128"/>
  <c r="AF128"/>
  <c r="AH128"/>
  <c r="I129"/>
  <c r="J129"/>
  <c r="K129"/>
  <c r="P129" s="1"/>
  <c r="P138" s="1"/>
  <c r="L129"/>
  <c r="M129"/>
  <c r="N129"/>
  <c r="O129"/>
  <c r="Q129"/>
  <c r="Y129"/>
  <c r="Z129"/>
  <c r="Z138" s="1"/>
  <c r="AA129"/>
  <c r="I130"/>
  <c r="J130"/>
  <c r="Q130" s="1"/>
  <c r="Q138" s="1"/>
  <c r="K130"/>
  <c r="L130"/>
  <c r="L138" s="1"/>
  <c r="M130"/>
  <c r="N130"/>
  <c r="N138" s="1"/>
  <c r="O130"/>
  <c r="P130"/>
  <c r="R130"/>
  <c r="S130" s="1"/>
  <c r="T130" s="1"/>
  <c r="V130"/>
  <c r="Y130"/>
  <c r="Z130"/>
  <c r="AA130"/>
  <c r="AD130"/>
  <c r="AF130"/>
  <c r="AH130"/>
  <c r="I131"/>
  <c r="J131"/>
  <c r="K131"/>
  <c r="P131" s="1"/>
  <c r="L131"/>
  <c r="M131"/>
  <c r="N131"/>
  <c r="O131"/>
  <c r="Q131"/>
  <c r="Y131"/>
  <c r="Z131"/>
  <c r="AA131"/>
  <c r="I132"/>
  <c r="J132"/>
  <c r="Q132" s="1"/>
  <c r="K132"/>
  <c r="L132"/>
  <c r="M132"/>
  <c r="N132"/>
  <c r="O132"/>
  <c r="P132"/>
  <c r="R132"/>
  <c r="S132" s="1"/>
  <c r="T132" s="1"/>
  <c r="V132"/>
  <c r="Y132"/>
  <c r="Z132"/>
  <c r="AA132"/>
  <c r="AD132"/>
  <c r="AF132"/>
  <c r="AH132"/>
  <c r="I133"/>
  <c r="J133"/>
  <c r="K133"/>
  <c r="P133" s="1"/>
  <c r="P139" s="1"/>
  <c r="L133"/>
  <c r="M133"/>
  <c r="N133"/>
  <c r="O133"/>
  <c r="Q133"/>
  <c r="Y133"/>
  <c r="Z133"/>
  <c r="Z139" s="1"/>
  <c r="AA133"/>
  <c r="I134"/>
  <c r="J134"/>
  <c r="Q134" s="1"/>
  <c r="Q139" s="1"/>
  <c r="K134"/>
  <c r="L134"/>
  <c r="L139" s="1"/>
  <c r="M134"/>
  <c r="N134"/>
  <c r="N139" s="1"/>
  <c r="O134"/>
  <c r="P134"/>
  <c r="R134"/>
  <c r="S134" s="1"/>
  <c r="T134" s="1"/>
  <c r="V134"/>
  <c r="Y134"/>
  <c r="Z134"/>
  <c r="AA134"/>
  <c r="AD134"/>
  <c r="AF134"/>
  <c r="AH134"/>
  <c r="I135"/>
  <c r="J135"/>
  <c r="K135"/>
  <c r="P135" s="1"/>
  <c r="L135"/>
  <c r="M135"/>
  <c r="N135"/>
  <c r="O135"/>
  <c r="Q135"/>
  <c r="Y135"/>
  <c r="Z135"/>
  <c r="AA135"/>
  <c r="I136"/>
  <c r="J136"/>
  <c r="Q136" s="1"/>
  <c r="K136"/>
  <c r="L136"/>
  <c r="M136"/>
  <c r="N136"/>
  <c r="O136"/>
  <c r="P136"/>
  <c r="R136"/>
  <c r="S136" s="1"/>
  <c r="T136" s="1"/>
  <c r="V136"/>
  <c r="Y136"/>
  <c r="Z136"/>
  <c r="AA136"/>
  <c r="AD136"/>
  <c r="AF136"/>
  <c r="AH136"/>
  <c r="A137"/>
  <c r="B137"/>
  <c r="C137"/>
  <c r="D137"/>
  <c r="E137"/>
  <c r="F137"/>
  <c r="G137"/>
  <c r="H137"/>
  <c r="I137"/>
  <c r="K137"/>
  <c r="M137"/>
  <c r="O137"/>
  <c r="Y137"/>
  <c r="AA137"/>
  <c r="A138"/>
  <c r="B138"/>
  <c r="C138"/>
  <c r="D138"/>
  <c r="E138"/>
  <c r="F138"/>
  <c r="G138"/>
  <c r="H138"/>
  <c r="I138"/>
  <c r="K138"/>
  <c r="M138"/>
  <c r="O138"/>
  <c r="Y138"/>
  <c r="AA138"/>
  <c r="A139"/>
  <c r="B139"/>
  <c r="C139"/>
  <c r="D139"/>
  <c r="E139"/>
  <c r="F139"/>
  <c r="G139"/>
  <c r="H139"/>
  <c r="I139"/>
  <c r="K139"/>
  <c r="M139"/>
  <c r="O139"/>
  <c r="Y139"/>
  <c r="AA139"/>
  <c r="H139" i="17"/>
  <c r="G139"/>
  <c r="F139"/>
  <c r="E139"/>
  <c r="D139"/>
  <c r="C139"/>
  <c r="B139"/>
  <c r="A139"/>
  <c r="H138"/>
  <c r="G138"/>
  <c r="F138"/>
  <c r="E138"/>
  <c r="D138"/>
  <c r="C138"/>
  <c r="B138"/>
  <c r="A138"/>
  <c r="H137"/>
  <c r="G137"/>
  <c r="F137"/>
  <c r="E137"/>
  <c r="D137"/>
  <c r="C137"/>
  <c r="B137"/>
  <c r="A137"/>
  <c r="H124"/>
  <c r="G124"/>
  <c r="F124"/>
  <c r="E124"/>
  <c r="D124"/>
  <c r="C124"/>
  <c r="B124"/>
  <c r="A124"/>
  <c r="H123"/>
  <c r="G123"/>
  <c r="F123"/>
  <c r="E123"/>
  <c r="D123"/>
  <c r="C123"/>
  <c r="B123"/>
  <c r="A123"/>
  <c r="H122"/>
  <c r="G122"/>
  <c r="F122"/>
  <c r="E122"/>
  <c r="D122"/>
  <c r="C122"/>
  <c r="B122"/>
  <c r="A122"/>
  <c r="H109"/>
  <c r="G109"/>
  <c r="F109"/>
  <c r="E109"/>
  <c r="D109"/>
  <c r="C109"/>
  <c r="B109"/>
  <c r="A109"/>
  <c r="H108"/>
  <c r="G108"/>
  <c r="F108"/>
  <c r="E108"/>
  <c r="D108"/>
  <c r="C108"/>
  <c r="B108"/>
  <c r="A108"/>
  <c r="H107"/>
  <c r="G107"/>
  <c r="F107"/>
  <c r="E107"/>
  <c r="D107"/>
  <c r="C107"/>
  <c r="B107"/>
  <c r="A107"/>
  <c r="H94"/>
  <c r="G94"/>
  <c r="F94"/>
  <c r="E94"/>
  <c r="D94"/>
  <c r="C94"/>
  <c r="B94"/>
  <c r="A94"/>
  <c r="H93"/>
  <c r="G93"/>
  <c r="F93"/>
  <c r="E93"/>
  <c r="D93"/>
  <c r="C93"/>
  <c r="B93"/>
  <c r="A93"/>
  <c r="H92"/>
  <c r="G92"/>
  <c r="F92"/>
  <c r="E92"/>
  <c r="D92"/>
  <c r="C92"/>
  <c r="B92"/>
  <c r="A92"/>
  <c r="H79"/>
  <c r="G79"/>
  <c r="F79"/>
  <c r="E79"/>
  <c r="D79"/>
  <c r="C79"/>
  <c r="B79"/>
  <c r="A79"/>
  <c r="H78"/>
  <c r="G78"/>
  <c r="F78"/>
  <c r="E78"/>
  <c r="D78"/>
  <c r="C78"/>
  <c r="B78"/>
  <c r="A78"/>
  <c r="H77"/>
  <c r="G77"/>
  <c r="F77"/>
  <c r="E77"/>
  <c r="D77"/>
  <c r="C77"/>
  <c r="B77"/>
  <c r="A77"/>
  <c r="H64"/>
  <c r="G64"/>
  <c r="F64"/>
  <c r="E64"/>
  <c r="D64"/>
  <c r="C64"/>
  <c r="B64"/>
  <c r="A64"/>
  <c r="H63"/>
  <c r="G63"/>
  <c r="F63"/>
  <c r="E63"/>
  <c r="D63"/>
  <c r="C63"/>
  <c r="B63"/>
  <c r="A63"/>
  <c r="H62"/>
  <c r="G62"/>
  <c r="F62"/>
  <c r="E62"/>
  <c r="D62"/>
  <c r="C62"/>
  <c r="B62"/>
  <c r="A62"/>
  <c r="H49"/>
  <c r="G49"/>
  <c r="F49"/>
  <c r="E49"/>
  <c r="D49"/>
  <c r="C49"/>
  <c r="B49"/>
  <c r="A49"/>
  <c r="H48"/>
  <c r="G48"/>
  <c r="F48"/>
  <c r="E48"/>
  <c r="D48"/>
  <c r="C48"/>
  <c r="B48"/>
  <c r="A48"/>
  <c r="H47"/>
  <c r="G47"/>
  <c r="F47"/>
  <c r="E47"/>
  <c r="D47"/>
  <c r="C47"/>
  <c r="B47"/>
  <c r="A47"/>
  <c r="H34"/>
  <c r="G34"/>
  <c r="F34"/>
  <c r="E34"/>
  <c r="D34"/>
  <c r="C34"/>
  <c r="B34"/>
  <c r="A34"/>
  <c r="H33"/>
  <c r="G33"/>
  <c r="F33"/>
  <c r="E33"/>
  <c r="D33"/>
  <c r="C33"/>
  <c r="B33"/>
  <c r="A33"/>
  <c r="H32"/>
  <c r="G32"/>
  <c r="F32"/>
  <c r="E32"/>
  <c r="D32"/>
  <c r="C32"/>
  <c r="B32"/>
  <c r="A32"/>
  <c r="J136"/>
  <c r="K136"/>
  <c r="L136"/>
  <c r="M136"/>
  <c r="N136"/>
  <c r="AA136"/>
  <c r="Z136"/>
  <c r="Y136"/>
  <c r="I136"/>
  <c r="O136"/>
  <c r="J135"/>
  <c r="K135"/>
  <c r="L135"/>
  <c r="M135"/>
  <c r="N135"/>
  <c r="AA135"/>
  <c r="Z135"/>
  <c r="Y135"/>
  <c r="I135"/>
  <c r="O135"/>
  <c r="J134"/>
  <c r="K134"/>
  <c r="L134"/>
  <c r="L139" s="1"/>
  <c r="M134"/>
  <c r="N134"/>
  <c r="N139" s="1"/>
  <c r="AA134"/>
  <c r="Z134"/>
  <c r="Z139" s="1"/>
  <c r="Y134"/>
  <c r="I134"/>
  <c r="O134"/>
  <c r="J133"/>
  <c r="K133"/>
  <c r="L133"/>
  <c r="M133"/>
  <c r="N133"/>
  <c r="AA133"/>
  <c r="Z133"/>
  <c r="Y133"/>
  <c r="I133"/>
  <c r="O133"/>
  <c r="J132"/>
  <c r="K132"/>
  <c r="L132"/>
  <c r="M132"/>
  <c r="N132"/>
  <c r="AA132"/>
  <c r="Z132"/>
  <c r="Y132"/>
  <c r="I132"/>
  <c r="O132"/>
  <c r="J131"/>
  <c r="K131"/>
  <c r="L131"/>
  <c r="M131"/>
  <c r="N131"/>
  <c r="AA131"/>
  <c r="Z131"/>
  <c r="Y131"/>
  <c r="I131"/>
  <c r="O131"/>
  <c r="J130"/>
  <c r="K130"/>
  <c r="L130"/>
  <c r="L138" s="1"/>
  <c r="M130"/>
  <c r="N130"/>
  <c r="N138" s="1"/>
  <c r="AA130"/>
  <c r="Z130"/>
  <c r="Y130"/>
  <c r="I130"/>
  <c r="O130"/>
  <c r="J129"/>
  <c r="K129"/>
  <c r="L129"/>
  <c r="M129"/>
  <c r="N129"/>
  <c r="AA129"/>
  <c r="AA138" s="1"/>
  <c r="Z129"/>
  <c r="Z138" s="1"/>
  <c r="Y129"/>
  <c r="Y138" s="1"/>
  <c r="I129"/>
  <c r="O129"/>
  <c r="J128"/>
  <c r="K128"/>
  <c r="L128"/>
  <c r="M128"/>
  <c r="N128"/>
  <c r="AA128"/>
  <c r="Z128"/>
  <c r="Y128"/>
  <c r="I128"/>
  <c r="O128"/>
  <c r="J127"/>
  <c r="K127"/>
  <c r="L127"/>
  <c r="M127"/>
  <c r="N127"/>
  <c r="AA127"/>
  <c r="Z127"/>
  <c r="Y127"/>
  <c r="I127"/>
  <c r="O127"/>
  <c r="J126"/>
  <c r="K126"/>
  <c r="L126"/>
  <c r="L137" s="1"/>
  <c r="M126"/>
  <c r="N126"/>
  <c r="N137" s="1"/>
  <c r="AA126"/>
  <c r="Z126"/>
  <c r="Z137" s="1"/>
  <c r="Y126"/>
  <c r="I126"/>
  <c r="O126"/>
  <c r="J125"/>
  <c r="K125"/>
  <c r="L125"/>
  <c r="M125"/>
  <c r="N125"/>
  <c r="AA125"/>
  <c r="Z125"/>
  <c r="Y125"/>
  <c r="I125"/>
  <c r="O125"/>
  <c r="J121"/>
  <c r="K121"/>
  <c r="L121"/>
  <c r="M121"/>
  <c r="N121"/>
  <c r="AA121"/>
  <c r="Z121"/>
  <c r="Y121"/>
  <c r="I121"/>
  <c r="O121"/>
  <c r="J120"/>
  <c r="K120"/>
  <c r="L120"/>
  <c r="M120"/>
  <c r="N120"/>
  <c r="AA120"/>
  <c r="Z120"/>
  <c r="Y120"/>
  <c r="I120"/>
  <c r="O120"/>
  <c r="J119"/>
  <c r="K119"/>
  <c r="L119"/>
  <c r="L124" s="1"/>
  <c r="M119"/>
  <c r="N119"/>
  <c r="N124" s="1"/>
  <c r="AA119"/>
  <c r="Z119"/>
  <c r="Y119"/>
  <c r="I119"/>
  <c r="O119"/>
  <c r="J118"/>
  <c r="K118"/>
  <c r="L118"/>
  <c r="M118"/>
  <c r="N118"/>
  <c r="AA118"/>
  <c r="AA124" s="1"/>
  <c r="Z118"/>
  <c r="Z124" s="1"/>
  <c r="Y118"/>
  <c r="Y124" s="1"/>
  <c r="I118"/>
  <c r="O118"/>
  <c r="J117"/>
  <c r="K117"/>
  <c r="L117"/>
  <c r="M117"/>
  <c r="N117"/>
  <c r="AA117"/>
  <c r="Z117"/>
  <c r="Y117"/>
  <c r="I117"/>
  <c r="O117"/>
  <c r="J116"/>
  <c r="K116"/>
  <c r="L116"/>
  <c r="M116"/>
  <c r="N116"/>
  <c r="AA116"/>
  <c r="Z116"/>
  <c r="Y116"/>
  <c r="I116"/>
  <c r="O116"/>
  <c r="J115"/>
  <c r="K115"/>
  <c r="L115"/>
  <c r="L123" s="1"/>
  <c r="M115"/>
  <c r="N115"/>
  <c r="N123" s="1"/>
  <c r="AA115"/>
  <c r="Z115"/>
  <c r="Z123" s="1"/>
  <c r="Y115"/>
  <c r="I115"/>
  <c r="O115"/>
  <c r="J114"/>
  <c r="K114"/>
  <c r="L114"/>
  <c r="M114"/>
  <c r="N114"/>
  <c r="AA114"/>
  <c r="Z114"/>
  <c r="Y114"/>
  <c r="I114"/>
  <c r="O114"/>
  <c r="J113"/>
  <c r="K113"/>
  <c r="L113"/>
  <c r="M113"/>
  <c r="N113"/>
  <c r="AA113"/>
  <c r="Z113"/>
  <c r="Y113"/>
  <c r="I113"/>
  <c r="O113"/>
  <c r="J112"/>
  <c r="R112" s="1"/>
  <c r="K112"/>
  <c r="L112"/>
  <c r="M112"/>
  <c r="N112"/>
  <c r="AA112"/>
  <c r="Z112"/>
  <c r="Y112"/>
  <c r="I112"/>
  <c r="O112"/>
  <c r="J111"/>
  <c r="K111"/>
  <c r="L111"/>
  <c r="M111"/>
  <c r="N111"/>
  <c r="AA111"/>
  <c r="Z111"/>
  <c r="Y111"/>
  <c r="I111"/>
  <c r="O111"/>
  <c r="J110"/>
  <c r="R110" s="1"/>
  <c r="K110"/>
  <c r="L110"/>
  <c r="L122" s="1"/>
  <c r="M110"/>
  <c r="N110"/>
  <c r="N122" s="1"/>
  <c r="AA110"/>
  <c r="AA122" s="1"/>
  <c r="Z110"/>
  <c r="Z122" s="1"/>
  <c r="Y110"/>
  <c r="Y122" s="1"/>
  <c r="I110"/>
  <c r="O110"/>
  <c r="O122" s="1"/>
  <c r="J106"/>
  <c r="K106"/>
  <c r="L106"/>
  <c r="M106"/>
  <c r="N106"/>
  <c r="AA106"/>
  <c r="Z106"/>
  <c r="Y106"/>
  <c r="I106"/>
  <c r="O106"/>
  <c r="J105"/>
  <c r="R105" s="1"/>
  <c r="K105"/>
  <c r="L105"/>
  <c r="M105"/>
  <c r="N105"/>
  <c r="AA105"/>
  <c r="Z105"/>
  <c r="Y105"/>
  <c r="I105"/>
  <c r="O105"/>
  <c r="J104"/>
  <c r="K104"/>
  <c r="L104"/>
  <c r="M104"/>
  <c r="N104"/>
  <c r="AA104"/>
  <c r="Z104"/>
  <c r="Y104"/>
  <c r="I104"/>
  <c r="O104"/>
  <c r="J103"/>
  <c r="J109" s="1"/>
  <c r="K103"/>
  <c r="L103"/>
  <c r="L109" s="1"/>
  <c r="M103"/>
  <c r="N103"/>
  <c r="N109" s="1"/>
  <c r="AA103"/>
  <c r="Z103"/>
  <c r="Z109" s="1"/>
  <c r="Y103"/>
  <c r="I103"/>
  <c r="O103"/>
  <c r="O109" s="1"/>
  <c r="J102"/>
  <c r="K102"/>
  <c r="L102"/>
  <c r="M102"/>
  <c r="N102"/>
  <c r="AA102"/>
  <c r="Z102"/>
  <c r="Y102"/>
  <c r="I102"/>
  <c r="O102"/>
  <c r="J101"/>
  <c r="R101" s="1"/>
  <c r="K101"/>
  <c r="L101"/>
  <c r="M101"/>
  <c r="N101"/>
  <c r="AA101"/>
  <c r="Z101"/>
  <c r="Y101"/>
  <c r="I101"/>
  <c r="O101"/>
  <c r="J100"/>
  <c r="K100"/>
  <c r="L100"/>
  <c r="M100"/>
  <c r="N100"/>
  <c r="AA100"/>
  <c r="Z100"/>
  <c r="Y100"/>
  <c r="I100"/>
  <c r="O100"/>
  <c r="J99"/>
  <c r="R99" s="1"/>
  <c r="K99"/>
  <c r="L99"/>
  <c r="L108" s="1"/>
  <c r="M99"/>
  <c r="N99"/>
  <c r="N108" s="1"/>
  <c r="AA99"/>
  <c r="AA108" s="1"/>
  <c r="Z99"/>
  <c r="Z108" s="1"/>
  <c r="Y99"/>
  <c r="Y108" s="1"/>
  <c r="I99"/>
  <c r="O99"/>
  <c r="O108" s="1"/>
  <c r="J98"/>
  <c r="K98"/>
  <c r="L98"/>
  <c r="M98"/>
  <c r="N98"/>
  <c r="AA98"/>
  <c r="Z98"/>
  <c r="Y98"/>
  <c r="I98"/>
  <c r="O98"/>
  <c r="J97"/>
  <c r="R97" s="1"/>
  <c r="K97"/>
  <c r="L97"/>
  <c r="M97"/>
  <c r="N97"/>
  <c r="AA97"/>
  <c r="Z97"/>
  <c r="Y97"/>
  <c r="I97"/>
  <c r="O97"/>
  <c r="J96"/>
  <c r="K96"/>
  <c r="L96"/>
  <c r="M96"/>
  <c r="N96"/>
  <c r="AA96"/>
  <c r="Z96"/>
  <c r="Y96"/>
  <c r="I96"/>
  <c r="O96"/>
  <c r="J95"/>
  <c r="J107" s="1"/>
  <c r="K95"/>
  <c r="L95"/>
  <c r="L107" s="1"/>
  <c r="M95"/>
  <c r="N95"/>
  <c r="N107" s="1"/>
  <c r="AA95"/>
  <c r="Z95"/>
  <c r="Z107" s="1"/>
  <c r="Y95"/>
  <c r="I95"/>
  <c r="O95"/>
  <c r="O107" s="1"/>
  <c r="J91"/>
  <c r="K91"/>
  <c r="L91"/>
  <c r="M91"/>
  <c r="N91"/>
  <c r="AA91"/>
  <c r="Z91"/>
  <c r="Y91"/>
  <c r="I91"/>
  <c r="O91"/>
  <c r="J90"/>
  <c r="R90" s="1"/>
  <c r="K90"/>
  <c r="L90"/>
  <c r="M90"/>
  <c r="N90"/>
  <c r="AA90"/>
  <c r="Z90"/>
  <c r="Y90"/>
  <c r="I90"/>
  <c r="O90"/>
  <c r="J89"/>
  <c r="K89"/>
  <c r="L89"/>
  <c r="M89"/>
  <c r="N89"/>
  <c r="AA89"/>
  <c r="Z89"/>
  <c r="Y89"/>
  <c r="I89"/>
  <c r="O89"/>
  <c r="J88"/>
  <c r="R88" s="1"/>
  <c r="K88"/>
  <c r="L88"/>
  <c r="L94" s="1"/>
  <c r="M88"/>
  <c r="N88"/>
  <c r="N94" s="1"/>
  <c r="AA88"/>
  <c r="AA94" s="1"/>
  <c r="Z88"/>
  <c r="Z94" s="1"/>
  <c r="Y88"/>
  <c r="Y94" s="1"/>
  <c r="I88"/>
  <c r="O88"/>
  <c r="O94" s="1"/>
  <c r="J87"/>
  <c r="K87"/>
  <c r="L87"/>
  <c r="M87"/>
  <c r="N87"/>
  <c r="AA87"/>
  <c r="Z87"/>
  <c r="Y87"/>
  <c r="I87"/>
  <c r="O87"/>
  <c r="J86"/>
  <c r="R86" s="1"/>
  <c r="K86"/>
  <c r="L86"/>
  <c r="M86"/>
  <c r="N86"/>
  <c r="AA86"/>
  <c r="Z86"/>
  <c r="Y86"/>
  <c r="I86"/>
  <c r="O86"/>
  <c r="J85"/>
  <c r="K85"/>
  <c r="L85"/>
  <c r="M85"/>
  <c r="N85"/>
  <c r="AA85"/>
  <c r="Z85"/>
  <c r="Y85"/>
  <c r="I85"/>
  <c r="O85"/>
  <c r="J84"/>
  <c r="J93" s="1"/>
  <c r="K84"/>
  <c r="L84"/>
  <c r="L93" s="1"/>
  <c r="M84"/>
  <c r="N84"/>
  <c r="N93" s="1"/>
  <c r="AA84"/>
  <c r="Z84"/>
  <c r="Z93" s="1"/>
  <c r="Y84"/>
  <c r="I84"/>
  <c r="O84"/>
  <c r="O93" s="1"/>
  <c r="J83"/>
  <c r="K83"/>
  <c r="L83"/>
  <c r="M83"/>
  <c r="N83"/>
  <c r="AA83"/>
  <c r="Z83"/>
  <c r="Y83"/>
  <c r="I83"/>
  <c r="O83"/>
  <c r="J82"/>
  <c r="R82" s="1"/>
  <c r="K82"/>
  <c r="L82"/>
  <c r="M82"/>
  <c r="N82"/>
  <c r="AA82"/>
  <c r="Z82"/>
  <c r="Y82"/>
  <c r="I82"/>
  <c r="O82"/>
  <c r="J81"/>
  <c r="K81"/>
  <c r="L81"/>
  <c r="M81"/>
  <c r="N81"/>
  <c r="AA81"/>
  <c r="Z81"/>
  <c r="Y81"/>
  <c r="I81"/>
  <c r="O81"/>
  <c r="J80"/>
  <c r="R80" s="1"/>
  <c r="K80"/>
  <c r="L80"/>
  <c r="L92" s="1"/>
  <c r="M80"/>
  <c r="N80"/>
  <c r="N92" s="1"/>
  <c r="AA80"/>
  <c r="AA92" s="1"/>
  <c r="Z80"/>
  <c r="Z92" s="1"/>
  <c r="Y80"/>
  <c r="Y92" s="1"/>
  <c r="I80"/>
  <c r="O80"/>
  <c r="O92" s="1"/>
  <c r="J76"/>
  <c r="K76"/>
  <c r="L76"/>
  <c r="M76"/>
  <c r="N76"/>
  <c r="AA76"/>
  <c r="Z76"/>
  <c r="Y76"/>
  <c r="I76"/>
  <c r="O76"/>
  <c r="J75"/>
  <c r="R75" s="1"/>
  <c r="K75"/>
  <c r="L75"/>
  <c r="M75"/>
  <c r="N75"/>
  <c r="AA75"/>
  <c r="Z75"/>
  <c r="Y75"/>
  <c r="I75"/>
  <c r="O75"/>
  <c r="J74"/>
  <c r="K74"/>
  <c r="L74"/>
  <c r="M74"/>
  <c r="N74"/>
  <c r="AA74"/>
  <c r="Z74"/>
  <c r="Y74"/>
  <c r="I74"/>
  <c r="O74"/>
  <c r="J73"/>
  <c r="J79" s="1"/>
  <c r="K73"/>
  <c r="L73"/>
  <c r="L79" s="1"/>
  <c r="M73"/>
  <c r="N73"/>
  <c r="N79" s="1"/>
  <c r="AA73"/>
  <c r="Z73"/>
  <c r="Z79" s="1"/>
  <c r="Y73"/>
  <c r="I73"/>
  <c r="O73"/>
  <c r="O79" s="1"/>
  <c r="J72"/>
  <c r="K72"/>
  <c r="L72"/>
  <c r="M72"/>
  <c r="N72"/>
  <c r="AA72"/>
  <c r="Z72"/>
  <c r="Y72"/>
  <c r="I72"/>
  <c r="O72"/>
  <c r="J71"/>
  <c r="R71" s="1"/>
  <c r="K71"/>
  <c r="L71"/>
  <c r="M71"/>
  <c r="N71"/>
  <c r="AA71"/>
  <c r="Z71"/>
  <c r="Y71"/>
  <c r="I71"/>
  <c r="O71"/>
  <c r="J70"/>
  <c r="K70"/>
  <c r="L70"/>
  <c r="M70"/>
  <c r="N70"/>
  <c r="AA70"/>
  <c r="Z70"/>
  <c r="Y70"/>
  <c r="I70"/>
  <c r="O70"/>
  <c r="J69"/>
  <c r="R69" s="1"/>
  <c r="K69"/>
  <c r="L69"/>
  <c r="L78" s="1"/>
  <c r="M69"/>
  <c r="N69"/>
  <c r="N78" s="1"/>
  <c r="AA69"/>
  <c r="AA78" s="1"/>
  <c r="Z69"/>
  <c r="Z78" s="1"/>
  <c r="Y69"/>
  <c r="Y78" s="1"/>
  <c r="I69"/>
  <c r="O69"/>
  <c r="O78" s="1"/>
  <c r="J68"/>
  <c r="K68"/>
  <c r="L68"/>
  <c r="M68"/>
  <c r="N68"/>
  <c r="AA68"/>
  <c r="Z68"/>
  <c r="Y68"/>
  <c r="I68"/>
  <c r="O68"/>
  <c r="J67"/>
  <c r="R67" s="1"/>
  <c r="K67"/>
  <c r="L67"/>
  <c r="M67"/>
  <c r="N67"/>
  <c r="AA67"/>
  <c r="Z67"/>
  <c r="Y67"/>
  <c r="I67"/>
  <c r="O67"/>
  <c r="J66"/>
  <c r="K66"/>
  <c r="L66"/>
  <c r="M66"/>
  <c r="N66"/>
  <c r="AA66"/>
  <c r="Z66"/>
  <c r="Y66"/>
  <c r="I66"/>
  <c r="O66"/>
  <c r="J65"/>
  <c r="J77" s="1"/>
  <c r="K65"/>
  <c r="L65"/>
  <c r="L77" s="1"/>
  <c r="M65"/>
  <c r="N65"/>
  <c r="N77" s="1"/>
  <c r="AA65"/>
  <c r="Z65"/>
  <c r="Z77" s="1"/>
  <c r="Y65"/>
  <c r="I65"/>
  <c r="O65"/>
  <c r="O77" s="1"/>
  <c r="J61"/>
  <c r="K61"/>
  <c r="L61"/>
  <c r="M61"/>
  <c r="N61"/>
  <c r="AA61"/>
  <c r="Z61"/>
  <c r="Y61"/>
  <c r="I61"/>
  <c r="O61"/>
  <c r="J60"/>
  <c r="R60" s="1"/>
  <c r="K60"/>
  <c r="L60"/>
  <c r="M60"/>
  <c r="N60"/>
  <c r="AA60"/>
  <c r="Z60"/>
  <c r="Y60"/>
  <c r="I60"/>
  <c r="O60"/>
  <c r="J59"/>
  <c r="K59"/>
  <c r="L59"/>
  <c r="M59"/>
  <c r="N59"/>
  <c r="AA59"/>
  <c r="Z59"/>
  <c r="Y59"/>
  <c r="I59"/>
  <c r="O59"/>
  <c r="J58"/>
  <c r="R58" s="1"/>
  <c r="K58"/>
  <c r="L58"/>
  <c r="L64" s="1"/>
  <c r="M58"/>
  <c r="N58"/>
  <c r="N64" s="1"/>
  <c r="AA58"/>
  <c r="AA64" s="1"/>
  <c r="Z58"/>
  <c r="Z64" s="1"/>
  <c r="Y58"/>
  <c r="Y64" s="1"/>
  <c r="I58"/>
  <c r="O58"/>
  <c r="O64" s="1"/>
  <c r="J57"/>
  <c r="K57"/>
  <c r="L57"/>
  <c r="M57"/>
  <c r="N57"/>
  <c r="AA57"/>
  <c r="Z57"/>
  <c r="Y57"/>
  <c r="I57"/>
  <c r="O57"/>
  <c r="J56"/>
  <c r="R56" s="1"/>
  <c r="K56"/>
  <c r="L56"/>
  <c r="M56"/>
  <c r="N56"/>
  <c r="AA56"/>
  <c r="Z56"/>
  <c r="Y56"/>
  <c r="I56"/>
  <c r="O56"/>
  <c r="J55"/>
  <c r="K55"/>
  <c r="L55"/>
  <c r="M55"/>
  <c r="N55"/>
  <c r="AA55"/>
  <c r="Z55"/>
  <c r="Y55"/>
  <c r="I55"/>
  <c r="O55"/>
  <c r="J54"/>
  <c r="J63" s="1"/>
  <c r="K54"/>
  <c r="L54"/>
  <c r="L63" s="1"/>
  <c r="M54"/>
  <c r="N54"/>
  <c r="N63" s="1"/>
  <c r="AA54"/>
  <c r="Z54"/>
  <c r="Z63" s="1"/>
  <c r="Y54"/>
  <c r="I54"/>
  <c r="O54"/>
  <c r="O63" s="1"/>
  <c r="J53"/>
  <c r="K53"/>
  <c r="L53"/>
  <c r="M53"/>
  <c r="N53"/>
  <c r="AA53"/>
  <c r="Z53"/>
  <c r="Y53"/>
  <c r="I53"/>
  <c r="O53"/>
  <c r="J52"/>
  <c r="R52" s="1"/>
  <c r="K52"/>
  <c r="L52"/>
  <c r="M52"/>
  <c r="N52"/>
  <c r="AA52"/>
  <c r="Z52"/>
  <c r="Y52"/>
  <c r="I52"/>
  <c r="O52"/>
  <c r="J51"/>
  <c r="K51"/>
  <c r="L51"/>
  <c r="M51"/>
  <c r="N51"/>
  <c r="AA51"/>
  <c r="Z51"/>
  <c r="Y51"/>
  <c r="I51"/>
  <c r="O51"/>
  <c r="J50"/>
  <c r="R50" s="1"/>
  <c r="K50"/>
  <c r="L50"/>
  <c r="L62" s="1"/>
  <c r="M50"/>
  <c r="N50"/>
  <c r="N62" s="1"/>
  <c r="AA50"/>
  <c r="AA62" s="1"/>
  <c r="Z50"/>
  <c r="Z62" s="1"/>
  <c r="Y50"/>
  <c r="Y62" s="1"/>
  <c r="I50"/>
  <c r="O50"/>
  <c r="O62" s="1"/>
  <c r="J46"/>
  <c r="K46"/>
  <c r="L46"/>
  <c r="M46"/>
  <c r="N46"/>
  <c r="AA46"/>
  <c r="Z46"/>
  <c r="Y46"/>
  <c r="I46"/>
  <c r="O46"/>
  <c r="J45"/>
  <c r="R45" s="1"/>
  <c r="K45"/>
  <c r="L45"/>
  <c r="M45"/>
  <c r="N45"/>
  <c r="AA45"/>
  <c r="Z45"/>
  <c r="Y45"/>
  <c r="I45"/>
  <c r="O45"/>
  <c r="J44"/>
  <c r="K44"/>
  <c r="L44"/>
  <c r="M44"/>
  <c r="N44"/>
  <c r="AA44"/>
  <c r="Z44"/>
  <c r="Y44"/>
  <c r="I44"/>
  <c r="O44"/>
  <c r="J43"/>
  <c r="J49" s="1"/>
  <c r="K43"/>
  <c r="L43"/>
  <c r="L49" s="1"/>
  <c r="M43"/>
  <c r="N43"/>
  <c r="N49" s="1"/>
  <c r="AA43"/>
  <c r="Z43"/>
  <c r="Z49" s="1"/>
  <c r="Y43"/>
  <c r="I43"/>
  <c r="O43"/>
  <c r="O49" s="1"/>
  <c r="J42"/>
  <c r="K42"/>
  <c r="L42"/>
  <c r="M42"/>
  <c r="N42"/>
  <c r="AA42"/>
  <c r="Z42"/>
  <c r="Y42"/>
  <c r="I42"/>
  <c r="O42"/>
  <c r="J41"/>
  <c r="R41" s="1"/>
  <c r="K41"/>
  <c r="L41"/>
  <c r="M41"/>
  <c r="N41"/>
  <c r="AA41"/>
  <c r="Z41"/>
  <c r="Y41"/>
  <c r="I41"/>
  <c r="O41"/>
  <c r="J40"/>
  <c r="K40"/>
  <c r="L40"/>
  <c r="M40"/>
  <c r="N40"/>
  <c r="AA40"/>
  <c r="Z40"/>
  <c r="Y40"/>
  <c r="I40"/>
  <c r="O40"/>
  <c r="J39"/>
  <c r="R39" s="1"/>
  <c r="K39"/>
  <c r="L39"/>
  <c r="L48" s="1"/>
  <c r="M39"/>
  <c r="N39"/>
  <c r="N48" s="1"/>
  <c r="AA39"/>
  <c r="AA48" s="1"/>
  <c r="Z39"/>
  <c r="Z48" s="1"/>
  <c r="Y39"/>
  <c r="Y48" s="1"/>
  <c r="I39"/>
  <c r="O39"/>
  <c r="O48" s="1"/>
  <c r="J38"/>
  <c r="K38"/>
  <c r="L38"/>
  <c r="M38"/>
  <c r="N38"/>
  <c r="AA38"/>
  <c r="Z38"/>
  <c r="Y38"/>
  <c r="I38"/>
  <c r="O38"/>
  <c r="J37"/>
  <c r="R37" s="1"/>
  <c r="K37"/>
  <c r="L37"/>
  <c r="M37"/>
  <c r="N37"/>
  <c r="AA37"/>
  <c r="Z37"/>
  <c r="Y37"/>
  <c r="I37"/>
  <c r="O37"/>
  <c r="J36"/>
  <c r="K36"/>
  <c r="L36"/>
  <c r="M36"/>
  <c r="N36"/>
  <c r="AA36"/>
  <c r="Z36"/>
  <c r="Y36"/>
  <c r="I36"/>
  <c r="O36"/>
  <c r="J35"/>
  <c r="J47" s="1"/>
  <c r="K35"/>
  <c r="L35"/>
  <c r="L47" s="1"/>
  <c r="M35"/>
  <c r="N35"/>
  <c r="N47" s="1"/>
  <c r="AA35"/>
  <c r="Z35"/>
  <c r="Z47" s="1"/>
  <c r="Y35"/>
  <c r="I35"/>
  <c r="O35"/>
  <c r="O47" s="1"/>
  <c r="J31"/>
  <c r="K31"/>
  <c r="L31"/>
  <c r="M31"/>
  <c r="N31"/>
  <c r="AA31"/>
  <c r="Z31"/>
  <c r="Y31"/>
  <c r="I31"/>
  <c r="O31"/>
  <c r="J30"/>
  <c r="R30" s="1"/>
  <c r="K30"/>
  <c r="L30"/>
  <c r="M30"/>
  <c r="N30"/>
  <c r="AA30"/>
  <c r="Z30"/>
  <c r="Y30"/>
  <c r="I30"/>
  <c r="O30"/>
  <c r="J29"/>
  <c r="K29"/>
  <c r="L29"/>
  <c r="M29"/>
  <c r="N29"/>
  <c r="AA29"/>
  <c r="Z29"/>
  <c r="Y29"/>
  <c r="I29"/>
  <c r="O29"/>
  <c r="J28"/>
  <c r="R28" s="1"/>
  <c r="K28"/>
  <c r="L28"/>
  <c r="L34" s="1"/>
  <c r="M28"/>
  <c r="N28"/>
  <c r="N34" s="1"/>
  <c r="AA28"/>
  <c r="AA34" s="1"/>
  <c r="Z28"/>
  <c r="Z34" s="1"/>
  <c r="Y28"/>
  <c r="Y34" s="1"/>
  <c r="I28"/>
  <c r="O28"/>
  <c r="O34" s="1"/>
  <c r="J27"/>
  <c r="K27"/>
  <c r="L27"/>
  <c r="M27"/>
  <c r="N27"/>
  <c r="AA27"/>
  <c r="Z27"/>
  <c r="Y27"/>
  <c r="I27"/>
  <c r="O27"/>
  <c r="J26"/>
  <c r="R26" s="1"/>
  <c r="K26"/>
  <c r="L26"/>
  <c r="M26"/>
  <c r="N26"/>
  <c r="AA26"/>
  <c r="Z26"/>
  <c r="Y26"/>
  <c r="I26"/>
  <c r="O26"/>
  <c r="J25"/>
  <c r="K25"/>
  <c r="L25"/>
  <c r="M25"/>
  <c r="N25"/>
  <c r="AA25"/>
  <c r="Z25"/>
  <c r="Y25"/>
  <c r="I25"/>
  <c r="O25"/>
  <c r="J24"/>
  <c r="J33" s="1"/>
  <c r="K24"/>
  <c r="L24"/>
  <c r="L33" s="1"/>
  <c r="M24"/>
  <c r="N24"/>
  <c r="N33" s="1"/>
  <c r="AA24"/>
  <c r="Z24"/>
  <c r="Z33" s="1"/>
  <c r="Y24"/>
  <c r="I24"/>
  <c r="O24"/>
  <c r="O33" s="1"/>
  <c r="J23"/>
  <c r="K23"/>
  <c r="L23"/>
  <c r="M23"/>
  <c r="N23"/>
  <c r="AA23"/>
  <c r="Z23"/>
  <c r="Y23"/>
  <c r="I23"/>
  <c r="O23"/>
  <c r="J22"/>
  <c r="R22" s="1"/>
  <c r="K22"/>
  <c r="L22"/>
  <c r="M22"/>
  <c r="N22"/>
  <c r="AA22"/>
  <c r="Z22"/>
  <c r="Y22"/>
  <c r="I22"/>
  <c r="O22"/>
  <c r="J21"/>
  <c r="K21"/>
  <c r="L21"/>
  <c r="M21"/>
  <c r="N21"/>
  <c r="AA21"/>
  <c r="Z21"/>
  <c r="Y21"/>
  <c r="I21"/>
  <c r="O21"/>
  <c r="J20"/>
  <c r="R20" s="1"/>
  <c r="K20"/>
  <c r="L20"/>
  <c r="L32" s="1"/>
  <c r="M20"/>
  <c r="N20"/>
  <c r="N32" s="1"/>
  <c r="AA20"/>
  <c r="AA32" s="1"/>
  <c r="Z20"/>
  <c r="Z32" s="1"/>
  <c r="Y20"/>
  <c r="Y32" s="1"/>
  <c r="I20"/>
  <c r="O20"/>
  <c r="O32" s="1"/>
  <c r="J12"/>
  <c r="K12"/>
  <c r="R12" s="1"/>
  <c r="L12"/>
  <c r="M12"/>
  <c r="N12"/>
  <c r="J1"/>
  <c r="K1"/>
  <c r="L1"/>
  <c r="M1"/>
  <c r="N1"/>
  <c r="J13"/>
  <c r="K13"/>
  <c r="L13"/>
  <c r="M13"/>
  <c r="N13"/>
  <c r="R13"/>
  <c r="AC13" s="1"/>
  <c r="J14"/>
  <c r="R14" s="1"/>
  <c r="K14"/>
  <c r="L14"/>
  <c r="M14"/>
  <c r="N14"/>
  <c r="J15"/>
  <c r="K15"/>
  <c r="L15"/>
  <c r="M15"/>
  <c r="N15"/>
  <c r="R15"/>
  <c r="AC15" s="1"/>
  <c r="J4"/>
  <c r="K4"/>
  <c r="L4"/>
  <c r="M4"/>
  <c r="N4"/>
  <c r="R4"/>
  <c r="AC4" s="1"/>
  <c r="J5"/>
  <c r="R5" s="1"/>
  <c r="K5"/>
  <c r="L5"/>
  <c r="M5"/>
  <c r="N5"/>
  <c r="J6"/>
  <c r="K6"/>
  <c r="L6"/>
  <c r="M6"/>
  <c r="N6"/>
  <c r="R6"/>
  <c r="AC6" s="1"/>
  <c r="J7"/>
  <c r="R7" s="1"/>
  <c r="K7"/>
  <c r="L7"/>
  <c r="M7"/>
  <c r="N7"/>
  <c r="J8"/>
  <c r="K8"/>
  <c r="L8"/>
  <c r="M8"/>
  <c r="N8"/>
  <c r="R8"/>
  <c r="AC8" s="1"/>
  <c r="J9"/>
  <c r="R9" s="1"/>
  <c r="K9"/>
  <c r="L9"/>
  <c r="M9"/>
  <c r="N9"/>
  <c r="J10"/>
  <c r="K10"/>
  <c r="L10"/>
  <c r="M10"/>
  <c r="N10"/>
  <c r="R10"/>
  <c r="AC10" s="1"/>
  <c r="J11"/>
  <c r="R11" s="1"/>
  <c r="K11"/>
  <c r="L11"/>
  <c r="M11"/>
  <c r="N11"/>
  <c r="AI13"/>
  <c r="AI15"/>
  <c r="AI4"/>
  <c r="AI6"/>
  <c r="AI8"/>
  <c r="AI10"/>
  <c r="I15"/>
  <c r="V15" s="1"/>
  <c r="I14"/>
  <c r="I13"/>
  <c r="V13" s="1"/>
  <c r="I12"/>
  <c r="I11"/>
  <c r="I10"/>
  <c r="S10"/>
  <c r="AJ10" s="1"/>
  <c r="I9"/>
  <c r="V9" s="1"/>
  <c r="I8"/>
  <c r="S8"/>
  <c r="AJ8" s="1"/>
  <c r="I7"/>
  <c r="I6"/>
  <c r="S6"/>
  <c r="AJ6" s="1"/>
  <c r="I5"/>
  <c r="I4"/>
  <c r="S4"/>
  <c r="AJ4" s="1"/>
  <c r="A18"/>
  <c r="A17"/>
  <c r="A16"/>
  <c r="AH13"/>
  <c r="AH15"/>
  <c r="AF13"/>
  <c r="AF15"/>
  <c r="AD13"/>
  <c r="AD15"/>
  <c r="AA12"/>
  <c r="AA13"/>
  <c r="AA14"/>
  <c r="AA15"/>
  <c r="AA18"/>
  <c r="Z12"/>
  <c r="Z13"/>
  <c r="Z18" s="1"/>
  <c r="Z14"/>
  <c r="Z15"/>
  <c r="Y12"/>
  <c r="Y13"/>
  <c r="Y14"/>
  <c r="Y15"/>
  <c r="Y18"/>
  <c r="W13"/>
  <c r="W15"/>
  <c r="U13"/>
  <c r="U15"/>
  <c r="O1"/>
  <c r="O12"/>
  <c r="Q12" s="1"/>
  <c r="O13"/>
  <c r="Q13" s="1"/>
  <c r="O14"/>
  <c r="Q14" s="1"/>
  <c r="O15"/>
  <c r="Q15" s="1"/>
  <c r="P13"/>
  <c r="P15"/>
  <c r="O18"/>
  <c r="N18"/>
  <c r="M18"/>
  <c r="L18"/>
  <c r="K18"/>
  <c r="J18"/>
  <c r="I18"/>
  <c r="H18"/>
  <c r="G18"/>
  <c r="F18"/>
  <c r="E18"/>
  <c r="D18"/>
  <c r="C18"/>
  <c r="AH8"/>
  <c r="AH9"/>
  <c r="AH11"/>
  <c r="AG8"/>
  <c r="AG10"/>
  <c r="AF8"/>
  <c r="AF9"/>
  <c r="AF10"/>
  <c r="AE8"/>
  <c r="AE10"/>
  <c r="AD8"/>
  <c r="AD9"/>
  <c r="AD10"/>
  <c r="AD11"/>
  <c r="AA8"/>
  <c r="AA9"/>
  <c r="AA10"/>
  <c r="AA11"/>
  <c r="AA17"/>
  <c r="Z8"/>
  <c r="Z9"/>
  <c r="Z10"/>
  <c r="Z11"/>
  <c r="Y8"/>
  <c r="Y9"/>
  <c r="Y10"/>
  <c r="Y11"/>
  <c r="Y17"/>
  <c r="W8"/>
  <c r="W9"/>
  <c r="W10"/>
  <c r="W11"/>
  <c r="V8"/>
  <c r="V10"/>
  <c r="U8"/>
  <c r="U9"/>
  <c r="U10"/>
  <c r="T8"/>
  <c r="T10"/>
  <c r="O8"/>
  <c r="Q8"/>
  <c r="O9"/>
  <c r="Q9"/>
  <c r="O10"/>
  <c r="Q10"/>
  <c r="O11"/>
  <c r="Q11"/>
  <c r="P8"/>
  <c r="P9"/>
  <c r="P10"/>
  <c r="P11"/>
  <c r="P17"/>
  <c r="O17"/>
  <c r="N17"/>
  <c r="M17"/>
  <c r="L17"/>
  <c r="K17"/>
  <c r="J17"/>
  <c r="I17"/>
  <c r="H17"/>
  <c r="G17"/>
  <c r="F17"/>
  <c r="E17"/>
  <c r="D17"/>
  <c r="C17"/>
  <c r="AH4"/>
  <c r="AH6"/>
  <c r="AG4"/>
  <c r="AG5"/>
  <c r="AG6"/>
  <c r="AG7"/>
  <c r="AF4"/>
  <c r="AF6"/>
  <c r="AE4"/>
  <c r="AE5"/>
  <c r="AE6"/>
  <c r="AE7"/>
  <c r="AD4"/>
  <c r="AD6"/>
  <c r="AA4"/>
  <c r="AA5"/>
  <c r="AA6"/>
  <c r="AA7"/>
  <c r="Z4"/>
  <c r="Z5"/>
  <c r="Z6"/>
  <c r="Z7"/>
  <c r="Z16"/>
  <c r="Y4"/>
  <c r="Y5"/>
  <c r="Y6"/>
  <c r="Y7"/>
  <c r="W4"/>
  <c r="W6"/>
  <c r="V4"/>
  <c r="V5"/>
  <c r="V6"/>
  <c r="V7"/>
  <c r="U4"/>
  <c r="U6"/>
  <c r="T4"/>
  <c r="T6"/>
  <c r="R16"/>
  <c r="O4"/>
  <c r="Q4"/>
  <c r="Q16" s="1"/>
  <c r="O5"/>
  <c r="Q5"/>
  <c r="O6"/>
  <c r="Q6"/>
  <c r="O7"/>
  <c r="Q7"/>
  <c r="P4"/>
  <c r="P5"/>
  <c r="P6"/>
  <c r="P16" s="1"/>
  <c r="P7"/>
  <c r="O16"/>
  <c r="N16"/>
  <c r="M16"/>
  <c r="L16"/>
  <c r="K16"/>
  <c r="J16"/>
  <c r="I16"/>
  <c r="H16"/>
  <c r="G16"/>
  <c r="F16"/>
  <c r="E16"/>
  <c r="D16"/>
  <c r="C16"/>
  <c r="B18"/>
  <c r="B17"/>
  <c r="B16"/>
  <c r="V95" i="27" l="1"/>
  <c r="R5"/>
  <c r="Q11"/>
  <c r="V13"/>
  <c r="V9"/>
  <c r="V5"/>
  <c r="V97"/>
  <c r="V93"/>
  <c r="V89"/>
  <c r="W85"/>
  <c r="W79"/>
  <c r="T75"/>
  <c r="W73"/>
  <c r="W71"/>
  <c r="W69"/>
  <c r="W67"/>
  <c r="W65"/>
  <c r="V63"/>
  <c r="V51"/>
  <c r="V39"/>
  <c r="V27"/>
  <c r="V15"/>
  <c r="V87"/>
  <c r="V79"/>
  <c r="V45"/>
  <c r="V91"/>
  <c r="V85"/>
  <c r="V81"/>
  <c r="Q79"/>
  <c r="V77"/>
  <c r="V75"/>
  <c r="V71"/>
  <c r="V69"/>
  <c r="V67"/>
  <c r="V61"/>
  <c r="Q57"/>
  <c r="V55"/>
  <c r="V53"/>
  <c r="Q45"/>
  <c r="V43"/>
  <c r="V37"/>
  <c r="Q33"/>
  <c r="V31"/>
  <c r="V29"/>
  <c r="Q21"/>
  <c r="V19"/>
  <c r="V21"/>
  <c r="V83"/>
  <c r="V73"/>
  <c r="V65"/>
  <c r="V57"/>
  <c r="V49"/>
  <c r="V41"/>
  <c r="V33"/>
  <c r="V25"/>
  <c r="V17"/>
  <c r="R84"/>
  <c r="R80"/>
  <c r="P77"/>
  <c r="R76"/>
  <c r="P71"/>
  <c r="P67"/>
  <c r="P84"/>
  <c r="P80"/>
  <c r="V80"/>
  <c r="Q77"/>
  <c r="P76"/>
  <c r="V76"/>
  <c r="R86"/>
  <c r="R82"/>
  <c r="P79"/>
  <c r="R78"/>
  <c r="Q75"/>
  <c r="P73"/>
  <c r="P69"/>
  <c r="P65"/>
  <c r="AI11" i="17"/>
  <c r="S11"/>
  <c r="AG11"/>
  <c r="AE11"/>
  <c r="AC11"/>
  <c r="AI7"/>
  <c r="S7"/>
  <c r="AH7"/>
  <c r="AF7"/>
  <c r="AD7"/>
  <c r="W7"/>
  <c r="U7"/>
  <c r="AC7"/>
  <c r="AI14"/>
  <c r="AH14"/>
  <c r="AF14"/>
  <c r="AD14"/>
  <c r="W14"/>
  <c r="U14"/>
  <c r="AC14"/>
  <c r="S14"/>
  <c r="AG14"/>
  <c r="AE14"/>
  <c r="V14"/>
  <c r="AH20"/>
  <c r="AF20"/>
  <c r="AD20"/>
  <c r="U20"/>
  <c r="AI20"/>
  <c r="AG20"/>
  <c r="AE20"/>
  <c r="AC20"/>
  <c r="W20"/>
  <c r="V20"/>
  <c r="S20"/>
  <c r="AH22"/>
  <c r="AF22"/>
  <c r="AD22"/>
  <c r="U22"/>
  <c r="AI22"/>
  <c r="AG22"/>
  <c r="AE22"/>
  <c r="AC22"/>
  <c r="W22"/>
  <c r="V22"/>
  <c r="S22"/>
  <c r="T22" s="1"/>
  <c r="AH26"/>
  <c r="AF26"/>
  <c r="AD26"/>
  <c r="U26"/>
  <c r="AI26"/>
  <c r="AG26"/>
  <c r="AE26"/>
  <c r="AC26"/>
  <c r="W26"/>
  <c r="V26"/>
  <c r="S26"/>
  <c r="T26" s="1"/>
  <c r="AH28"/>
  <c r="AF28"/>
  <c r="AD28"/>
  <c r="U28"/>
  <c r="AI28"/>
  <c r="AG28"/>
  <c r="AE28"/>
  <c r="AC28"/>
  <c r="W28"/>
  <c r="V28"/>
  <c r="S28"/>
  <c r="AH30"/>
  <c r="AF30"/>
  <c r="AD30"/>
  <c r="U30"/>
  <c r="AI30"/>
  <c r="AG30"/>
  <c r="AE30"/>
  <c r="AC30"/>
  <c r="W30"/>
  <c r="V30"/>
  <c r="S30"/>
  <c r="T30" s="1"/>
  <c r="AH37"/>
  <c r="AF37"/>
  <c r="AD37"/>
  <c r="U37"/>
  <c r="AI37"/>
  <c r="AG37"/>
  <c r="AE37"/>
  <c r="AC37"/>
  <c r="W37"/>
  <c r="V37"/>
  <c r="S37"/>
  <c r="T37" s="1"/>
  <c r="AH39"/>
  <c r="AF39"/>
  <c r="AD39"/>
  <c r="U39"/>
  <c r="AI39"/>
  <c r="AG39"/>
  <c r="AE39"/>
  <c r="AC39"/>
  <c r="W39"/>
  <c r="V39"/>
  <c r="S39"/>
  <c r="AH41"/>
  <c r="AF41"/>
  <c r="AD41"/>
  <c r="U41"/>
  <c r="AI41"/>
  <c r="AG41"/>
  <c r="AE41"/>
  <c r="AC41"/>
  <c r="W41"/>
  <c r="V41"/>
  <c r="S41"/>
  <c r="T41" s="1"/>
  <c r="AH45"/>
  <c r="AF45"/>
  <c r="AD45"/>
  <c r="U45"/>
  <c r="AI45"/>
  <c r="AG45"/>
  <c r="AE45"/>
  <c r="AC45"/>
  <c r="W45"/>
  <c r="V45"/>
  <c r="S45"/>
  <c r="T45" s="1"/>
  <c r="AH50"/>
  <c r="AF50"/>
  <c r="AD50"/>
  <c r="U50"/>
  <c r="AI50"/>
  <c r="AG50"/>
  <c r="AE50"/>
  <c r="AC50"/>
  <c r="W50"/>
  <c r="V50"/>
  <c r="S50"/>
  <c r="AH52"/>
  <c r="AF52"/>
  <c r="AD52"/>
  <c r="U52"/>
  <c r="AI52"/>
  <c r="AG52"/>
  <c r="AE52"/>
  <c r="AC52"/>
  <c r="W52"/>
  <c r="V52"/>
  <c r="S52"/>
  <c r="T52" s="1"/>
  <c r="AH56"/>
  <c r="AF56"/>
  <c r="AD56"/>
  <c r="U56"/>
  <c r="AI56"/>
  <c r="AG56"/>
  <c r="AE56"/>
  <c r="AC56"/>
  <c r="W56"/>
  <c r="V56"/>
  <c r="S56"/>
  <c r="T56" s="1"/>
  <c r="AH58"/>
  <c r="AF58"/>
  <c r="AD58"/>
  <c r="U58"/>
  <c r="AI58"/>
  <c r="AG58"/>
  <c r="AE58"/>
  <c r="AC58"/>
  <c r="W58"/>
  <c r="V58"/>
  <c r="S58"/>
  <c r="AH60"/>
  <c r="AF60"/>
  <c r="AD60"/>
  <c r="U60"/>
  <c r="AI60"/>
  <c r="AG60"/>
  <c r="AE60"/>
  <c r="AC60"/>
  <c r="W60"/>
  <c r="V60"/>
  <c r="S60"/>
  <c r="T60" s="1"/>
  <c r="AH67"/>
  <c r="AF67"/>
  <c r="AD67"/>
  <c r="U67"/>
  <c r="AI67"/>
  <c r="AG67"/>
  <c r="AE67"/>
  <c r="AC67"/>
  <c r="W67"/>
  <c r="V67"/>
  <c r="S67"/>
  <c r="T67" s="1"/>
  <c r="AH69"/>
  <c r="AF69"/>
  <c r="AD69"/>
  <c r="U69"/>
  <c r="AI69"/>
  <c r="AG69"/>
  <c r="AE69"/>
  <c r="AC69"/>
  <c r="W69"/>
  <c r="V69"/>
  <c r="S69"/>
  <c r="AH71"/>
  <c r="AF71"/>
  <c r="AD71"/>
  <c r="U71"/>
  <c r="AI71"/>
  <c r="AG71"/>
  <c r="AE71"/>
  <c r="AC71"/>
  <c r="W71"/>
  <c r="V71"/>
  <c r="S71"/>
  <c r="T71" s="1"/>
  <c r="AH75"/>
  <c r="AF75"/>
  <c r="AD75"/>
  <c r="U75"/>
  <c r="AI75"/>
  <c r="AG75"/>
  <c r="AE75"/>
  <c r="AC75"/>
  <c r="W75"/>
  <c r="V75"/>
  <c r="S75"/>
  <c r="T75" s="1"/>
  <c r="AH80"/>
  <c r="AF80"/>
  <c r="AD80"/>
  <c r="U80"/>
  <c r="AI80"/>
  <c r="AG80"/>
  <c r="AE80"/>
  <c r="AC80"/>
  <c r="W80"/>
  <c r="V80"/>
  <c r="S80"/>
  <c r="AH82"/>
  <c r="AF82"/>
  <c r="AD82"/>
  <c r="U82"/>
  <c r="AI82"/>
  <c r="AG82"/>
  <c r="AE82"/>
  <c r="AC82"/>
  <c r="W82"/>
  <c r="V82"/>
  <c r="S82"/>
  <c r="T82" s="1"/>
  <c r="AH86"/>
  <c r="AF86"/>
  <c r="AD86"/>
  <c r="U86"/>
  <c r="AI86"/>
  <c r="AG86"/>
  <c r="AE86"/>
  <c r="AC86"/>
  <c r="W86"/>
  <c r="V86"/>
  <c r="S86"/>
  <c r="T86" s="1"/>
  <c r="AH88"/>
  <c r="AF88"/>
  <c r="AD88"/>
  <c r="U88"/>
  <c r="AI88"/>
  <c r="AG88"/>
  <c r="AE88"/>
  <c r="AC88"/>
  <c r="W88"/>
  <c r="V88"/>
  <c r="S88"/>
  <c r="AH90"/>
  <c r="AF90"/>
  <c r="AD90"/>
  <c r="U90"/>
  <c r="AI90"/>
  <c r="AG90"/>
  <c r="AE90"/>
  <c r="AC90"/>
  <c r="W90"/>
  <c r="V90"/>
  <c r="S90"/>
  <c r="T90" s="1"/>
  <c r="AH97"/>
  <c r="AF97"/>
  <c r="AD97"/>
  <c r="U97"/>
  <c r="AI97"/>
  <c r="AG97"/>
  <c r="AE97"/>
  <c r="AC97"/>
  <c r="W97"/>
  <c r="V97"/>
  <c r="S97"/>
  <c r="T97" s="1"/>
  <c r="AH99"/>
  <c r="AF99"/>
  <c r="AD99"/>
  <c r="U99"/>
  <c r="AI99"/>
  <c r="AG99"/>
  <c r="AE99"/>
  <c r="AC99"/>
  <c r="W99"/>
  <c r="V99"/>
  <c r="S99"/>
  <c r="AH101"/>
  <c r="AF101"/>
  <c r="AD101"/>
  <c r="U101"/>
  <c r="AI101"/>
  <c r="AG101"/>
  <c r="AE101"/>
  <c r="AC101"/>
  <c r="W101"/>
  <c r="V101"/>
  <c r="S101"/>
  <c r="T101" s="1"/>
  <c r="AH105"/>
  <c r="AF105"/>
  <c r="AD105"/>
  <c r="U105"/>
  <c r="AI105"/>
  <c r="AG105"/>
  <c r="AE105"/>
  <c r="AC105"/>
  <c r="W105"/>
  <c r="V105"/>
  <c r="S105"/>
  <c r="T105" s="1"/>
  <c r="AH110"/>
  <c r="AF110"/>
  <c r="AD110"/>
  <c r="U110"/>
  <c r="AI110"/>
  <c r="AG110"/>
  <c r="AE110"/>
  <c r="AC110"/>
  <c r="W110"/>
  <c r="V110"/>
  <c r="S110"/>
  <c r="AH112"/>
  <c r="AF112"/>
  <c r="AD112"/>
  <c r="U112"/>
  <c r="AI112"/>
  <c r="AG112"/>
  <c r="AE112"/>
  <c r="AC112"/>
  <c r="W112"/>
  <c r="V112"/>
  <c r="S112"/>
  <c r="T112" s="1"/>
  <c r="V16"/>
  <c r="AA16"/>
  <c r="AG16"/>
  <c r="W17"/>
  <c r="AD17"/>
  <c r="AI9"/>
  <c r="AI17" s="1"/>
  <c r="AJ17" s="1"/>
  <c r="S9"/>
  <c r="AG9"/>
  <c r="AG17" s="1"/>
  <c r="AE9"/>
  <c r="AE17" s="1"/>
  <c r="AC9"/>
  <c r="AC17" s="1"/>
  <c r="AI5"/>
  <c r="AI16" s="1"/>
  <c r="S5"/>
  <c r="AH5"/>
  <c r="AH16" s="1"/>
  <c r="AF5"/>
  <c r="AF16" s="1"/>
  <c r="AD5"/>
  <c r="AD16" s="1"/>
  <c r="W5"/>
  <c r="W16" s="1"/>
  <c r="U5"/>
  <c r="U16" s="1"/>
  <c r="AC5"/>
  <c r="AC16" s="1"/>
  <c r="AI12"/>
  <c r="AI18" s="1"/>
  <c r="AJ18" s="1"/>
  <c r="AH12"/>
  <c r="AH18" s="1"/>
  <c r="AF12"/>
  <c r="AF18" s="1"/>
  <c r="AD12"/>
  <c r="AD18" s="1"/>
  <c r="W12"/>
  <c r="W18" s="1"/>
  <c r="U12"/>
  <c r="U18" s="1"/>
  <c r="AC12"/>
  <c r="AC18" s="1"/>
  <c r="S12"/>
  <c r="AG12"/>
  <c r="AE12"/>
  <c r="V12"/>
  <c r="V18" s="1"/>
  <c r="R18"/>
  <c r="Y16"/>
  <c r="AE16"/>
  <c r="Q17"/>
  <c r="R17"/>
  <c r="U11"/>
  <c r="U17"/>
  <c r="Z17"/>
  <c r="AF11"/>
  <c r="AF17" s="1"/>
  <c r="Q18"/>
  <c r="V11"/>
  <c r="V17" s="1"/>
  <c r="Q136"/>
  <c r="P135"/>
  <c r="Q134"/>
  <c r="P133"/>
  <c r="Q132"/>
  <c r="P131"/>
  <c r="Q130"/>
  <c r="P129"/>
  <c r="Q128"/>
  <c r="P127"/>
  <c r="Q126"/>
  <c r="P125"/>
  <c r="Q121"/>
  <c r="P120"/>
  <c r="Q119"/>
  <c r="P118"/>
  <c r="Q117"/>
  <c r="P116"/>
  <c r="Q115"/>
  <c r="P114"/>
  <c r="I123"/>
  <c r="I124"/>
  <c r="I137"/>
  <c r="I138"/>
  <c r="I139"/>
  <c r="S97" i="26"/>
  <c r="T97" s="1"/>
  <c r="U97"/>
  <c r="W97"/>
  <c r="AC97"/>
  <c r="AE97"/>
  <c r="AG97"/>
  <c r="AI97"/>
  <c r="AF97"/>
  <c r="V97"/>
  <c r="AD97"/>
  <c r="AH97"/>
  <c r="S90"/>
  <c r="T90" s="1"/>
  <c r="U90"/>
  <c r="W90"/>
  <c r="AC90"/>
  <c r="AE90"/>
  <c r="AG90"/>
  <c r="AI90"/>
  <c r="AF90"/>
  <c r="V90"/>
  <c r="AD90"/>
  <c r="AH90"/>
  <c r="S82"/>
  <c r="T82" s="1"/>
  <c r="U82"/>
  <c r="W82"/>
  <c r="AC82"/>
  <c r="AE82"/>
  <c r="AG82"/>
  <c r="AI82"/>
  <c r="AF82"/>
  <c r="V82"/>
  <c r="AD82"/>
  <c r="AH82"/>
  <c r="S75"/>
  <c r="T75" s="1"/>
  <c r="U75"/>
  <c r="W75"/>
  <c r="AC75"/>
  <c r="AE75"/>
  <c r="AG75"/>
  <c r="AI75"/>
  <c r="AF75"/>
  <c r="V75"/>
  <c r="AD75"/>
  <c r="AH75"/>
  <c r="S67"/>
  <c r="T67" s="1"/>
  <c r="U67"/>
  <c r="W67"/>
  <c r="AC67"/>
  <c r="AE67"/>
  <c r="AG67"/>
  <c r="AI67"/>
  <c r="AF67"/>
  <c r="V67"/>
  <c r="AD67"/>
  <c r="AH67"/>
  <c r="S60"/>
  <c r="T60" s="1"/>
  <c r="U60"/>
  <c r="W60"/>
  <c r="AC60"/>
  <c r="AE60"/>
  <c r="AG60"/>
  <c r="AI60"/>
  <c r="AF60"/>
  <c r="V60"/>
  <c r="AD60"/>
  <c r="AH60"/>
  <c r="P20" i="17"/>
  <c r="Q21"/>
  <c r="R21"/>
  <c r="P22"/>
  <c r="Q23"/>
  <c r="R23"/>
  <c r="V23" s="1"/>
  <c r="P24"/>
  <c r="Q25"/>
  <c r="R25"/>
  <c r="P26"/>
  <c r="Q27"/>
  <c r="R27"/>
  <c r="V27" s="1"/>
  <c r="P28"/>
  <c r="Q29"/>
  <c r="R29"/>
  <c r="P30"/>
  <c r="Q31"/>
  <c r="R31"/>
  <c r="V31" s="1"/>
  <c r="P35"/>
  <c r="Q36"/>
  <c r="R36"/>
  <c r="P37"/>
  <c r="Q38"/>
  <c r="R38"/>
  <c r="V38" s="1"/>
  <c r="P39"/>
  <c r="Q40"/>
  <c r="R40"/>
  <c r="P41"/>
  <c r="Q42"/>
  <c r="R42"/>
  <c r="V42" s="1"/>
  <c r="P43"/>
  <c r="Q44"/>
  <c r="R44"/>
  <c r="P45"/>
  <c r="Q46"/>
  <c r="R46"/>
  <c r="V46" s="1"/>
  <c r="P50"/>
  <c r="Q51"/>
  <c r="R51"/>
  <c r="P52"/>
  <c r="Q53"/>
  <c r="R53"/>
  <c r="V53" s="1"/>
  <c r="P54"/>
  <c r="Q55"/>
  <c r="R55"/>
  <c r="P56"/>
  <c r="Q57"/>
  <c r="R57"/>
  <c r="V57" s="1"/>
  <c r="P58"/>
  <c r="Q59"/>
  <c r="R59"/>
  <c r="P60"/>
  <c r="Q61"/>
  <c r="R61"/>
  <c r="V61" s="1"/>
  <c r="P65"/>
  <c r="Q66"/>
  <c r="R66"/>
  <c r="P67"/>
  <c r="Q68"/>
  <c r="R68"/>
  <c r="V68" s="1"/>
  <c r="P69"/>
  <c r="Q70"/>
  <c r="R70"/>
  <c r="P71"/>
  <c r="Q72"/>
  <c r="R72"/>
  <c r="V72" s="1"/>
  <c r="P73"/>
  <c r="Q74"/>
  <c r="R74"/>
  <c r="P75"/>
  <c r="Q76"/>
  <c r="R76"/>
  <c r="V76" s="1"/>
  <c r="P80"/>
  <c r="Q81"/>
  <c r="R81"/>
  <c r="P82"/>
  <c r="Q83"/>
  <c r="R83"/>
  <c r="V83" s="1"/>
  <c r="P84"/>
  <c r="Q85"/>
  <c r="R85"/>
  <c r="P86"/>
  <c r="Q87"/>
  <c r="R87"/>
  <c r="V87" s="1"/>
  <c r="P88"/>
  <c r="Q89"/>
  <c r="R89"/>
  <c r="P90"/>
  <c r="Q91"/>
  <c r="R91"/>
  <c r="V91" s="1"/>
  <c r="P95"/>
  <c r="Q96"/>
  <c r="R96"/>
  <c r="P97"/>
  <c r="Q98"/>
  <c r="R98"/>
  <c r="V98" s="1"/>
  <c r="P99"/>
  <c r="Q100"/>
  <c r="R100"/>
  <c r="P101"/>
  <c r="Q102"/>
  <c r="R102"/>
  <c r="V102" s="1"/>
  <c r="P103"/>
  <c r="Q104"/>
  <c r="R104"/>
  <c r="P105"/>
  <c r="Q106"/>
  <c r="R106"/>
  <c r="V106" s="1"/>
  <c r="P110"/>
  <c r="Q111"/>
  <c r="R111"/>
  <c r="P112"/>
  <c r="Q113"/>
  <c r="R113"/>
  <c r="V113" s="1"/>
  <c r="Q114"/>
  <c r="R115"/>
  <c r="R116"/>
  <c r="P117"/>
  <c r="Q118"/>
  <c r="R119"/>
  <c r="R120"/>
  <c r="P121"/>
  <c r="Q125"/>
  <c r="R126"/>
  <c r="R127"/>
  <c r="P128"/>
  <c r="Q129"/>
  <c r="R130"/>
  <c r="R131"/>
  <c r="P132"/>
  <c r="Q133"/>
  <c r="R134"/>
  <c r="R135"/>
  <c r="P136"/>
  <c r="J32"/>
  <c r="J34"/>
  <c r="J48"/>
  <c r="J62"/>
  <c r="J64"/>
  <c r="J78"/>
  <c r="J92"/>
  <c r="J94"/>
  <c r="J108"/>
  <c r="J122"/>
  <c r="J124"/>
  <c r="J138"/>
  <c r="S86" i="26"/>
  <c r="T86" s="1"/>
  <c r="U86"/>
  <c r="W86"/>
  <c r="AC86"/>
  <c r="AE86"/>
  <c r="AG86"/>
  <c r="AI86"/>
  <c r="AF86"/>
  <c r="V86"/>
  <c r="AD86"/>
  <c r="AH86"/>
  <c r="S71"/>
  <c r="T71" s="1"/>
  <c r="U71"/>
  <c r="W71"/>
  <c r="AC71"/>
  <c r="AE71"/>
  <c r="AG71"/>
  <c r="AI71"/>
  <c r="AF71"/>
  <c r="V71"/>
  <c r="AD71"/>
  <c r="AH71"/>
  <c r="S17" i="17"/>
  <c r="AH10"/>
  <c r="AH17" s="1"/>
  <c r="P14"/>
  <c r="P12"/>
  <c r="AE15"/>
  <c r="AE13"/>
  <c r="AG15"/>
  <c r="AG13"/>
  <c r="S13"/>
  <c r="S15"/>
  <c r="Q20"/>
  <c r="Q32" s="1"/>
  <c r="I32"/>
  <c r="M32"/>
  <c r="K32"/>
  <c r="P21"/>
  <c r="Q22"/>
  <c r="P23"/>
  <c r="Q24"/>
  <c r="I33"/>
  <c r="Y33"/>
  <c r="AA33"/>
  <c r="R24"/>
  <c r="M33"/>
  <c r="K33"/>
  <c r="P25"/>
  <c r="Q26"/>
  <c r="P27"/>
  <c r="Q28"/>
  <c r="I34"/>
  <c r="M34"/>
  <c r="K34"/>
  <c r="P29"/>
  <c r="Q30"/>
  <c r="P31"/>
  <c r="Q35"/>
  <c r="I47"/>
  <c r="Y47"/>
  <c r="AA47"/>
  <c r="R35"/>
  <c r="M47"/>
  <c r="K47"/>
  <c r="P36"/>
  <c r="Q37"/>
  <c r="P38"/>
  <c r="Q39"/>
  <c r="Q48" s="1"/>
  <c r="I48"/>
  <c r="M48"/>
  <c r="K48"/>
  <c r="P40"/>
  <c r="Q41"/>
  <c r="P42"/>
  <c r="Q43"/>
  <c r="I49"/>
  <c r="Y49"/>
  <c r="AA49"/>
  <c r="R43"/>
  <c r="M49"/>
  <c r="K49"/>
  <c r="P44"/>
  <c r="Q45"/>
  <c r="P46"/>
  <c r="Q50"/>
  <c r="I62"/>
  <c r="M62"/>
  <c r="K62"/>
  <c r="P51"/>
  <c r="Q52"/>
  <c r="P53"/>
  <c r="Q54"/>
  <c r="I63"/>
  <c r="Y63"/>
  <c r="AA63"/>
  <c r="R54"/>
  <c r="M63"/>
  <c r="K63"/>
  <c r="P55"/>
  <c r="Q56"/>
  <c r="P57"/>
  <c r="Q58"/>
  <c r="Q64" s="1"/>
  <c r="I64"/>
  <c r="M64"/>
  <c r="K64"/>
  <c r="P59"/>
  <c r="Q60"/>
  <c r="P61"/>
  <c r="Q65"/>
  <c r="I77"/>
  <c r="Y77"/>
  <c r="AA77"/>
  <c r="R65"/>
  <c r="M77"/>
  <c r="K77"/>
  <c r="P66"/>
  <c r="Q67"/>
  <c r="P68"/>
  <c r="Q69"/>
  <c r="I78"/>
  <c r="M78"/>
  <c r="K78"/>
  <c r="P70"/>
  <c r="Q71"/>
  <c r="P72"/>
  <c r="Q73"/>
  <c r="I79"/>
  <c r="Y79"/>
  <c r="AA79"/>
  <c r="R73"/>
  <c r="M79"/>
  <c r="K79"/>
  <c r="P74"/>
  <c r="Q75"/>
  <c r="P76"/>
  <c r="Q80"/>
  <c r="Q92" s="1"/>
  <c r="I92"/>
  <c r="M92"/>
  <c r="K92"/>
  <c r="P81"/>
  <c r="Q82"/>
  <c r="P83"/>
  <c r="Q84"/>
  <c r="I93"/>
  <c r="Y93"/>
  <c r="AA93"/>
  <c r="R84"/>
  <c r="M93"/>
  <c r="K93"/>
  <c r="P85"/>
  <c r="Q86"/>
  <c r="P87"/>
  <c r="Q88"/>
  <c r="I94"/>
  <c r="M94"/>
  <c r="K94"/>
  <c r="P89"/>
  <c r="Q90"/>
  <c r="P91"/>
  <c r="Q95"/>
  <c r="I107"/>
  <c r="Y107"/>
  <c r="AA107"/>
  <c r="R95"/>
  <c r="M107"/>
  <c r="K107"/>
  <c r="P96"/>
  <c r="Q97"/>
  <c r="P98"/>
  <c r="Q99"/>
  <c r="Q108" s="1"/>
  <c r="I108"/>
  <c r="M108"/>
  <c r="K108"/>
  <c r="P100"/>
  <c r="Q101"/>
  <c r="P102"/>
  <c r="Q103"/>
  <c r="I109"/>
  <c r="Y109"/>
  <c r="AA109"/>
  <c r="R103"/>
  <c r="M109"/>
  <c r="K109"/>
  <c r="P104"/>
  <c r="Q105"/>
  <c r="P106"/>
  <c r="Q110"/>
  <c r="I122"/>
  <c r="M122"/>
  <c r="K122"/>
  <c r="P111"/>
  <c r="Q112"/>
  <c r="P113"/>
  <c r="O123"/>
  <c r="Y123"/>
  <c r="AA123"/>
  <c r="R114"/>
  <c r="M123"/>
  <c r="K123"/>
  <c r="P115"/>
  <c r="Q116"/>
  <c r="V116"/>
  <c r="R117"/>
  <c r="O124"/>
  <c r="R118"/>
  <c r="M124"/>
  <c r="K124"/>
  <c r="P119"/>
  <c r="Q120"/>
  <c r="V120"/>
  <c r="R121"/>
  <c r="O137"/>
  <c r="Y137"/>
  <c r="AA137"/>
  <c r="R125"/>
  <c r="M137"/>
  <c r="K137"/>
  <c r="P126"/>
  <c r="Q127"/>
  <c r="V127"/>
  <c r="R128"/>
  <c r="O138"/>
  <c r="R129"/>
  <c r="M138"/>
  <c r="K138"/>
  <c r="P130"/>
  <c r="Q131"/>
  <c r="V131"/>
  <c r="R132"/>
  <c r="O139"/>
  <c r="Y139"/>
  <c r="AA139"/>
  <c r="R133"/>
  <c r="M139"/>
  <c r="K139"/>
  <c r="P134"/>
  <c r="Q135"/>
  <c r="V135"/>
  <c r="R136"/>
  <c r="J123"/>
  <c r="J137"/>
  <c r="J139"/>
  <c r="V120" i="26"/>
  <c r="V112"/>
  <c r="V101"/>
  <c r="V108"/>
  <c r="P96"/>
  <c r="P107" s="1"/>
  <c r="R96"/>
  <c r="P89"/>
  <c r="R89"/>
  <c r="K94"/>
  <c r="V89"/>
  <c r="V94" s="1"/>
  <c r="I94"/>
  <c r="P85"/>
  <c r="R85"/>
  <c r="K93"/>
  <c r="V85"/>
  <c r="I93"/>
  <c r="P81"/>
  <c r="R81"/>
  <c r="K92"/>
  <c r="V81"/>
  <c r="I92"/>
  <c r="P74"/>
  <c r="R74"/>
  <c r="K79"/>
  <c r="V74"/>
  <c r="V79" s="1"/>
  <c r="I79"/>
  <c r="P70"/>
  <c r="R70"/>
  <c r="K78"/>
  <c r="V70"/>
  <c r="I78"/>
  <c r="P66"/>
  <c r="R66"/>
  <c r="K77"/>
  <c r="V66"/>
  <c r="I77"/>
  <c r="T58"/>
  <c r="T54"/>
  <c r="T50"/>
  <c r="S44"/>
  <c r="T44" s="1"/>
  <c r="U44"/>
  <c r="W44"/>
  <c r="AC44"/>
  <c r="AE44"/>
  <c r="AG44"/>
  <c r="AI44"/>
  <c r="AF44"/>
  <c r="V44"/>
  <c r="AD44"/>
  <c r="AH44"/>
  <c r="J139"/>
  <c r="J138"/>
  <c r="J137"/>
  <c r="AI136"/>
  <c r="AG136"/>
  <c r="AE136"/>
  <c r="AC136"/>
  <c r="W136"/>
  <c r="U136"/>
  <c r="R135"/>
  <c r="AI134"/>
  <c r="AG134"/>
  <c r="AE134"/>
  <c r="AC134"/>
  <c r="W134"/>
  <c r="U134"/>
  <c r="R133"/>
  <c r="V133" s="1"/>
  <c r="AI132"/>
  <c r="AG132"/>
  <c r="AE132"/>
  <c r="AC132"/>
  <c r="W132"/>
  <c r="U132"/>
  <c r="R131"/>
  <c r="AI130"/>
  <c r="AG130"/>
  <c r="AE130"/>
  <c r="AC130"/>
  <c r="W130"/>
  <c r="U130"/>
  <c r="R129"/>
  <c r="AI128"/>
  <c r="AG128"/>
  <c r="AE128"/>
  <c r="AC128"/>
  <c r="W128"/>
  <c r="U128"/>
  <c r="R127"/>
  <c r="AI126"/>
  <c r="AG126"/>
  <c r="AE126"/>
  <c r="AC126"/>
  <c r="W126"/>
  <c r="U126"/>
  <c r="R125"/>
  <c r="V125" s="1"/>
  <c r="J124"/>
  <c r="J123"/>
  <c r="J122"/>
  <c r="AI121"/>
  <c r="AG121"/>
  <c r="AE121"/>
  <c r="AC121"/>
  <c r="W121"/>
  <c r="U121"/>
  <c r="R120"/>
  <c r="AI119"/>
  <c r="AG119"/>
  <c r="AE119"/>
  <c r="AC119"/>
  <c r="W119"/>
  <c r="U119"/>
  <c r="R118"/>
  <c r="AI117"/>
  <c r="AG117"/>
  <c r="AE117"/>
  <c r="AC117"/>
  <c r="W117"/>
  <c r="U117"/>
  <c r="R116"/>
  <c r="AI115"/>
  <c r="AG115"/>
  <c r="AE115"/>
  <c r="AC115"/>
  <c r="W115"/>
  <c r="U115"/>
  <c r="R114"/>
  <c r="AI113"/>
  <c r="AG113"/>
  <c r="AE113"/>
  <c r="AC113"/>
  <c r="W113"/>
  <c r="U113"/>
  <c r="R112"/>
  <c r="AI111"/>
  <c r="AG111"/>
  <c r="AE111"/>
  <c r="AC111"/>
  <c r="W111"/>
  <c r="U111"/>
  <c r="R110"/>
  <c r="J109"/>
  <c r="R108"/>
  <c r="J108"/>
  <c r="J107"/>
  <c r="AI106"/>
  <c r="AG106"/>
  <c r="AE106"/>
  <c r="AC106"/>
  <c r="W106"/>
  <c r="U106"/>
  <c r="R105"/>
  <c r="AI104"/>
  <c r="AG104"/>
  <c r="AE104"/>
  <c r="AC104"/>
  <c r="W104"/>
  <c r="U104"/>
  <c r="R103"/>
  <c r="AI102"/>
  <c r="AG102"/>
  <c r="AE102"/>
  <c r="AC102"/>
  <c r="W102"/>
  <c r="U102"/>
  <c r="R101"/>
  <c r="AI100"/>
  <c r="AG100"/>
  <c r="AE100"/>
  <c r="AC100"/>
  <c r="W100"/>
  <c r="U100"/>
  <c r="Q99"/>
  <c r="Q108" s="1"/>
  <c r="V96"/>
  <c r="Q95"/>
  <c r="Q107" s="1"/>
  <c r="J94"/>
  <c r="O94"/>
  <c r="M94"/>
  <c r="AA94"/>
  <c r="Y94"/>
  <c r="Q88"/>
  <c r="O93"/>
  <c r="M93"/>
  <c r="AA93"/>
  <c r="Y93"/>
  <c r="Q84"/>
  <c r="Q93" s="1"/>
  <c r="O92"/>
  <c r="M92"/>
  <c r="AA92"/>
  <c r="Y92"/>
  <c r="Q80"/>
  <c r="J79"/>
  <c r="O79"/>
  <c r="M79"/>
  <c r="AA79"/>
  <c r="Y79"/>
  <c r="Q73"/>
  <c r="Q79" s="1"/>
  <c r="O78"/>
  <c r="M78"/>
  <c r="AA78"/>
  <c r="Y78"/>
  <c r="Q69"/>
  <c r="O77"/>
  <c r="M77"/>
  <c r="AA77"/>
  <c r="Y77"/>
  <c r="Q65"/>
  <c r="O64"/>
  <c r="M64"/>
  <c r="AA64"/>
  <c r="Y64"/>
  <c r="S99"/>
  <c r="U99"/>
  <c r="W99"/>
  <c r="AC99"/>
  <c r="AE99"/>
  <c r="AG99"/>
  <c r="AI99"/>
  <c r="P98"/>
  <c r="R98"/>
  <c r="S95"/>
  <c r="U95"/>
  <c r="W95"/>
  <c r="AC95"/>
  <c r="AE95"/>
  <c r="AG95"/>
  <c r="AI95"/>
  <c r="P91"/>
  <c r="R91"/>
  <c r="S88"/>
  <c r="U88"/>
  <c r="W88"/>
  <c r="AC88"/>
  <c r="AE88"/>
  <c r="AG88"/>
  <c r="AI88"/>
  <c r="P87"/>
  <c r="R87"/>
  <c r="S84"/>
  <c r="U84"/>
  <c r="W84"/>
  <c r="AC84"/>
  <c r="AE84"/>
  <c r="AG84"/>
  <c r="AI84"/>
  <c r="P83"/>
  <c r="R83"/>
  <c r="S80"/>
  <c r="U80"/>
  <c r="W80"/>
  <c r="AC80"/>
  <c r="AE80"/>
  <c r="AG80"/>
  <c r="AI80"/>
  <c r="P76"/>
  <c r="R76"/>
  <c r="S73"/>
  <c r="U73"/>
  <c r="W73"/>
  <c r="AC73"/>
  <c r="AE73"/>
  <c r="AG73"/>
  <c r="AI73"/>
  <c r="P72"/>
  <c r="R72"/>
  <c r="S69"/>
  <c r="U69"/>
  <c r="W69"/>
  <c r="AC69"/>
  <c r="AE69"/>
  <c r="AG69"/>
  <c r="AI69"/>
  <c r="P68"/>
  <c r="R68"/>
  <c r="S65"/>
  <c r="U65"/>
  <c r="W65"/>
  <c r="AC65"/>
  <c r="AE65"/>
  <c r="AG65"/>
  <c r="AI65"/>
  <c r="P61"/>
  <c r="P64" s="1"/>
  <c r="R61"/>
  <c r="V98"/>
  <c r="Q97"/>
  <c r="V91"/>
  <c r="Q90"/>
  <c r="V87"/>
  <c r="Q86"/>
  <c r="V83"/>
  <c r="Q82"/>
  <c r="V76"/>
  <c r="Q75"/>
  <c r="V72"/>
  <c r="Q71"/>
  <c r="V68"/>
  <c r="Q67"/>
  <c r="V61"/>
  <c r="Q60"/>
  <c r="Q64"/>
  <c r="Q63"/>
  <c r="Q62"/>
  <c r="P43"/>
  <c r="R43"/>
  <c r="R37"/>
  <c r="J47"/>
  <c r="S35"/>
  <c r="U35"/>
  <c r="W35"/>
  <c r="AC35"/>
  <c r="AE35"/>
  <c r="AG35"/>
  <c r="AI35"/>
  <c r="AF35"/>
  <c r="S24"/>
  <c r="U24"/>
  <c r="W24"/>
  <c r="AC24"/>
  <c r="AE24"/>
  <c r="AG24"/>
  <c r="AI24"/>
  <c r="AF24"/>
  <c r="R12"/>
  <c r="K18"/>
  <c r="V12"/>
  <c r="I18"/>
  <c r="Q46"/>
  <c r="R38"/>
  <c r="R27"/>
  <c r="V27"/>
  <c r="R26"/>
  <c r="R15"/>
  <c r="R14"/>
  <c r="R13"/>
  <c r="Z18"/>
  <c r="O18"/>
  <c r="M18"/>
  <c r="R11"/>
  <c r="V11"/>
  <c r="S46"/>
  <c r="T46" s="1"/>
  <c r="U46"/>
  <c r="W46"/>
  <c r="AC46"/>
  <c r="AE46"/>
  <c r="AG46"/>
  <c r="AI46"/>
  <c r="P45"/>
  <c r="R45"/>
  <c r="R41"/>
  <c r="J48"/>
  <c r="S39"/>
  <c r="U39"/>
  <c r="W39"/>
  <c r="AC39"/>
  <c r="AE39"/>
  <c r="AG39"/>
  <c r="AI39"/>
  <c r="AF39"/>
  <c r="R48"/>
  <c r="R30"/>
  <c r="J34"/>
  <c r="S28"/>
  <c r="U28"/>
  <c r="W28"/>
  <c r="AC28"/>
  <c r="AE28"/>
  <c r="AG28"/>
  <c r="AI28"/>
  <c r="AF28"/>
  <c r="S20"/>
  <c r="U20"/>
  <c r="W20"/>
  <c r="AC20"/>
  <c r="AE20"/>
  <c r="AG20"/>
  <c r="AI20"/>
  <c r="AF20"/>
  <c r="K64"/>
  <c r="I64"/>
  <c r="K63"/>
  <c r="I63"/>
  <c r="K62"/>
  <c r="I62"/>
  <c r="R59"/>
  <c r="AI58"/>
  <c r="AG58"/>
  <c r="AE58"/>
  <c r="AC58"/>
  <c r="W58"/>
  <c r="U58"/>
  <c r="R57"/>
  <c r="AI56"/>
  <c r="AG56"/>
  <c r="AE56"/>
  <c r="AC56"/>
  <c r="W56"/>
  <c r="U56"/>
  <c r="R55"/>
  <c r="AI54"/>
  <c r="AG54"/>
  <c r="AE54"/>
  <c r="AC54"/>
  <c r="W54"/>
  <c r="U54"/>
  <c r="R53"/>
  <c r="AI52"/>
  <c r="AG52"/>
  <c r="AE52"/>
  <c r="AC52"/>
  <c r="W52"/>
  <c r="U52"/>
  <c r="R51"/>
  <c r="AI50"/>
  <c r="AG50"/>
  <c r="AE50"/>
  <c r="AC50"/>
  <c r="W50"/>
  <c r="U50"/>
  <c r="V45"/>
  <c r="Q44"/>
  <c r="Q49" s="1"/>
  <c r="R42"/>
  <c r="V42"/>
  <c r="R31"/>
  <c r="R23"/>
  <c r="V23"/>
  <c r="R22"/>
  <c r="R8"/>
  <c r="K17"/>
  <c r="V8"/>
  <c r="I17"/>
  <c r="P4"/>
  <c r="P5"/>
  <c r="P6"/>
  <c r="P7"/>
  <c r="P8"/>
  <c r="P9"/>
  <c r="P10"/>
  <c r="P11"/>
  <c r="P12"/>
  <c r="P13"/>
  <c r="P14"/>
  <c r="P15"/>
  <c r="Q20"/>
  <c r="P21"/>
  <c r="Q22"/>
  <c r="P23"/>
  <c r="Q24"/>
  <c r="P25"/>
  <c r="Q26"/>
  <c r="P27"/>
  <c r="Q28"/>
  <c r="P29"/>
  <c r="Q30"/>
  <c r="P31"/>
  <c r="Q35"/>
  <c r="P36"/>
  <c r="Q37"/>
  <c r="P38"/>
  <c r="Q39"/>
  <c r="P40"/>
  <c r="Q41"/>
  <c r="P42"/>
  <c r="W97" i="27"/>
  <c r="T97"/>
  <c r="U97"/>
  <c r="W95"/>
  <c r="T95"/>
  <c r="U95"/>
  <c r="W93"/>
  <c r="T93"/>
  <c r="U93"/>
  <c r="W91"/>
  <c r="T91"/>
  <c r="U91"/>
  <c r="W89"/>
  <c r="T89"/>
  <c r="U89"/>
  <c r="T87"/>
  <c r="U87"/>
  <c r="W87"/>
  <c r="W76"/>
  <c r="T76"/>
  <c r="U76"/>
  <c r="R10" i="26"/>
  <c r="R9"/>
  <c r="Z17"/>
  <c r="O17"/>
  <c r="M17"/>
  <c r="R7"/>
  <c r="V7"/>
  <c r="R6"/>
  <c r="V6"/>
  <c r="R5"/>
  <c r="V5"/>
  <c r="R4"/>
  <c r="V4"/>
  <c r="V16" s="1"/>
  <c r="P97" i="27"/>
  <c r="P95"/>
  <c r="P93"/>
  <c r="P91"/>
  <c r="P89"/>
  <c r="P85"/>
  <c r="P81"/>
  <c r="R29" i="26"/>
  <c r="K34"/>
  <c r="V29"/>
  <c r="I34"/>
  <c r="R25"/>
  <c r="K33"/>
  <c r="V25"/>
  <c r="I33"/>
  <c r="R21"/>
  <c r="K32"/>
  <c r="V21"/>
  <c r="I32"/>
  <c r="R98" i="27"/>
  <c r="Q98"/>
  <c r="R96"/>
  <c r="Q96"/>
  <c r="R94"/>
  <c r="Q94"/>
  <c r="R92"/>
  <c r="Q92"/>
  <c r="R90"/>
  <c r="Q90"/>
  <c r="R88"/>
  <c r="Q88"/>
  <c r="W78"/>
  <c r="U78"/>
  <c r="Q42" i="26"/>
  <c r="R40"/>
  <c r="V40"/>
  <c r="P39"/>
  <c r="Q38"/>
  <c r="R36"/>
  <c r="V36"/>
  <c r="P35"/>
  <c r="Q31"/>
  <c r="O34"/>
  <c r="M34"/>
  <c r="AA34"/>
  <c r="Y34"/>
  <c r="P28"/>
  <c r="Q27"/>
  <c r="O33"/>
  <c r="M33"/>
  <c r="AA33"/>
  <c r="Y33"/>
  <c r="P24"/>
  <c r="Q23"/>
  <c r="O32"/>
  <c r="M32"/>
  <c r="AA32"/>
  <c r="Y32"/>
  <c r="P20"/>
  <c r="Q15"/>
  <c r="Q14"/>
  <c r="Q13"/>
  <c r="Q12"/>
  <c r="Q11"/>
  <c r="Q10"/>
  <c r="Q9"/>
  <c r="Q8"/>
  <c r="Q7"/>
  <c r="Q6"/>
  <c r="Q5"/>
  <c r="Q4"/>
  <c r="Q87" i="27"/>
  <c r="T86"/>
  <c r="T82"/>
  <c r="T80"/>
  <c r="P83"/>
  <c r="R64"/>
  <c r="Q64"/>
  <c r="R62"/>
  <c r="Q62"/>
  <c r="R60"/>
  <c r="Q60"/>
  <c r="R58"/>
  <c r="Q58"/>
  <c r="R56"/>
  <c r="Q56"/>
  <c r="R54"/>
  <c r="Q54"/>
  <c r="R52"/>
  <c r="Q52"/>
  <c r="R50"/>
  <c r="Q50"/>
  <c r="R48"/>
  <c r="Q48"/>
  <c r="R46"/>
  <c r="Q46"/>
  <c r="R44"/>
  <c r="Q44"/>
  <c r="R42"/>
  <c r="Q42"/>
  <c r="R40"/>
  <c r="Q40"/>
  <c r="R38"/>
  <c r="Q38"/>
  <c r="R36"/>
  <c r="Q36"/>
  <c r="R34"/>
  <c r="Q34"/>
  <c r="R32"/>
  <c r="Q32"/>
  <c r="R30"/>
  <c r="Q30"/>
  <c r="R28"/>
  <c r="Q28"/>
  <c r="R26"/>
  <c r="Q26"/>
  <c r="R24"/>
  <c r="Q24"/>
  <c r="R22"/>
  <c r="Q22"/>
  <c r="R20"/>
  <c r="Q20"/>
  <c r="R18"/>
  <c r="Q18"/>
  <c r="R16"/>
  <c r="Q16"/>
  <c r="R14"/>
  <c r="Q14"/>
  <c r="R12"/>
  <c r="Q12"/>
  <c r="R10"/>
  <c r="Q10"/>
  <c r="R8"/>
  <c r="Q8"/>
  <c r="R6"/>
  <c r="Q6"/>
  <c r="R4"/>
  <c r="Q4"/>
  <c r="Q86"/>
  <c r="U85"/>
  <c r="T85"/>
  <c r="Q84"/>
  <c r="U83"/>
  <c r="T83"/>
  <c r="Q82"/>
  <c r="U81"/>
  <c r="T81"/>
  <c r="Q80"/>
  <c r="U79"/>
  <c r="T79"/>
  <c r="Q78"/>
  <c r="U77"/>
  <c r="T77"/>
  <c r="Q76"/>
  <c r="W75"/>
  <c r="U75"/>
  <c r="U73"/>
  <c r="T73"/>
  <c r="U71"/>
  <c r="T71"/>
  <c r="U69"/>
  <c r="T69"/>
  <c r="U67"/>
  <c r="T67"/>
  <c r="U65"/>
  <c r="T65"/>
  <c r="R74"/>
  <c r="R72"/>
  <c r="R70"/>
  <c r="R68"/>
  <c r="R66"/>
  <c r="Q63"/>
  <c r="Q51"/>
  <c r="Q39"/>
  <c r="Q27"/>
  <c r="Q15"/>
  <c r="T63"/>
  <c r="U63"/>
  <c r="W63"/>
  <c r="W61"/>
  <c r="T61"/>
  <c r="U61"/>
  <c r="W59"/>
  <c r="T59"/>
  <c r="U59"/>
  <c r="W57"/>
  <c r="T57"/>
  <c r="U57"/>
  <c r="W55"/>
  <c r="T55"/>
  <c r="U55"/>
  <c r="W53"/>
  <c r="T53"/>
  <c r="U53"/>
  <c r="T51"/>
  <c r="U51"/>
  <c r="W51"/>
  <c r="W49"/>
  <c r="T49"/>
  <c r="U49"/>
  <c r="W47"/>
  <c r="T47"/>
  <c r="U47"/>
  <c r="W45"/>
  <c r="T45"/>
  <c r="U45"/>
  <c r="W43"/>
  <c r="T43"/>
  <c r="U43"/>
  <c r="W41"/>
  <c r="T41"/>
  <c r="U41"/>
  <c r="T39"/>
  <c r="U39"/>
  <c r="W39"/>
  <c r="W37"/>
  <c r="T37"/>
  <c r="U37"/>
  <c r="W35"/>
  <c r="T35"/>
  <c r="U35"/>
  <c r="W33"/>
  <c r="T33"/>
  <c r="U33"/>
  <c r="W31"/>
  <c r="T31"/>
  <c r="U31"/>
  <c r="W29"/>
  <c r="T29"/>
  <c r="U29"/>
  <c r="T27"/>
  <c r="U27"/>
  <c r="W27"/>
  <c r="W25"/>
  <c r="T25"/>
  <c r="U25"/>
  <c r="W23"/>
  <c r="T23"/>
  <c r="U23"/>
  <c r="W21"/>
  <c r="T21"/>
  <c r="U21"/>
  <c r="W19"/>
  <c r="T19"/>
  <c r="U19"/>
  <c r="W17"/>
  <c r="T17"/>
  <c r="U17"/>
  <c r="T15"/>
  <c r="U15"/>
  <c r="W15"/>
  <c r="W13"/>
  <c r="T13"/>
  <c r="U13"/>
  <c r="W11"/>
  <c r="T11"/>
  <c r="U11"/>
  <c r="W9"/>
  <c r="T9"/>
  <c r="U9"/>
  <c r="W7"/>
  <c r="T7"/>
  <c r="U7"/>
  <c r="W5"/>
  <c r="T5"/>
  <c r="U5"/>
  <c r="T3"/>
  <c r="U3"/>
  <c r="W3"/>
  <c r="V62"/>
  <c r="V60"/>
  <c r="V58"/>
  <c r="V56"/>
  <c r="V54"/>
  <c r="V52"/>
  <c r="P61"/>
  <c r="P59"/>
  <c r="P57"/>
  <c r="P55"/>
  <c r="P53"/>
  <c r="V50"/>
  <c r="V48"/>
  <c r="V46"/>
  <c r="V44"/>
  <c r="V42"/>
  <c r="V40"/>
  <c r="P49"/>
  <c r="P47"/>
  <c r="P45"/>
  <c r="P43"/>
  <c r="P41"/>
  <c r="V38"/>
  <c r="V36"/>
  <c r="V34"/>
  <c r="V32"/>
  <c r="V30"/>
  <c r="V28"/>
  <c r="P37"/>
  <c r="P35"/>
  <c r="P33"/>
  <c r="P31"/>
  <c r="P29"/>
  <c r="V26"/>
  <c r="V22"/>
  <c r="V18"/>
  <c r="P25"/>
  <c r="P23"/>
  <c r="P21"/>
  <c r="P19"/>
  <c r="P17"/>
  <c r="V12"/>
  <c r="V4"/>
  <c r="P13"/>
  <c r="P11"/>
  <c r="P9"/>
  <c r="P7"/>
  <c r="P5"/>
  <c r="V8" l="1"/>
  <c r="V6"/>
  <c r="V10"/>
  <c r="V14"/>
  <c r="V16"/>
  <c r="V20"/>
  <c r="V24"/>
  <c r="V66"/>
  <c r="V88"/>
  <c r="V92"/>
  <c r="V96"/>
  <c r="V78"/>
  <c r="V70"/>
  <c r="V64"/>
  <c r="V86"/>
  <c r="V74"/>
  <c r="T84"/>
  <c r="T78"/>
  <c r="V84"/>
  <c r="W82"/>
  <c r="U82"/>
  <c r="W84"/>
  <c r="U84"/>
  <c r="W86"/>
  <c r="U86"/>
  <c r="W80"/>
  <c r="U80"/>
  <c r="V82"/>
  <c r="AB17" i="17"/>
  <c r="W72" i="27"/>
  <c r="T72"/>
  <c r="U72"/>
  <c r="AD9" i="26"/>
  <c r="AF9"/>
  <c r="AH9"/>
  <c r="U9"/>
  <c r="AE9"/>
  <c r="AI9"/>
  <c r="S9"/>
  <c r="W9"/>
  <c r="AC9"/>
  <c r="AG9"/>
  <c r="AD10"/>
  <c r="AF10"/>
  <c r="AH10"/>
  <c r="U10"/>
  <c r="AE10"/>
  <c r="AI10"/>
  <c r="S10"/>
  <c r="W10"/>
  <c r="AG10"/>
  <c r="AC10"/>
  <c r="AD31"/>
  <c r="AF31"/>
  <c r="AH31"/>
  <c r="U31"/>
  <c r="AE31"/>
  <c r="AI31"/>
  <c r="W31"/>
  <c r="AC31"/>
  <c r="S31"/>
  <c r="T31" s="1"/>
  <c r="AG31"/>
  <c r="AD51"/>
  <c r="AF51"/>
  <c r="AH51"/>
  <c r="S51"/>
  <c r="U51"/>
  <c r="W51"/>
  <c r="X50" s="1"/>
  <c r="AC51"/>
  <c r="AE51"/>
  <c r="AG51"/>
  <c r="AI51"/>
  <c r="R62"/>
  <c r="AD55"/>
  <c r="AD63" s="1"/>
  <c r="AF55"/>
  <c r="AH55"/>
  <c r="AH63" s="1"/>
  <c r="S55"/>
  <c r="U55"/>
  <c r="W55"/>
  <c r="AC55"/>
  <c r="AC63" s="1"/>
  <c r="AB63" s="1"/>
  <c r="AE55"/>
  <c r="AG55"/>
  <c r="AI55"/>
  <c r="R63"/>
  <c r="AD59"/>
  <c r="AF59"/>
  <c r="AF64" s="1"/>
  <c r="AH59"/>
  <c r="U59"/>
  <c r="U64" s="1"/>
  <c r="AE59"/>
  <c r="AI59"/>
  <c r="S59"/>
  <c r="W59"/>
  <c r="AC59"/>
  <c r="AG59"/>
  <c r="AG64" s="1"/>
  <c r="R64"/>
  <c r="T20"/>
  <c r="T39"/>
  <c r="S41"/>
  <c r="T41" s="1"/>
  <c r="U41"/>
  <c r="W41"/>
  <c r="AC41"/>
  <c r="AE41"/>
  <c r="AG41"/>
  <c r="AI41"/>
  <c r="V41"/>
  <c r="AD41"/>
  <c r="AH41"/>
  <c r="AF41"/>
  <c r="AD13"/>
  <c r="AF13"/>
  <c r="AH13"/>
  <c r="U13"/>
  <c r="AE13"/>
  <c r="AI13"/>
  <c r="S13"/>
  <c r="AG13"/>
  <c r="W13"/>
  <c r="AC13"/>
  <c r="AD14"/>
  <c r="AF14"/>
  <c r="AH14"/>
  <c r="U14"/>
  <c r="AE14"/>
  <c r="AI14"/>
  <c r="S14"/>
  <c r="AG14"/>
  <c r="W14"/>
  <c r="AC14"/>
  <c r="AD15"/>
  <c r="AF15"/>
  <c r="AH15"/>
  <c r="U15"/>
  <c r="AE15"/>
  <c r="AI15"/>
  <c r="S15"/>
  <c r="AG15"/>
  <c r="W15"/>
  <c r="AC15"/>
  <c r="AD38"/>
  <c r="AF38"/>
  <c r="AH38"/>
  <c r="U38"/>
  <c r="AE38"/>
  <c r="AI38"/>
  <c r="S38"/>
  <c r="T38" s="1"/>
  <c r="AG38"/>
  <c r="W38"/>
  <c r="AC38"/>
  <c r="AD12"/>
  <c r="AD18" s="1"/>
  <c r="AF12"/>
  <c r="AF18" s="1"/>
  <c r="AH12"/>
  <c r="AH18" s="1"/>
  <c r="R18"/>
  <c r="U12"/>
  <c r="AE12"/>
  <c r="AE18" s="1"/>
  <c r="AI12"/>
  <c r="S12"/>
  <c r="AG12"/>
  <c r="W12"/>
  <c r="W18" s="1"/>
  <c r="AC12"/>
  <c r="T24"/>
  <c r="AD43"/>
  <c r="AF43"/>
  <c r="AH43"/>
  <c r="U43"/>
  <c r="AE43"/>
  <c r="AI43"/>
  <c r="S43"/>
  <c r="W43"/>
  <c r="AC43"/>
  <c r="AC49" s="1"/>
  <c r="AG43"/>
  <c r="R49"/>
  <c r="AD68"/>
  <c r="AF68"/>
  <c r="AH68"/>
  <c r="S68"/>
  <c r="T68" s="1"/>
  <c r="W68"/>
  <c r="AC68"/>
  <c r="AG68"/>
  <c r="U68"/>
  <c r="AE68"/>
  <c r="AI68"/>
  <c r="T69"/>
  <c r="AD76"/>
  <c r="AF76"/>
  <c r="AH76"/>
  <c r="S76"/>
  <c r="T76" s="1"/>
  <c r="W76"/>
  <c r="AC76"/>
  <c r="AG76"/>
  <c r="U76"/>
  <c r="U79" s="1"/>
  <c r="AE76"/>
  <c r="AI76"/>
  <c r="AI79" s="1"/>
  <c r="AJ79" s="1"/>
  <c r="T80"/>
  <c r="T92" s="1"/>
  <c r="AD87"/>
  <c r="AF87"/>
  <c r="AH87"/>
  <c r="S87"/>
  <c r="T87" s="1"/>
  <c r="W87"/>
  <c r="AC87"/>
  <c r="AC93" s="1"/>
  <c r="AB93" s="1"/>
  <c r="AG87"/>
  <c r="U87"/>
  <c r="AE87"/>
  <c r="AI87"/>
  <c r="AI93" s="1"/>
  <c r="AJ93" s="1"/>
  <c r="T88"/>
  <c r="T94" s="1"/>
  <c r="AD98"/>
  <c r="AF98"/>
  <c r="AH98"/>
  <c r="S98"/>
  <c r="T98" s="1"/>
  <c r="W98"/>
  <c r="AC98"/>
  <c r="AG98"/>
  <c r="U98"/>
  <c r="AE98"/>
  <c r="AI98"/>
  <c r="T99"/>
  <c r="S103"/>
  <c r="U103"/>
  <c r="U109" s="1"/>
  <c r="W103"/>
  <c r="AC103"/>
  <c r="AC109" s="1"/>
  <c r="AE103"/>
  <c r="AG103"/>
  <c r="AG109" s="1"/>
  <c r="AI103"/>
  <c r="AD103"/>
  <c r="AD109" s="1"/>
  <c r="AF103"/>
  <c r="AH103"/>
  <c r="AH109" s="1"/>
  <c r="R109"/>
  <c r="S110"/>
  <c r="U110"/>
  <c r="W110"/>
  <c r="AC110"/>
  <c r="AE110"/>
  <c r="AG110"/>
  <c r="AI110"/>
  <c r="AD110"/>
  <c r="AF110"/>
  <c r="AH110"/>
  <c r="R122"/>
  <c r="S114"/>
  <c r="U114"/>
  <c r="U123" s="1"/>
  <c r="W114"/>
  <c r="AC114"/>
  <c r="AC123" s="1"/>
  <c r="AE114"/>
  <c r="AG114"/>
  <c r="AG123" s="1"/>
  <c r="AI114"/>
  <c r="AD114"/>
  <c r="AD123" s="1"/>
  <c r="AF114"/>
  <c r="AH114"/>
  <c r="AH123" s="1"/>
  <c r="R123"/>
  <c r="S118"/>
  <c r="U118"/>
  <c r="W118"/>
  <c r="AC118"/>
  <c r="AE118"/>
  <c r="AG118"/>
  <c r="AI118"/>
  <c r="AD118"/>
  <c r="AF118"/>
  <c r="AH118"/>
  <c r="R124"/>
  <c r="S127"/>
  <c r="T127" s="1"/>
  <c r="U127"/>
  <c r="W127"/>
  <c r="AC127"/>
  <c r="AE127"/>
  <c r="AG127"/>
  <c r="AI127"/>
  <c r="AD127"/>
  <c r="AF127"/>
  <c r="AH127"/>
  <c r="S131"/>
  <c r="T131" s="1"/>
  <c r="U131"/>
  <c r="W131"/>
  <c r="AC131"/>
  <c r="AE131"/>
  <c r="AG131"/>
  <c r="AI131"/>
  <c r="AD131"/>
  <c r="AF131"/>
  <c r="AH131"/>
  <c r="S135"/>
  <c r="T135" s="1"/>
  <c r="U135"/>
  <c r="W135"/>
  <c r="AC135"/>
  <c r="AE135"/>
  <c r="AG135"/>
  <c r="AI135"/>
  <c r="AD135"/>
  <c r="AF135"/>
  <c r="AH135"/>
  <c r="AD66"/>
  <c r="AD77" s="1"/>
  <c r="AF66"/>
  <c r="AF77" s="1"/>
  <c r="AH66"/>
  <c r="AH77" s="1"/>
  <c r="U66"/>
  <c r="U77" s="1"/>
  <c r="AE66"/>
  <c r="AI66"/>
  <c r="R77"/>
  <c r="S66"/>
  <c r="T66" s="1"/>
  <c r="W66"/>
  <c r="AC66"/>
  <c r="AG66"/>
  <c r="AD74"/>
  <c r="AD79" s="1"/>
  <c r="AF74"/>
  <c r="AH74"/>
  <c r="AH79" s="1"/>
  <c r="U74"/>
  <c r="AE74"/>
  <c r="AI74"/>
  <c r="S74"/>
  <c r="T74" s="1"/>
  <c r="W74"/>
  <c r="AC74"/>
  <c r="AG74"/>
  <c r="AD85"/>
  <c r="AD93" s="1"/>
  <c r="AF85"/>
  <c r="AH85"/>
  <c r="AH93" s="1"/>
  <c r="U85"/>
  <c r="AE85"/>
  <c r="AI85"/>
  <c r="R93"/>
  <c r="S85"/>
  <c r="T85" s="1"/>
  <c r="W85"/>
  <c r="W93" s="1"/>
  <c r="AC85"/>
  <c r="AG85"/>
  <c r="R107" i="17"/>
  <c r="AH95"/>
  <c r="AH107" s="1"/>
  <c r="AF95"/>
  <c r="AD95"/>
  <c r="AD107" s="1"/>
  <c r="U95"/>
  <c r="AI95"/>
  <c r="AI107" s="1"/>
  <c r="AG95"/>
  <c r="AE95"/>
  <c r="AE107" s="1"/>
  <c r="AC95"/>
  <c r="W95"/>
  <c r="W107" s="1"/>
  <c r="V95"/>
  <c r="S95"/>
  <c r="R79"/>
  <c r="AH73"/>
  <c r="AH79" s="1"/>
  <c r="AF73"/>
  <c r="AD73"/>
  <c r="AD79" s="1"/>
  <c r="U73"/>
  <c r="AI73"/>
  <c r="AI79" s="1"/>
  <c r="AG73"/>
  <c r="AE73"/>
  <c r="AE79" s="1"/>
  <c r="AC73"/>
  <c r="W73"/>
  <c r="W79" s="1"/>
  <c r="V73"/>
  <c r="S73"/>
  <c r="R63"/>
  <c r="AH54"/>
  <c r="AH63" s="1"/>
  <c r="AF54"/>
  <c r="AD54"/>
  <c r="AD63" s="1"/>
  <c r="U54"/>
  <c r="AI54"/>
  <c r="AI63" s="1"/>
  <c r="AG54"/>
  <c r="AE54"/>
  <c r="AE63" s="1"/>
  <c r="AC54"/>
  <c r="W54"/>
  <c r="W63" s="1"/>
  <c r="V54"/>
  <c r="S54"/>
  <c r="R47"/>
  <c r="AH35"/>
  <c r="AH47" s="1"/>
  <c r="AF35"/>
  <c r="AD35"/>
  <c r="AD47" s="1"/>
  <c r="U35"/>
  <c r="AI35"/>
  <c r="AI47" s="1"/>
  <c r="AG35"/>
  <c r="AE35"/>
  <c r="AE47" s="1"/>
  <c r="AC35"/>
  <c r="W35"/>
  <c r="W47" s="1"/>
  <c r="V35"/>
  <c r="S35"/>
  <c r="T13"/>
  <c r="AJ13"/>
  <c r="AI135"/>
  <c r="AG135"/>
  <c r="AE135"/>
  <c r="AC135"/>
  <c r="W135"/>
  <c r="S135"/>
  <c r="T135" s="1"/>
  <c r="AH135"/>
  <c r="AD135"/>
  <c r="AF135"/>
  <c r="U135"/>
  <c r="AI131"/>
  <c r="AG131"/>
  <c r="AE131"/>
  <c r="AC131"/>
  <c r="W131"/>
  <c r="S131"/>
  <c r="T131" s="1"/>
  <c r="AH131"/>
  <c r="AD131"/>
  <c r="AF131"/>
  <c r="U131"/>
  <c r="AI127"/>
  <c r="AG127"/>
  <c r="AE127"/>
  <c r="AC127"/>
  <c r="W127"/>
  <c r="S127"/>
  <c r="T127" s="1"/>
  <c r="AH127"/>
  <c r="AD127"/>
  <c r="AF127"/>
  <c r="U127"/>
  <c r="AI120"/>
  <c r="AG120"/>
  <c r="AE120"/>
  <c r="AC120"/>
  <c r="W120"/>
  <c r="S120"/>
  <c r="T120" s="1"/>
  <c r="AH120"/>
  <c r="AD120"/>
  <c r="AF120"/>
  <c r="U120"/>
  <c r="AI116"/>
  <c r="AG116"/>
  <c r="AE116"/>
  <c r="AC116"/>
  <c r="W116"/>
  <c r="S116"/>
  <c r="T116" s="1"/>
  <c r="AH116"/>
  <c r="AD116"/>
  <c r="AF116"/>
  <c r="U116"/>
  <c r="AI111"/>
  <c r="AG111"/>
  <c r="AG122" s="1"/>
  <c r="AE111"/>
  <c r="AC111"/>
  <c r="W111"/>
  <c r="S111"/>
  <c r="T111" s="1"/>
  <c r="AH111"/>
  <c r="AF111"/>
  <c r="AF122" s="1"/>
  <c r="AD111"/>
  <c r="U111"/>
  <c r="AI104"/>
  <c r="AG104"/>
  <c r="AE104"/>
  <c r="AC104"/>
  <c r="W104"/>
  <c r="S104"/>
  <c r="T104" s="1"/>
  <c r="AH104"/>
  <c r="AF104"/>
  <c r="AD104"/>
  <c r="U104"/>
  <c r="AI100"/>
  <c r="AG100"/>
  <c r="AG108" s="1"/>
  <c r="AE100"/>
  <c r="AC100"/>
  <c r="W100"/>
  <c r="S100"/>
  <c r="T100" s="1"/>
  <c r="AH100"/>
  <c r="AF100"/>
  <c r="AD100"/>
  <c r="U100"/>
  <c r="U108" s="1"/>
  <c r="AI96"/>
  <c r="AG96"/>
  <c r="AE96"/>
  <c r="AC96"/>
  <c r="W96"/>
  <c r="S96"/>
  <c r="T96" s="1"/>
  <c r="AH96"/>
  <c r="AF96"/>
  <c r="AD96"/>
  <c r="U96"/>
  <c r="AI89"/>
  <c r="AG89"/>
  <c r="AG94" s="1"/>
  <c r="AE89"/>
  <c r="AC89"/>
  <c r="W89"/>
  <c r="S89"/>
  <c r="T89" s="1"/>
  <c r="AH89"/>
  <c r="AF89"/>
  <c r="AF94" s="1"/>
  <c r="AD89"/>
  <c r="U89"/>
  <c r="AI85"/>
  <c r="AG85"/>
  <c r="AE85"/>
  <c r="AC85"/>
  <c r="W85"/>
  <c r="S85"/>
  <c r="T85" s="1"/>
  <c r="AH85"/>
  <c r="AF85"/>
  <c r="AD85"/>
  <c r="U85"/>
  <c r="AI81"/>
  <c r="AG81"/>
  <c r="AG92" s="1"/>
  <c r="AE81"/>
  <c r="AC81"/>
  <c r="W81"/>
  <c r="S81"/>
  <c r="T81" s="1"/>
  <c r="AH81"/>
  <c r="AF81"/>
  <c r="AD81"/>
  <c r="U81"/>
  <c r="U92" s="1"/>
  <c r="AI74"/>
  <c r="AG74"/>
  <c r="AE74"/>
  <c r="AC74"/>
  <c r="W74"/>
  <c r="S74"/>
  <c r="T74" s="1"/>
  <c r="AH74"/>
  <c r="AF74"/>
  <c r="AD74"/>
  <c r="U74"/>
  <c r="AI70"/>
  <c r="AG70"/>
  <c r="AG78" s="1"/>
  <c r="AE70"/>
  <c r="AC70"/>
  <c r="W70"/>
  <c r="S70"/>
  <c r="T70" s="1"/>
  <c r="AH70"/>
  <c r="AF70"/>
  <c r="AF78" s="1"/>
  <c r="AD70"/>
  <c r="U70"/>
  <c r="AI66"/>
  <c r="AG66"/>
  <c r="AE66"/>
  <c r="AC66"/>
  <c r="W66"/>
  <c r="S66"/>
  <c r="T66" s="1"/>
  <c r="AH66"/>
  <c r="AF66"/>
  <c r="AD66"/>
  <c r="U66"/>
  <c r="AI59"/>
  <c r="AG59"/>
  <c r="AG64" s="1"/>
  <c r="AE59"/>
  <c r="AC59"/>
  <c r="W59"/>
  <c r="S59"/>
  <c r="T59" s="1"/>
  <c r="AH59"/>
  <c r="AF59"/>
  <c r="AD59"/>
  <c r="U59"/>
  <c r="U64" s="1"/>
  <c r="AI55"/>
  <c r="AG55"/>
  <c r="AE55"/>
  <c r="AC55"/>
  <c r="W55"/>
  <c r="S55"/>
  <c r="T55" s="1"/>
  <c r="AH55"/>
  <c r="AF55"/>
  <c r="AD55"/>
  <c r="U55"/>
  <c r="AI51"/>
  <c r="AG51"/>
  <c r="AG62" s="1"/>
  <c r="AE51"/>
  <c r="AC51"/>
  <c r="W51"/>
  <c r="S51"/>
  <c r="T51" s="1"/>
  <c r="AH51"/>
  <c r="AF51"/>
  <c r="AF62" s="1"/>
  <c r="AD51"/>
  <c r="U51"/>
  <c r="AI44"/>
  <c r="AG44"/>
  <c r="AE44"/>
  <c r="AC44"/>
  <c r="W44"/>
  <c r="S44"/>
  <c r="T44" s="1"/>
  <c r="AH44"/>
  <c r="AF44"/>
  <c r="AD44"/>
  <c r="U44"/>
  <c r="AI40"/>
  <c r="AG40"/>
  <c r="AG48" s="1"/>
  <c r="AE40"/>
  <c r="AC40"/>
  <c r="W40"/>
  <c r="S40"/>
  <c r="T40" s="1"/>
  <c r="AH40"/>
  <c r="AF40"/>
  <c r="AD40"/>
  <c r="U40"/>
  <c r="U48" s="1"/>
  <c r="AI36"/>
  <c r="AG36"/>
  <c r="AE36"/>
  <c r="AC36"/>
  <c r="W36"/>
  <c r="S36"/>
  <c r="T36" s="1"/>
  <c r="AH36"/>
  <c r="AF36"/>
  <c r="AD36"/>
  <c r="U36"/>
  <c r="AI29"/>
  <c r="AG29"/>
  <c r="AG34" s="1"/>
  <c r="AE29"/>
  <c r="AC29"/>
  <c r="W29"/>
  <c r="S29"/>
  <c r="T29" s="1"/>
  <c r="AH29"/>
  <c r="AF29"/>
  <c r="AF34" s="1"/>
  <c r="AD29"/>
  <c r="U29"/>
  <c r="AI25"/>
  <c r="AG25"/>
  <c r="AE25"/>
  <c r="AC25"/>
  <c r="W25"/>
  <c r="S25"/>
  <c r="T25" s="1"/>
  <c r="AH25"/>
  <c r="AF25"/>
  <c r="AD25"/>
  <c r="U25"/>
  <c r="AI21"/>
  <c r="AG21"/>
  <c r="AG32" s="1"/>
  <c r="AE21"/>
  <c r="AC21"/>
  <c r="W21"/>
  <c r="S21"/>
  <c r="T21" s="1"/>
  <c r="AH21"/>
  <c r="AF21"/>
  <c r="AD21"/>
  <c r="U21"/>
  <c r="U32" s="1"/>
  <c r="T9"/>
  <c r="AJ9"/>
  <c r="T110"/>
  <c r="T99"/>
  <c r="T88"/>
  <c r="T80"/>
  <c r="T69"/>
  <c r="T58"/>
  <c r="T50"/>
  <c r="T39"/>
  <c r="T28"/>
  <c r="T20"/>
  <c r="T11"/>
  <c r="AJ11"/>
  <c r="AC62" i="26"/>
  <c r="U63"/>
  <c r="AG63"/>
  <c r="AC64"/>
  <c r="AB64" s="1"/>
  <c r="AF34"/>
  <c r="AI48"/>
  <c r="AJ48" s="1"/>
  <c r="AG77"/>
  <c r="AC77"/>
  <c r="AG79"/>
  <c r="AC79"/>
  <c r="AB79" s="1"/>
  <c r="AI92"/>
  <c r="AG93"/>
  <c r="U93"/>
  <c r="V51"/>
  <c r="V59"/>
  <c r="V64" s="1"/>
  <c r="R79"/>
  <c r="V77"/>
  <c r="P78"/>
  <c r="P92"/>
  <c r="V93"/>
  <c r="P94"/>
  <c r="V131"/>
  <c r="Q107" i="17"/>
  <c r="Q79"/>
  <c r="Q63"/>
  <c r="Q47"/>
  <c r="V103" i="26"/>
  <c r="V114"/>
  <c r="Q139" i="17"/>
  <c r="Q138"/>
  <c r="Q137"/>
  <c r="Q124"/>
  <c r="Q123"/>
  <c r="P122"/>
  <c r="P109"/>
  <c r="P108"/>
  <c r="P107"/>
  <c r="P94"/>
  <c r="P93"/>
  <c r="P92"/>
  <c r="P79"/>
  <c r="P78"/>
  <c r="P77"/>
  <c r="P64"/>
  <c r="P63"/>
  <c r="P62"/>
  <c r="P49"/>
  <c r="P48"/>
  <c r="P47"/>
  <c r="P34"/>
  <c r="P33"/>
  <c r="P32"/>
  <c r="AG18"/>
  <c r="AB18"/>
  <c r="AE122"/>
  <c r="W108"/>
  <c r="AI108"/>
  <c r="AJ108" s="1"/>
  <c r="AE94"/>
  <c r="W92"/>
  <c r="AI92"/>
  <c r="AE78"/>
  <c r="W64"/>
  <c r="AI64"/>
  <c r="AE62"/>
  <c r="W48"/>
  <c r="AI48"/>
  <c r="AJ48" s="1"/>
  <c r="AE34"/>
  <c r="W32"/>
  <c r="AI32"/>
  <c r="W68" i="27"/>
  <c r="T68"/>
  <c r="U68"/>
  <c r="W66"/>
  <c r="T66"/>
  <c r="U66"/>
  <c r="W70"/>
  <c r="T70"/>
  <c r="U70"/>
  <c r="W74"/>
  <c r="T74"/>
  <c r="U74"/>
  <c r="W4"/>
  <c r="U4"/>
  <c r="T4"/>
  <c r="W6"/>
  <c r="U6"/>
  <c r="T6"/>
  <c r="W8"/>
  <c r="U8"/>
  <c r="T8"/>
  <c r="W10"/>
  <c r="U10"/>
  <c r="T10"/>
  <c r="W12"/>
  <c r="U12"/>
  <c r="T12"/>
  <c r="W14"/>
  <c r="U14"/>
  <c r="T14"/>
  <c r="W16"/>
  <c r="U16"/>
  <c r="T16"/>
  <c r="W18"/>
  <c r="U18"/>
  <c r="T18"/>
  <c r="W20"/>
  <c r="U20"/>
  <c r="T20"/>
  <c r="W22"/>
  <c r="U22"/>
  <c r="T22"/>
  <c r="W24"/>
  <c r="U24"/>
  <c r="T24"/>
  <c r="W26"/>
  <c r="U26"/>
  <c r="T26"/>
  <c r="W28"/>
  <c r="U28"/>
  <c r="T28"/>
  <c r="W30"/>
  <c r="U30"/>
  <c r="T30"/>
  <c r="W32"/>
  <c r="U32"/>
  <c r="T32"/>
  <c r="W34"/>
  <c r="U34"/>
  <c r="T34"/>
  <c r="W36"/>
  <c r="U36"/>
  <c r="T36"/>
  <c r="W38"/>
  <c r="U38"/>
  <c r="T38"/>
  <c r="W40"/>
  <c r="U40"/>
  <c r="T40"/>
  <c r="W42"/>
  <c r="U42"/>
  <c r="T42"/>
  <c r="W44"/>
  <c r="U44"/>
  <c r="T44"/>
  <c r="W46"/>
  <c r="U46"/>
  <c r="T46"/>
  <c r="W48"/>
  <c r="U48"/>
  <c r="T48"/>
  <c r="W50"/>
  <c r="U50"/>
  <c r="T50"/>
  <c r="W52"/>
  <c r="U52"/>
  <c r="T52"/>
  <c r="W54"/>
  <c r="U54"/>
  <c r="T54"/>
  <c r="W56"/>
  <c r="U56"/>
  <c r="T56"/>
  <c r="W58"/>
  <c r="U58"/>
  <c r="T58"/>
  <c r="W60"/>
  <c r="U60"/>
  <c r="T60"/>
  <c r="W62"/>
  <c r="U62"/>
  <c r="T62"/>
  <c r="W64"/>
  <c r="U64"/>
  <c r="T64"/>
  <c r="AD36" i="26"/>
  <c r="AD47" s="1"/>
  <c r="AF36"/>
  <c r="AF47" s="1"/>
  <c r="AH36"/>
  <c r="S36"/>
  <c r="T36" s="1"/>
  <c r="W36"/>
  <c r="X35" s="1"/>
  <c r="AC36"/>
  <c r="AC47" s="1"/>
  <c r="AG36"/>
  <c r="AG47" s="1"/>
  <c r="U36"/>
  <c r="AE36"/>
  <c r="AI36"/>
  <c r="AD40"/>
  <c r="AD48" s="1"/>
  <c r="AF40"/>
  <c r="AH40"/>
  <c r="S40"/>
  <c r="T40" s="1"/>
  <c r="W40"/>
  <c r="W48" s="1"/>
  <c r="AC40"/>
  <c r="AG40"/>
  <c r="AI40"/>
  <c r="U40"/>
  <c r="AE40"/>
  <c r="AE48" s="1"/>
  <c r="T88" i="27"/>
  <c r="W88"/>
  <c r="U88"/>
  <c r="T90"/>
  <c r="W90"/>
  <c r="U90"/>
  <c r="T92"/>
  <c r="W92"/>
  <c r="U92"/>
  <c r="T94"/>
  <c r="W94"/>
  <c r="U94"/>
  <c r="T96"/>
  <c r="W96"/>
  <c r="U96"/>
  <c r="T98"/>
  <c r="W98"/>
  <c r="U98"/>
  <c r="AD21" i="26"/>
  <c r="AF21"/>
  <c r="AH21"/>
  <c r="AH32" s="1"/>
  <c r="S21"/>
  <c r="T21" s="1"/>
  <c r="W21"/>
  <c r="X20" s="1"/>
  <c r="AC21"/>
  <c r="AG21"/>
  <c r="AI21"/>
  <c r="R32"/>
  <c r="U21"/>
  <c r="AE21"/>
  <c r="AE32" s="1"/>
  <c r="AD25"/>
  <c r="AF25"/>
  <c r="AH25"/>
  <c r="S25"/>
  <c r="T25" s="1"/>
  <c r="W25"/>
  <c r="AC25"/>
  <c r="AG25"/>
  <c r="U25"/>
  <c r="U33" s="1"/>
  <c r="AE25"/>
  <c r="AE33" s="1"/>
  <c r="AI25"/>
  <c r="AI33" s="1"/>
  <c r="R33"/>
  <c r="AD29"/>
  <c r="AD34" s="1"/>
  <c r="AF29"/>
  <c r="AH29"/>
  <c r="S29"/>
  <c r="T29" s="1"/>
  <c r="W29"/>
  <c r="AC29"/>
  <c r="AG29"/>
  <c r="AG34" s="1"/>
  <c r="AI29"/>
  <c r="U29"/>
  <c r="U34" s="1"/>
  <c r="AE29"/>
  <c r="AD4"/>
  <c r="AD16" s="1"/>
  <c r="AF4"/>
  <c r="AH4"/>
  <c r="AH16" s="1"/>
  <c r="R16"/>
  <c r="U4"/>
  <c r="AE4"/>
  <c r="AI4"/>
  <c r="S4"/>
  <c r="W4"/>
  <c r="AC4"/>
  <c r="AG4"/>
  <c r="AD5"/>
  <c r="AF5"/>
  <c r="AH5"/>
  <c r="U5"/>
  <c r="AE5"/>
  <c r="AI5"/>
  <c r="S5"/>
  <c r="W5"/>
  <c r="AC5"/>
  <c r="AG5"/>
  <c r="AD6"/>
  <c r="AF6"/>
  <c r="AH6"/>
  <c r="U6"/>
  <c r="AE6"/>
  <c r="AI6"/>
  <c r="S6"/>
  <c r="W6"/>
  <c r="AC6"/>
  <c r="AG6"/>
  <c r="AD7"/>
  <c r="AF7"/>
  <c r="AH7"/>
  <c r="U7"/>
  <c r="AE7"/>
  <c r="AI7"/>
  <c r="S7"/>
  <c r="W7"/>
  <c r="AC7"/>
  <c r="AG7"/>
  <c r="AD8"/>
  <c r="AF8"/>
  <c r="AF17" s="1"/>
  <c r="AH8"/>
  <c r="U8"/>
  <c r="U17" s="1"/>
  <c r="AE8"/>
  <c r="AI8"/>
  <c r="AI17" s="1"/>
  <c r="S8"/>
  <c r="W8"/>
  <c r="AC8"/>
  <c r="AG8"/>
  <c r="AG17" s="1"/>
  <c r="R17"/>
  <c r="S22"/>
  <c r="T22" s="1"/>
  <c r="U22"/>
  <c r="W22"/>
  <c r="AC22"/>
  <c r="AE22"/>
  <c r="AG22"/>
  <c r="AI22"/>
  <c r="AI32" s="1"/>
  <c r="V22"/>
  <c r="AD22"/>
  <c r="AH22"/>
  <c r="AF22"/>
  <c r="AF32" s="1"/>
  <c r="AD23"/>
  <c r="AF23"/>
  <c r="AH23"/>
  <c r="U23"/>
  <c r="AE23"/>
  <c r="AI23"/>
  <c r="W23"/>
  <c r="AC23"/>
  <c r="AC32" s="1"/>
  <c r="S23"/>
  <c r="T23" s="1"/>
  <c r="AG23"/>
  <c r="AD42"/>
  <c r="U42"/>
  <c r="AE42"/>
  <c r="AG42"/>
  <c r="AI42"/>
  <c r="W42"/>
  <c r="AC42"/>
  <c r="AH42"/>
  <c r="S42"/>
  <c r="T42" s="1"/>
  <c r="AF42"/>
  <c r="AF48" s="1"/>
  <c r="AD53"/>
  <c r="AF53"/>
  <c r="AH53"/>
  <c r="S53"/>
  <c r="T53" s="1"/>
  <c r="U53"/>
  <c r="U62" s="1"/>
  <c r="W53"/>
  <c r="W62" s="1"/>
  <c r="AC53"/>
  <c r="AE53"/>
  <c r="AE62" s="1"/>
  <c r="AG53"/>
  <c r="AG62" s="1"/>
  <c r="AI53"/>
  <c r="AD57"/>
  <c r="AF57"/>
  <c r="AH57"/>
  <c r="S57"/>
  <c r="T57" s="1"/>
  <c r="U57"/>
  <c r="W57"/>
  <c r="W63" s="1"/>
  <c r="AC57"/>
  <c r="AE57"/>
  <c r="AG57"/>
  <c r="AI57"/>
  <c r="AI63" s="1"/>
  <c r="AJ63" s="1"/>
  <c r="T28"/>
  <c r="T34" s="1"/>
  <c r="S30"/>
  <c r="T30" s="1"/>
  <c r="U30"/>
  <c r="W30"/>
  <c r="AC30"/>
  <c r="AC34" s="1"/>
  <c r="AE30"/>
  <c r="AG30"/>
  <c r="AI30"/>
  <c r="V30"/>
  <c r="AD30"/>
  <c r="AH30"/>
  <c r="AF30"/>
  <c r="AD45"/>
  <c r="AF45"/>
  <c r="AH45"/>
  <c r="S45"/>
  <c r="T45" s="1"/>
  <c r="W45"/>
  <c r="AC45"/>
  <c r="AG45"/>
  <c r="U45"/>
  <c r="AE45"/>
  <c r="AI45"/>
  <c r="AD11"/>
  <c r="AF11"/>
  <c r="AH11"/>
  <c r="U11"/>
  <c r="AE11"/>
  <c r="AI11"/>
  <c r="S11"/>
  <c r="AG11"/>
  <c r="W11"/>
  <c r="AC11"/>
  <c r="S26"/>
  <c r="T26" s="1"/>
  <c r="U26"/>
  <c r="W26"/>
  <c r="W33" s="1"/>
  <c r="AC26"/>
  <c r="AE26"/>
  <c r="AG26"/>
  <c r="AI26"/>
  <c r="V26"/>
  <c r="AD26"/>
  <c r="AH26"/>
  <c r="AF26"/>
  <c r="AD27"/>
  <c r="AF27"/>
  <c r="AH27"/>
  <c r="U27"/>
  <c r="AE27"/>
  <c r="AI27"/>
  <c r="S27"/>
  <c r="T27" s="1"/>
  <c r="AG27"/>
  <c r="AG33" s="1"/>
  <c r="W27"/>
  <c r="AC27"/>
  <c r="W47"/>
  <c r="T35"/>
  <c r="S47"/>
  <c r="S37"/>
  <c r="T37" s="1"/>
  <c r="U37"/>
  <c r="U47" s="1"/>
  <c r="W37"/>
  <c r="AC37"/>
  <c r="AE37"/>
  <c r="AG37"/>
  <c r="AI37"/>
  <c r="V37"/>
  <c r="V47" s="1"/>
  <c r="AD37"/>
  <c r="AH37"/>
  <c r="AF37"/>
  <c r="AD61"/>
  <c r="AF61"/>
  <c r="AH61"/>
  <c r="S61"/>
  <c r="T61" s="1"/>
  <c r="W61"/>
  <c r="AC61"/>
  <c r="AG61"/>
  <c r="U61"/>
  <c r="AE61"/>
  <c r="AE64" s="1"/>
  <c r="AI61"/>
  <c r="W77"/>
  <c r="S77"/>
  <c r="T65"/>
  <c r="AD72"/>
  <c r="AF72"/>
  <c r="AH72"/>
  <c r="S72"/>
  <c r="T72" s="1"/>
  <c r="W72"/>
  <c r="W78" s="1"/>
  <c r="AC72"/>
  <c r="AG72"/>
  <c r="U72"/>
  <c r="AE72"/>
  <c r="AI72"/>
  <c r="S79"/>
  <c r="T73"/>
  <c r="AD83"/>
  <c r="AF83"/>
  <c r="AH83"/>
  <c r="S83"/>
  <c r="T83" s="1"/>
  <c r="W83"/>
  <c r="AC83"/>
  <c r="AG83"/>
  <c r="U83"/>
  <c r="AE83"/>
  <c r="AI83"/>
  <c r="S93"/>
  <c r="T84"/>
  <c r="AD91"/>
  <c r="AF91"/>
  <c r="AH91"/>
  <c r="S91"/>
  <c r="T91" s="1"/>
  <c r="W91"/>
  <c r="AC91"/>
  <c r="AG91"/>
  <c r="U91"/>
  <c r="AE91"/>
  <c r="AE94" s="1"/>
  <c r="AI91"/>
  <c r="S107"/>
  <c r="T95"/>
  <c r="S101"/>
  <c r="T101" s="1"/>
  <c r="U101"/>
  <c r="W101"/>
  <c r="W108" s="1"/>
  <c r="AC101"/>
  <c r="AE101"/>
  <c r="AE108" s="1"/>
  <c r="AG101"/>
  <c r="AI101"/>
  <c r="AI108" s="1"/>
  <c r="AD101"/>
  <c r="AD108" s="1"/>
  <c r="AF101"/>
  <c r="AF108" s="1"/>
  <c r="AH101"/>
  <c r="AH108" s="1"/>
  <c r="S105"/>
  <c r="T105" s="1"/>
  <c r="U105"/>
  <c r="W105"/>
  <c r="AC105"/>
  <c r="AE105"/>
  <c r="AG105"/>
  <c r="AI105"/>
  <c r="AD105"/>
  <c r="AF105"/>
  <c r="AH105"/>
  <c r="S112"/>
  <c r="T112" s="1"/>
  <c r="U112"/>
  <c r="W112"/>
  <c r="AC112"/>
  <c r="AE112"/>
  <c r="AG112"/>
  <c r="AI112"/>
  <c r="AD112"/>
  <c r="AF112"/>
  <c r="AH112"/>
  <c r="S116"/>
  <c r="T116" s="1"/>
  <c r="U116"/>
  <c r="W116"/>
  <c r="AC116"/>
  <c r="AE116"/>
  <c r="AG116"/>
  <c r="AI116"/>
  <c r="AD116"/>
  <c r="AF116"/>
  <c r="AH116"/>
  <c r="S120"/>
  <c r="T120" s="1"/>
  <c r="U120"/>
  <c r="W120"/>
  <c r="AC120"/>
  <c r="AE120"/>
  <c r="AG120"/>
  <c r="AI120"/>
  <c r="AD120"/>
  <c r="AF120"/>
  <c r="AH120"/>
  <c r="S125"/>
  <c r="U125"/>
  <c r="W125"/>
  <c r="AC125"/>
  <c r="AE125"/>
  <c r="AE137" s="1"/>
  <c r="AG125"/>
  <c r="AI125"/>
  <c r="AI137" s="1"/>
  <c r="AD125"/>
  <c r="AF125"/>
  <c r="AF137" s="1"/>
  <c r="AH125"/>
  <c r="R137"/>
  <c r="S129"/>
  <c r="U129"/>
  <c r="U138" s="1"/>
  <c r="W129"/>
  <c r="W138" s="1"/>
  <c r="AC129"/>
  <c r="AC138" s="1"/>
  <c r="AE129"/>
  <c r="AE138" s="1"/>
  <c r="AG129"/>
  <c r="AG138" s="1"/>
  <c r="AI129"/>
  <c r="AI138" s="1"/>
  <c r="AD129"/>
  <c r="AD138" s="1"/>
  <c r="AF129"/>
  <c r="AF138" s="1"/>
  <c r="AH129"/>
  <c r="AH138" s="1"/>
  <c r="R138"/>
  <c r="S133"/>
  <c r="U133"/>
  <c r="W133"/>
  <c r="W139" s="1"/>
  <c r="AC133"/>
  <c r="AE133"/>
  <c r="AE139" s="1"/>
  <c r="AG133"/>
  <c r="AI133"/>
  <c r="AI139" s="1"/>
  <c r="AJ139" s="1"/>
  <c r="AD133"/>
  <c r="AF133"/>
  <c r="AF139" s="1"/>
  <c r="AH133"/>
  <c r="R139"/>
  <c r="AD70"/>
  <c r="AF70"/>
  <c r="AF78" s="1"/>
  <c r="AH70"/>
  <c r="U70"/>
  <c r="AE70"/>
  <c r="AE78" s="1"/>
  <c r="AI70"/>
  <c r="AI78" s="1"/>
  <c r="AJ78" s="1"/>
  <c r="R78"/>
  <c r="S70"/>
  <c r="T70" s="1"/>
  <c r="W70"/>
  <c r="AC70"/>
  <c r="AC78" s="1"/>
  <c r="AB78" s="1"/>
  <c r="AG70"/>
  <c r="AD81"/>
  <c r="AD92" s="1"/>
  <c r="AF81"/>
  <c r="AF92" s="1"/>
  <c r="AH81"/>
  <c r="AH92" s="1"/>
  <c r="U81"/>
  <c r="AE81"/>
  <c r="AE92" s="1"/>
  <c r="AI81"/>
  <c r="R92"/>
  <c r="S81"/>
  <c r="T81" s="1"/>
  <c r="W81"/>
  <c r="X80" s="1"/>
  <c r="AC81"/>
  <c r="AG81"/>
  <c r="AD89"/>
  <c r="AF89"/>
  <c r="AF94" s="1"/>
  <c r="AH89"/>
  <c r="U89"/>
  <c r="AE89"/>
  <c r="AI89"/>
  <c r="AI94" s="1"/>
  <c r="AJ94" s="1"/>
  <c r="S89"/>
  <c r="T89" s="1"/>
  <c r="W89"/>
  <c r="W94" s="1"/>
  <c r="AC89"/>
  <c r="AG89"/>
  <c r="AD96"/>
  <c r="AD107" s="1"/>
  <c r="AF96"/>
  <c r="AF107" s="1"/>
  <c r="AH96"/>
  <c r="AH107" s="1"/>
  <c r="U96"/>
  <c r="U107" s="1"/>
  <c r="AE96"/>
  <c r="AI96"/>
  <c r="AI107" s="1"/>
  <c r="S96"/>
  <c r="T96" s="1"/>
  <c r="W96"/>
  <c r="W107" s="1"/>
  <c r="AC96"/>
  <c r="AC107" s="1"/>
  <c r="AG96"/>
  <c r="AG107" s="1"/>
  <c r="R107"/>
  <c r="AH136" i="17"/>
  <c r="AF136"/>
  <c r="AD136"/>
  <c r="U136"/>
  <c r="AG136"/>
  <c r="AC136"/>
  <c r="W136"/>
  <c r="V136"/>
  <c r="AI136"/>
  <c r="AE136"/>
  <c r="S136"/>
  <c r="T136" s="1"/>
  <c r="AI133"/>
  <c r="AG133"/>
  <c r="AG139" s="1"/>
  <c r="AE133"/>
  <c r="AC133"/>
  <c r="W133"/>
  <c r="S133"/>
  <c r="R139"/>
  <c r="AF133"/>
  <c r="AF139" s="1"/>
  <c r="U133"/>
  <c r="AH133"/>
  <c r="AD133"/>
  <c r="AH132"/>
  <c r="AF132"/>
  <c r="AD132"/>
  <c r="U132"/>
  <c r="AG132"/>
  <c r="AC132"/>
  <c r="W132"/>
  <c r="V132"/>
  <c r="AI132"/>
  <c r="AE132"/>
  <c r="S132"/>
  <c r="T132" s="1"/>
  <c r="AI129"/>
  <c r="AG129"/>
  <c r="AE129"/>
  <c r="AC129"/>
  <c r="AC138" s="1"/>
  <c r="W129"/>
  <c r="S129"/>
  <c r="AF129"/>
  <c r="U129"/>
  <c r="R138"/>
  <c r="AH129"/>
  <c r="AH138" s="1"/>
  <c r="AD129"/>
  <c r="AH128"/>
  <c r="AF128"/>
  <c r="AD128"/>
  <c r="U128"/>
  <c r="AG128"/>
  <c r="AC128"/>
  <c r="W128"/>
  <c r="V128"/>
  <c r="AI128"/>
  <c r="AE128"/>
  <c r="S128"/>
  <c r="T128" s="1"/>
  <c r="AI125"/>
  <c r="AG125"/>
  <c r="AG137" s="1"/>
  <c r="AE125"/>
  <c r="AC125"/>
  <c r="W125"/>
  <c r="S125"/>
  <c r="R137"/>
  <c r="AF125"/>
  <c r="AF137" s="1"/>
  <c r="U125"/>
  <c r="AH125"/>
  <c r="AD125"/>
  <c r="AH121"/>
  <c r="AF121"/>
  <c r="AD121"/>
  <c r="U121"/>
  <c r="AG121"/>
  <c r="AC121"/>
  <c r="W121"/>
  <c r="V121"/>
  <c r="AI121"/>
  <c r="AE121"/>
  <c r="S121"/>
  <c r="T121" s="1"/>
  <c r="AI118"/>
  <c r="AG118"/>
  <c r="AE118"/>
  <c r="AC118"/>
  <c r="AC124" s="1"/>
  <c r="W118"/>
  <c r="S118"/>
  <c r="AF118"/>
  <c r="U118"/>
  <c r="R124"/>
  <c r="AH118"/>
  <c r="AH124" s="1"/>
  <c r="AD118"/>
  <c r="AH117"/>
  <c r="AF117"/>
  <c r="AD117"/>
  <c r="U117"/>
  <c r="AG117"/>
  <c r="AC117"/>
  <c r="W117"/>
  <c r="V117"/>
  <c r="AI117"/>
  <c r="AE117"/>
  <c r="S117"/>
  <c r="T117" s="1"/>
  <c r="AI114"/>
  <c r="AG114"/>
  <c r="AG123" s="1"/>
  <c r="AE114"/>
  <c r="AC114"/>
  <c r="W114"/>
  <c r="S114"/>
  <c r="R123"/>
  <c r="AF114"/>
  <c r="AF123" s="1"/>
  <c r="U114"/>
  <c r="AH114"/>
  <c r="AD114"/>
  <c r="R109"/>
  <c r="AH103"/>
  <c r="AF103"/>
  <c r="AD103"/>
  <c r="U103"/>
  <c r="AI103"/>
  <c r="AG103"/>
  <c r="AE103"/>
  <c r="AC103"/>
  <c r="W103"/>
  <c r="V103"/>
  <c r="V109" s="1"/>
  <c r="S103"/>
  <c r="R93"/>
  <c r="AH84"/>
  <c r="AF84"/>
  <c r="AD84"/>
  <c r="U84"/>
  <c r="AI84"/>
  <c r="AG84"/>
  <c r="AE84"/>
  <c r="AC84"/>
  <c r="W84"/>
  <c r="V84"/>
  <c r="V93" s="1"/>
  <c r="S84"/>
  <c r="R77"/>
  <c r="AH65"/>
  <c r="AF65"/>
  <c r="AD65"/>
  <c r="U65"/>
  <c r="AI65"/>
  <c r="AG65"/>
  <c r="AE65"/>
  <c r="AC65"/>
  <c r="W65"/>
  <c r="V65"/>
  <c r="V77" s="1"/>
  <c r="S65"/>
  <c r="R49"/>
  <c r="AH43"/>
  <c r="AF43"/>
  <c r="AD43"/>
  <c r="U43"/>
  <c r="AI43"/>
  <c r="AG43"/>
  <c r="AE43"/>
  <c r="AC43"/>
  <c r="W43"/>
  <c r="V43"/>
  <c r="V49" s="1"/>
  <c r="S43"/>
  <c r="R33"/>
  <c r="AH24"/>
  <c r="AF24"/>
  <c r="AD24"/>
  <c r="U24"/>
  <c r="AI24"/>
  <c r="AG24"/>
  <c r="AE24"/>
  <c r="AC24"/>
  <c r="W24"/>
  <c r="V24"/>
  <c r="V33" s="1"/>
  <c r="S24"/>
  <c r="T15"/>
  <c r="AJ15"/>
  <c r="AH134"/>
  <c r="AF134"/>
  <c r="AD134"/>
  <c r="U134"/>
  <c r="AI134"/>
  <c r="AE134"/>
  <c r="S134"/>
  <c r="T134" s="1"/>
  <c r="AG134"/>
  <c r="AC134"/>
  <c r="W134"/>
  <c r="V134"/>
  <c r="AH130"/>
  <c r="AF130"/>
  <c r="AD130"/>
  <c r="U130"/>
  <c r="AI130"/>
  <c r="AE130"/>
  <c r="S130"/>
  <c r="T130" s="1"/>
  <c r="AG130"/>
  <c r="AC130"/>
  <c r="W130"/>
  <c r="V130"/>
  <c r="AH126"/>
  <c r="AF126"/>
  <c r="AD126"/>
  <c r="U126"/>
  <c r="AI126"/>
  <c r="AE126"/>
  <c r="S126"/>
  <c r="T126" s="1"/>
  <c r="AG126"/>
  <c r="AC126"/>
  <c r="W126"/>
  <c r="V126"/>
  <c r="AH119"/>
  <c r="AF119"/>
  <c r="AD119"/>
  <c r="U119"/>
  <c r="AI119"/>
  <c r="AE119"/>
  <c r="S119"/>
  <c r="T119" s="1"/>
  <c r="AG119"/>
  <c r="AC119"/>
  <c r="W119"/>
  <c r="V119"/>
  <c r="AH115"/>
  <c r="AF115"/>
  <c r="AD115"/>
  <c r="U115"/>
  <c r="AI115"/>
  <c r="AE115"/>
  <c r="S115"/>
  <c r="T115" s="1"/>
  <c r="AG115"/>
  <c r="AC115"/>
  <c r="W115"/>
  <c r="V115"/>
  <c r="AI113"/>
  <c r="AI122" s="1"/>
  <c r="AG113"/>
  <c r="AE113"/>
  <c r="AC113"/>
  <c r="W113"/>
  <c r="W122" s="1"/>
  <c r="S113"/>
  <c r="T113" s="1"/>
  <c r="AH113"/>
  <c r="AF113"/>
  <c r="AD113"/>
  <c r="U113"/>
  <c r="U122" s="1"/>
  <c r="AI106"/>
  <c r="AG106"/>
  <c r="AE106"/>
  <c r="AC106"/>
  <c r="W106"/>
  <c r="S106"/>
  <c r="T106" s="1"/>
  <c r="AH106"/>
  <c r="AF106"/>
  <c r="AD106"/>
  <c r="U106"/>
  <c r="AI102"/>
  <c r="AG102"/>
  <c r="AE102"/>
  <c r="AE108" s="1"/>
  <c r="AC102"/>
  <c r="W102"/>
  <c r="S102"/>
  <c r="T102" s="1"/>
  <c r="AH102"/>
  <c r="AF102"/>
  <c r="AF108" s="1"/>
  <c r="AD102"/>
  <c r="U102"/>
  <c r="AI98"/>
  <c r="AG98"/>
  <c r="AE98"/>
  <c r="AC98"/>
  <c r="W98"/>
  <c r="S98"/>
  <c r="T98" s="1"/>
  <c r="AH98"/>
  <c r="AF98"/>
  <c r="AD98"/>
  <c r="U98"/>
  <c r="AI91"/>
  <c r="AI94" s="1"/>
  <c r="AJ94" s="1"/>
  <c r="AG91"/>
  <c r="AE91"/>
  <c r="AC91"/>
  <c r="W91"/>
  <c r="W94" s="1"/>
  <c r="S91"/>
  <c r="T91" s="1"/>
  <c r="AH91"/>
  <c r="AF91"/>
  <c r="AD91"/>
  <c r="U91"/>
  <c r="U94" s="1"/>
  <c r="AI87"/>
  <c r="AG87"/>
  <c r="AE87"/>
  <c r="AC87"/>
  <c r="W87"/>
  <c r="S87"/>
  <c r="T87" s="1"/>
  <c r="AH87"/>
  <c r="AF87"/>
  <c r="AD87"/>
  <c r="U87"/>
  <c r="AI83"/>
  <c r="AG83"/>
  <c r="AE83"/>
  <c r="AE92" s="1"/>
  <c r="AC83"/>
  <c r="W83"/>
  <c r="S83"/>
  <c r="T83" s="1"/>
  <c r="AH83"/>
  <c r="AF83"/>
  <c r="AF92" s="1"/>
  <c r="AD83"/>
  <c r="U83"/>
  <c r="AI76"/>
  <c r="AG76"/>
  <c r="AE76"/>
  <c r="AC76"/>
  <c r="W76"/>
  <c r="S76"/>
  <c r="T76" s="1"/>
  <c r="AH76"/>
  <c r="AF76"/>
  <c r="AD76"/>
  <c r="U76"/>
  <c r="AI72"/>
  <c r="AI78" s="1"/>
  <c r="AG72"/>
  <c r="AE72"/>
  <c r="AC72"/>
  <c r="W72"/>
  <c r="W78" s="1"/>
  <c r="S72"/>
  <c r="T72" s="1"/>
  <c r="AH72"/>
  <c r="AF72"/>
  <c r="AD72"/>
  <c r="U72"/>
  <c r="U78" s="1"/>
  <c r="AI68"/>
  <c r="AG68"/>
  <c r="AE68"/>
  <c r="AC68"/>
  <c r="W68"/>
  <c r="S68"/>
  <c r="T68" s="1"/>
  <c r="AH68"/>
  <c r="AF68"/>
  <c r="AD68"/>
  <c r="U68"/>
  <c r="AI61"/>
  <c r="AG61"/>
  <c r="AE61"/>
  <c r="AE64" s="1"/>
  <c r="AC61"/>
  <c r="W61"/>
  <c r="S61"/>
  <c r="T61" s="1"/>
  <c r="AH61"/>
  <c r="AF61"/>
  <c r="AF64" s="1"/>
  <c r="AD61"/>
  <c r="U61"/>
  <c r="AI57"/>
  <c r="AG57"/>
  <c r="AE57"/>
  <c r="AC57"/>
  <c r="W57"/>
  <c r="S57"/>
  <c r="T57" s="1"/>
  <c r="AH57"/>
  <c r="AF57"/>
  <c r="AD57"/>
  <c r="U57"/>
  <c r="AI53"/>
  <c r="AI62" s="1"/>
  <c r="AG53"/>
  <c r="AE53"/>
  <c r="AC53"/>
  <c r="W53"/>
  <c r="W62" s="1"/>
  <c r="X62" s="1"/>
  <c r="S53"/>
  <c r="T53" s="1"/>
  <c r="AH53"/>
  <c r="AF53"/>
  <c r="AD53"/>
  <c r="U53"/>
  <c r="U62" s="1"/>
  <c r="AI46"/>
  <c r="AG46"/>
  <c r="AE46"/>
  <c r="AC46"/>
  <c r="W46"/>
  <c r="S46"/>
  <c r="T46" s="1"/>
  <c r="AH46"/>
  <c r="AF46"/>
  <c r="AD46"/>
  <c r="U46"/>
  <c r="AI42"/>
  <c r="AG42"/>
  <c r="AE42"/>
  <c r="AE48" s="1"/>
  <c r="AC42"/>
  <c r="W42"/>
  <c r="S42"/>
  <c r="T42" s="1"/>
  <c r="AH42"/>
  <c r="AF42"/>
  <c r="AF48" s="1"/>
  <c r="AD42"/>
  <c r="U42"/>
  <c r="AI38"/>
  <c r="AG38"/>
  <c r="AE38"/>
  <c r="AC38"/>
  <c r="W38"/>
  <c r="S38"/>
  <c r="T38" s="1"/>
  <c r="AH38"/>
  <c r="AF38"/>
  <c r="AD38"/>
  <c r="U38"/>
  <c r="AI31"/>
  <c r="AI34" s="1"/>
  <c r="AJ34" s="1"/>
  <c r="AG31"/>
  <c r="AE31"/>
  <c r="AC31"/>
  <c r="W31"/>
  <c r="W34" s="1"/>
  <c r="S31"/>
  <c r="T31" s="1"/>
  <c r="AH31"/>
  <c r="AF31"/>
  <c r="AD31"/>
  <c r="U31"/>
  <c r="U34" s="1"/>
  <c r="AI27"/>
  <c r="AG27"/>
  <c r="AE27"/>
  <c r="AC27"/>
  <c r="W27"/>
  <c r="S27"/>
  <c r="T27" s="1"/>
  <c r="AH27"/>
  <c r="AF27"/>
  <c r="AD27"/>
  <c r="U27"/>
  <c r="AI23"/>
  <c r="AG23"/>
  <c r="AE23"/>
  <c r="AE32" s="1"/>
  <c r="AC23"/>
  <c r="W23"/>
  <c r="S23"/>
  <c r="T23" s="1"/>
  <c r="AH23"/>
  <c r="AF23"/>
  <c r="AF32" s="1"/>
  <c r="AD23"/>
  <c r="U23"/>
  <c r="AJ12"/>
  <c r="S18"/>
  <c r="T12"/>
  <c r="AJ5"/>
  <c r="T5"/>
  <c r="S16"/>
  <c r="AJ14"/>
  <c r="T14"/>
  <c r="AJ7"/>
  <c r="T7"/>
  <c r="V48" i="26"/>
  <c r="V68" i="27"/>
  <c r="V72"/>
  <c r="Q16" i="26"/>
  <c r="Q17"/>
  <c r="Q18"/>
  <c r="P32"/>
  <c r="P33"/>
  <c r="P34"/>
  <c r="P47"/>
  <c r="P48"/>
  <c r="V32"/>
  <c r="V33"/>
  <c r="V90" i="27"/>
  <c r="V94"/>
  <c r="V98"/>
  <c r="V9" i="26"/>
  <c r="V10"/>
  <c r="V17" s="1"/>
  <c r="Q48"/>
  <c r="Q47"/>
  <c r="Q34"/>
  <c r="Q33"/>
  <c r="Q32"/>
  <c r="P18"/>
  <c r="P17"/>
  <c r="P16"/>
  <c r="V31"/>
  <c r="AI62"/>
  <c r="AE63"/>
  <c r="W64"/>
  <c r="AI64"/>
  <c r="AJ64" s="1"/>
  <c r="AG32"/>
  <c r="U32"/>
  <c r="R34"/>
  <c r="AI34"/>
  <c r="AE34"/>
  <c r="W34"/>
  <c r="AG48"/>
  <c r="AC48"/>
  <c r="U48"/>
  <c r="V13"/>
  <c r="V18" s="1"/>
  <c r="V14"/>
  <c r="V15"/>
  <c r="V38"/>
  <c r="V43"/>
  <c r="V49" s="1"/>
  <c r="AF33"/>
  <c r="AC33"/>
  <c r="R47"/>
  <c r="AI47"/>
  <c r="AE47"/>
  <c r="P49"/>
  <c r="V53"/>
  <c r="V57"/>
  <c r="AI77"/>
  <c r="AE77"/>
  <c r="AG78"/>
  <c r="U78"/>
  <c r="AE79"/>
  <c r="W79"/>
  <c r="AG92"/>
  <c r="AC92"/>
  <c r="U92"/>
  <c r="AE93"/>
  <c r="AG94"/>
  <c r="AC94"/>
  <c r="AB94" s="1"/>
  <c r="U94"/>
  <c r="AE107"/>
  <c r="AG108"/>
  <c r="AC108"/>
  <c r="U108"/>
  <c r="V55"/>
  <c r="V63" s="1"/>
  <c r="Q77"/>
  <c r="Q78"/>
  <c r="Q92"/>
  <c r="Q94"/>
  <c r="R94"/>
  <c r="V107"/>
  <c r="P77"/>
  <c r="V78"/>
  <c r="P79"/>
  <c r="V92"/>
  <c r="P93"/>
  <c r="V105"/>
  <c r="V116"/>
  <c r="V127"/>
  <c r="V137" s="1"/>
  <c r="V135"/>
  <c r="V139" s="1"/>
  <c r="Q122" i="17"/>
  <c r="Q109"/>
  <c r="Q94"/>
  <c r="Q93"/>
  <c r="Q78"/>
  <c r="Q77"/>
  <c r="Q62"/>
  <c r="Q49"/>
  <c r="Q34"/>
  <c r="Q33"/>
  <c r="P18"/>
  <c r="V110" i="26"/>
  <c r="V122" s="1"/>
  <c r="V118"/>
  <c r="V124" s="1"/>
  <c r="V129"/>
  <c r="V138" s="1"/>
  <c r="V133" i="17"/>
  <c r="V129"/>
  <c r="V138" s="1"/>
  <c r="V125"/>
  <c r="V118"/>
  <c r="V124" s="1"/>
  <c r="V114"/>
  <c r="P123"/>
  <c r="P124"/>
  <c r="P137"/>
  <c r="P138"/>
  <c r="P139"/>
  <c r="AE18"/>
  <c r="V111"/>
  <c r="V122" s="1"/>
  <c r="V104"/>
  <c r="V100"/>
  <c r="V108" s="1"/>
  <c r="V96"/>
  <c r="V89"/>
  <c r="V94" s="1"/>
  <c r="V85"/>
  <c r="V81"/>
  <c r="V92" s="1"/>
  <c r="V74"/>
  <c r="V70"/>
  <c r="V78" s="1"/>
  <c r="V66"/>
  <c r="V59"/>
  <c r="V64" s="1"/>
  <c r="V55"/>
  <c r="V51"/>
  <c r="V62" s="1"/>
  <c r="V44"/>
  <c r="V40"/>
  <c r="V48" s="1"/>
  <c r="V36"/>
  <c r="V29"/>
  <c r="V34" s="1"/>
  <c r="V25"/>
  <c r="V21"/>
  <c r="V32" s="1"/>
  <c r="AC122"/>
  <c r="R122"/>
  <c r="AD122"/>
  <c r="AH122"/>
  <c r="AC108"/>
  <c r="R108"/>
  <c r="AD108"/>
  <c r="AH108"/>
  <c r="AC94"/>
  <c r="R94"/>
  <c r="AD94"/>
  <c r="AH94"/>
  <c r="AC92"/>
  <c r="R92"/>
  <c r="AD92"/>
  <c r="AH92"/>
  <c r="AC78"/>
  <c r="R78"/>
  <c r="AD78"/>
  <c r="AH78"/>
  <c r="AC64"/>
  <c r="R64"/>
  <c r="AD64"/>
  <c r="AH64"/>
  <c r="AC62"/>
  <c r="R62"/>
  <c r="AD62"/>
  <c r="AH62"/>
  <c r="AC48"/>
  <c r="R48"/>
  <c r="AD48"/>
  <c r="AH48"/>
  <c r="AC34"/>
  <c r="R34"/>
  <c r="AD34"/>
  <c r="AH34"/>
  <c r="AC32"/>
  <c r="R32"/>
  <c r="AD32"/>
  <c r="AH32"/>
  <c r="AJ108" i="26" l="1"/>
  <c r="AB34"/>
  <c r="X62"/>
  <c r="AJ33"/>
  <c r="X125"/>
  <c r="W137"/>
  <c r="X137" s="1"/>
  <c r="T11"/>
  <c r="AJ11"/>
  <c r="X4"/>
  <c r="W16"/>
  <c r="T35" i="17"/>
  <c r="T47" s="1"/>
  <c r="S47"/>
  <c r="S63"/>
  <c r="T54"/>
  <c r="T63" s="1"/>
  <c r="T73"/>
  <c r="T79" s="1"/>
  <c r="S79"/>
  <c r="S124" i="26"/>
  <c r="T118"/>
  <c r="T124" s="1"/>
  <c r="X110"/>
  <c r="W122"/>
  <c r="S122"/>
  <c r="T110"/>
  <c r="T122" s="1"/>
  <c r="T43"/>
  <c r="T49" s="1"/>
  <c r="S49"/>
  <c r="T12"/>
  <c r="AJ12"/>
  <c r="S18"/>
  <c r="T51"/>
  <c r="T62" s="1"/>
  <c r="S62"/>
  <c r="AB34" i="17"/>
  <c r="AB94"/>
  <c r="AB108" i="26"/>
  <c r="AB33"/>
  <c r="AB124" i="17"/>
  <c r="AC137"/>
  <c r="AB138" s="1"/>
  <c r="AH139"/>
  <c r="AC139"/>
  <c r="X65" i="26"/>
  <c r="W17"/>
  <c r="U16"/>
  <c r="AH34"/>
  <c r="AH48"/>
  <c r="AJ64" i="17"/>
  <c r="T32"/>
  <c r="T48"/>
  <c r="T64"/>
  <c r="T92"/>
  <c r="T108"/>
  <c r="AF124" i="26"/>
  <c r="AI124"/>
  <c r="AJ124" s="1"/>
  <c r="AE124"/>
  <c r="W124"/>
  <c r="AF122"/>
  <c r="AI122"/>
  <c r="AE122"/>
  <c r="AB109"/>
  <c r="T108"/>
  <c r="W92"/>
  <c r="X92" s="1"/>
  <c r="T78"/>
  <c r="AB49"/>
  <c r="AE49"/>
  <c r="AH49"/>
  <c r="AD49"/>
  <c r="S33"/>
  <c r="T48"/>
  <c r="S32"/>
  <c r="W32"/>
  <c r="X32" s="1"/>
  <c r="AF62"/>
  <c r="S123" i="17"/>
  <c r="T114"/>
  <c r="T123" s="1"/>
  <c r="S124"/>
  <c r="T118"/>
  <c r="T124" s="1"/>
  <c r="S137"/>
  <c r="T125"/>
  <c r="T137" s="1"/>
  <c r="S138"/>
  <c r="T129"/>
  <c r="T138" s="1"/>
  <c r="S139"/>
  <c r="T133"/>
  <c r="T139" s="1"/>
  <c r="S139" i="26"/>
  <c r="T133"/>
  <c r="T139" s="1"/>
  <c r="S137"/>
  <c r="T125"/>
  <c r="T137" s="1"/>
  <c r="T95" i="17"/>
  <c r="T107" s="1"/>
  <c r="S107"/>
  <c r="T24"/>
  <c r="T33" s="1"/>
  <c r="S33"/>
  <c r="S49"/>
  <c r="T43"/>
  <c r="T49" s="1"/>
  <c r="S77"/>
  <c r="T65"/>
  <c r="T77" s="1"/>
  <c r="T84"/>
  <c r="T93" s="1"/>
  <c r="S93"/>
  <c r="S109"/>
  <c r="T103"/>
  <c r="T109" s="1"/>
  <c r="S138" i="26"/>
  <c r="T129"/>
  <c r="T138" s="1"/>
  <c r="T8"/>
  <c r="AJ8"/>
  <c r="S17"/>
  <c r="T7"/>
  <c r="AJ7"/>
  <c r="T6"/>
  <c r="AJ6"/>
  <c r="T5"/>
  <c r="AJ5"/>
  <c r="T4"/>
  <c r="T16" s="1"/>
  <c r="AJ4"/>
  <c r="S16"/>
  <c r="S123"/>
  <c r="T114"/>
  <c r="T123" s="1"/>
  <c r="S109"/>
  <c r="T103"/>
  <c r="T109" s="1"/>
  <c r="T15"/>
  <c r="AJ15"/>
  <c r="T14"/>
  <c r="AJ14"/>
  <c r="T13"/>
  <c r="AJ13"/>
  <c r="T59"/>
  <c r="T64" s="1"/>
  <c r="S64"/>
  <c r="T55"/>
  <c r="T63" s="1"/>
  <c r="S63"/>
  <c r="T10"/>
  <c r="AJ10"/>
  <c r="T9"/>
  <c r="AJ9"/>
  <c r="AB64" i="17"/>
  <c r="AJ34" i="26"/>
  <c r="AC33" i="17"/>
  <c r="AB33" s="1"/>
  <c r="AG33"/>
  <c r="U33"/>
  <c r="AF33"/>
  <c r="AC49"/>
  <c r="AG49"/>
  <c r="U49"/>
  <c r="AF49"/>
  <c r="AC77"/>
  <c r="AB78" s="1"/>
  <c r="AG77"/>
  <c r="U77"/>
  <c r="AF77"/>
  <c r="AC93"/>
  <c r="AB93" s="1"/>
  <c r="AG93"/>
  <c r="U93"/>
  <c r="AF93"/>
  <c r="AC109"/>
  <c r="AG109"/>
  <c r="U109"/>
  <c r="AF109"/>
  <c r="AH123"/>
  <c r="AC123"/>
  <c r="AB123" s="1"/>
  <c r="U124"/>
  <c r="AG124"/>
  <c r="AH137"/>
  <c r="U138"/>
  <c r="AG138"/>
  <c r="X95" i="26"/>
  <c r="V34"/>
  <c r="AG16"/>
  <c r="AI16"/>
  <c r="AJ17" s="1"/>
  <c r="AD32"/>
  <c r="AH47"/>
  <c r="V123"/>
  <c r="V62"/>
  <c r="T34" i="17"/>
  <c r="T62"/>
  <c r="T78"/>
  <c r="T94"/>
  <c r="T122"/>
  <c r="AJ63"/>
  <c r="V123"/>
  <c r="V137"/>
  <c r="V139"/>
  <c r="AB48" i="26"/>
  <c r="T16" i="17"/>
  <c r="T18"/>
  <c r="W33"/>
  <c r="X32" s="1"/>
  <c r="AE33"/>
  <c r="AI33"/>
  <c r="AJ33" s="1"/>
  <c r="AD33"/>
  <c r="AH33"/>
  <c r="W49"/>
  <c r="X47" s="1"/>
  <c r="AE49"/>
  <c r="AI49"/>
  <c r="AJ49" s="1"/>
  <c r="AD49"/>
  <c r="AH49"/>
  <c r="W77"/>
  <c r="X77" s="1"/>
  <c r="AE77"/>
  <c r="AI77"/>
  <c r="AJ78" s="1"/>
  <c r="AD77"/>
  <c r="AH77"/>
  <c r="W93"/>
  <c r="X92" s="1"/>
  <c r="AE93"/>
  <c r="AI93"/>
  <c r="AJ93" s="1"/>
  <c r="AD93"/>
  <c r="AH93"/>
  <c r="W109"/>
  <c r="X107" s="1"/>
  <c r="AE109"/>
  <c r="AI109"/>
  <c r="AJ109" s="1"/>
  <c r="AD109"/>
  <c r="AH109"/>
  <c r="AD123"/>
  <c r="U123"/>
  <c r="W123"/>
  <c r="X122" s="1"/>
  <c r="AE123"/>
  <c r="AI123"/>
  <c r="AJ123" s="1"/>
  <c r="AD124"/>
  <c r="AF124"/>
  <c r="W124"/>
  <c r="AE124"/>
  <c r="AI124"/>
  <c r="AJ124" s="1"/>
  <c r="AD137"/>
  <c r="U137"/>
  <c r="W137"/>
  <c r="AE137"/>
  <c r="AI137"/>
  <c r="AD138"/>
  <c r="AF138"/>
  <c r="W138"/>
  <c r="AE138"/>
  <c r="AI138"/>
  <c r="AJ138" s="1"/>
  <c r="AD139"/>
  <c r="U139"/>
  <c r="W139"/>
  <c r="AE139"/>
  <c r="AI139"/>
  <c r="AJ139" s="1"/>
  <c r="AH94" i="26"/>
  <c r="AD94"/>
  <c r="AH78"/>
  <c r="AD78"/>
  <c r="AH139"/>
  <c r="AD139"/>
  <c r="AG139"/>
  <c r="AC139"/>
  <c r="U139"/>
  <c r="AJ138"/>
  <c r="AH137"/>
  <c r="AD137"/>
  <c r="AG137"/>
  <c r="AC137"/>
  <c r="AB138" s="1"/>
  <c r="U137"/>
  <c r="T107"/>
  <c r="T93"/>
  <c r="T79"/>
  <c r="T77"/>
  <c r="X77"/>
  <c r="T47"/>
  <c r="S34"/>
  <c r="AC17"/>
  <c r="AE17"/>
  <c r="AH17"/>
  <c r="AD17"/>
  <c r="AC16"/>
  <c r="AE16"/>
  <c r="AF16"/>
  <c r="AH33"/>
  <c r="AD33"/>
  <c r="V109"/>
  <c r="S32" i="17"/>
  <c r="S34"/>
  <c r="S48"/>
  <c r="S62"/>
  <c r="S64"/>
  <c r="S78"/>
  <c r="S92"/>
  <c r="S94"/>
  <c r="S108"/>
  <c r="S122"/>
  <c r="T17"/>
  <c r="V47"/>
  <c r="AC47"/>
  <c r="AB48" s="1"/>
  <c r="AG47"/>
  <c r="U47"/>
  <c r="AF47"/>
  <c r="V63"/>
  <c r="AC63"/>
  <c r="AB63" s="1"/>
  <c r="AG63"/>
  <c r="U63"/>
  <c r="AF63"/>
  <c r="V79"/>
  <c r="AC79"/>
  <c r="AB79" s="1"/>
  <c r="AG79"/>
  <c r="U79"/>
  <c r="AF79"/>
  <c r="V107"/>
  <c r="AC107"/>
  <c r="AB108" s="1"/>
  <c r="AG107"/>
  <c r="U107"/>
  <c r="AF107"/>
  <c r="AF93" i="26"/>
  <c r="AF79"/>
  <c r="AH124"/>
  <c r="AD124"/>
  <c r="AG124"/>
  <c r="AC124"/>
  <c r="AB124" s="1"/>
  <c r="U124"/>
  <c r="AF123"/>
  <c r="AI123"/>
  <c r="AJ123" s="1"/>
  <c r="AE123"/>
  <c r="W123"/>
  <c r="AH122"/>
  <c r="AD122"/>
  <c r="AG122"/>
  <c r="AC122"/>
  <c r="AB123" s="1"/>
  <c r="U122"/>
  <c r="AF109"/>
  <c r="AI109"/>
  <c r="AJ109" s="1"/>
  <c r="AE109"/>
  <c r="W109"/>
  <c r="X107" s="1"/>
  <c r="S108"/>
  <c r="S94"/>
  <c r="S92"/>
  <c r="S78"/>
  <c r="AG49"/>
  <c r="W49"/>
  <c r="X47" s="1"/>
  <c r="AI49"/>
  <c r="AJ49" s="1"/>
  <c r="U49"/>
  <c r="AF49"/>
  <c r="T33"/>
  <c r="AC18"/>
  <c r="AB18" s="1"/>
  <c r="AG18"/>
  <c r="AI18"/>
  <c r="AJ18" s="1"/>
  <c r="U18"/>
  <c r="S48"/>
  <c r="T32"/>
  <c r="AH64"/>
  <c r="AD64"/>
  <c r="AF63"/>
  <c r="AH62"/>
  <c r="AD62"/>
  <c r="AB139" l="1"/>
  <c r="X137" i="17"/>
  <c r="AJ79"/>
  <c r="AB109"/>
  <c r="AB49"/>
  <c r="AB139"/>
  <c r="X122" i="26"/>
  <c r="AB17"/>
  <c r="T17"/>
  <c r="T18"/>
</calcChain>
</file>

<file path=xl/sharedStrings.xml><?xml version="1.0" encoding="utf-8"?>
<sst xmlns="http://schemas.openxmlformats.org/spreadsheetml/2006/main" count="92" uniqueCount="21">
  <si>
    <t>D1</t>
  </si>
  <si>
    <t>D2</t>
  </si>
  <si>
    <t>D3</t>
  </si>
  <si>
    <t>D4</t>
  </si>
  <si>
    <t>D5</t>
  </si>
  <si>
    <t>D6</t>
  </si>
  <si>
    <t>D7</t>
  </si>
  <si>
    <r>
      <t>R</t>
    </r>
    <r>
      <rPr>
        <b/>
        <i/>
        <vertAlign val="subscript"/>
        <sz val="10"/>
        <color indexed="8"/>
        <rFont val="Arial"/>
        <family val="2"/>
        <charset val="238"/>
      </rPr>
      <t>1</t>
    </r>
    <r>
      <rPr>
        <b/>
        <i/>
        <sz val="10"/>
        <color indexed="8"/>
        <rFont val="Arial"/>
        <family val="2"/>
        <charset val="238"/>
      </rPr>
      <t xml:space="preserve"> (m)</t>
    </r>
  </si>
  <si>
    <t>β</t>
  </si>
  <si>
    <t>α</t>
  </si>
  <si>
    <t>c</t>
  </si>
  <si>
    <r>
      <t>T (mm</t>
    </r>
    <r>
      <rPr>
        <b/>
        <i/>
        <vertAlign val="superscript"/>
        <sz val="10"/>
        <color indexed="8"/>
        <rFont val="Arial"/>
        <family val="2"/>
        <charset val="238"/>
      </rPr>
      <t>2</t>
    </r>
    <r>
      <rPr>
        <b/>
        <i/>
        <sz val="10"/>
        <color indexed="8"/>
        <rFont val="Arial"/>
        <family val="2"/>
        <charset val="238"/>
      </rPr>
      <t>)</t>
    </r>
  </si>
  <si>
    <t>L (mm)</t>
  </si>
  <si>
    <t>l</t>
  </si>
  <si>
    <t>SCI</t>
  </si>
  <si>
    <r>
      <t>R</t>
    </r>
    <r>
      <rPr>
        <b/>
        <i/>
        <vertAlign val="subscript"/>
        <sz val="10"/>
        <color indexed="8"/>
        <rFont val="Arial"/>
        <family val="2"/>
        <charset val="238"/>
      </rPr>
      <t>0</t>
    </r>
    <r>
      <rPr>
        <b/>
        <i/>
        <sz val="10"/>
        <color indexed="8"/>
        <rFont val="Arial"/>
        <family val="2"/>
        <charset val="238"/>
      </rPr>
      <t xml:space="preserve"> (m)</t>
    </r>
  </si>
  <si>
    <t>BDI</t>
  </si>
  <si>
    <t>BCI</t>
  </si>
  <si>
    <t>FORCE</t>
  </si>
  <si>
    <t>p</t>
  </si>
  <si>
    <r>
      <t>r</t>
    </r>
    <r>
      <rPr>
        <b/>
        <i/>
        <vertAlign val="subscript"/>
        <sz val="10"/>
        <color indexed="8"/>
        <rFont val="Arial"/>
        <family val="2"/>
        <charset val="238"/>
      </rPr>
      <t>p</t>
    </r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</si>
</sst>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000000"/>
  </numFmts>
  <fonts count="14">
    <font>
      <sz val="10"/>
      <name val="Arial"/>
    </font>
    <font>
      <sz val="10"/>
      <name val="Arial"/>
    </font>
    <font>
      <sz val="10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b/>
      <i/>
      <vertAlign val="subscript"/>
      <sz val="10"/>
      <color indexed="8"/>
      <name val="Arial"/>
      <family val="2"/>
      <charset val="238"/>
    </font>
    <font>
      <b/>
      <i/>
      <vertAlign val="superscript"/>
      <sz val="10"/>
      <color indexed="8"/>
      <name val="Arial"/>
      <family val="2"/>
      <charset val="238"/>
    </font>
    <font>
      <b/>
      <i/>
      <sz val="10"/>
      <color indexed="10"/>
      <name val="Arial"/>
      <family val="2"/>
      <charset val="238"/>
    </font>
    <font>
      <sz val="10"/>
      <color indexed="10"/>
      <name val="Arial"/>
      <family val="2"/>
      <charset val="238"/>
    </font>
    <font>
      <sz val="10"/>
      <name val="Arial"/>
      <charset val="238"/>
    </font>
    <font>
      <sz val="10"/>
      <name val="MS Sans Serif"/>
      <charset val="238"/>
    </font>
    <font>
      <sz val="10"/>
      <color indexed="8"/>
      <name val="Arial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2" fillId="0" borderId="0"/>
    <xf numFmtId="0" fontId="3" fillId="0" borderId="0"/>
    <xf numFmtId="0" fontId="2" fillId="0" borderId="0"/>
    <xf numFmtId="0" fontId="3" fillId="0" borderId="0"/>
    <xf numFmtId="0" fontId="11" fillId="0" borderId="0"/>
    <xf numFmtId="0" fontId="1" fillId="0" borderId="0"/>
  </cellStyleXfs>
  <cellXfs count="42">
    <xf numFmtId="0" fontId="0" fillId="0" borderId="0" xfId="0"/>
    <xf numFmtId="0" fontId="2" fillId="0" borderId="0" xfId="3"/>
    <xf numFmtId="0" fontId="2" fillId="0" borderId="0" xfId="3" applyFont="1"/>
    <xf numFmtId="0" fontId="2" fillId="0" borderId="0" xfId="3" applyFont="1" applyAlignment="1">
      <alignment horizontal="center" vertical="center"/>
    </xf>
    <xf numFmtId="0" fontId="2" fillId="0" borderId="0" xfId="3" applyAlignment="1">
      <alignment horizontal="center" vertical="center"/>
    </xf>
    <xf numFmtId="2" fontId="3" fillId="2" borderId="1" xfId="2" applyNumberFormat="1" applyFont="1" applyFill="1" applyBorder="1" applyAlignment="1">
      <alignment horizontal="center" vertical="center" wrapText="1"/>
    </xf>
    <xf numFmtId="2" fontId="2" fillId="2" borderId="1" xfId="2" applyNumberFormat="1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2" fontId="10" fillId="2" borderId="1" xfId="2" applyNumberFormat="1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165" fontId="3" fillId="4" borderId="1" xfId="2" applyNumberFormat="1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4" borderId="3" xfId="2" applyFont="1" applyFill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2" fontId="3" fillId="4" borderId="1" xfId="2" applyNumberFormat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/>
    </xf>
    <xf numFmtId="1" fontId="3" fillId="4" borderId="3" xfId="2" applyNumberFormat="1" applyFont="1" applyFill="1" applyBorder="1" applyAlignment="1">
      <alignment horizontal="center" vertical="center" wrapText="1"/>
    </xf>
    <xf numFmtId="0" fontId="11" fillId="0" borderId="0" xfId="5"/>
    <xf numFmtId="0" fontId="5" fillId="5" borderId="0" xfId="2" applyFont="1" applyFill="1" applyBorder="1" applyAlignment="1">
      <alignment horizontal="center" vertical="center"/>
    </xf>
    <xf numFmtId="0" fontId="4" fillId="5" borderId="0" xfId="2" applyFont="1" applyFill="1" applyBorder="1" applyAlignment="1">
      <alignment horizontal="center" vertical="center"/>
    </xf>
    <xf numFmtId="0" fontId="6" fillId="3" borderId="0" xfId="2" applyFont="1" applyFill="1" applyBorder="1" applyAlignment="1">
      <alignment horizontal="center" vertical="center" wrapText="1"/>
    </xf>
    <xf numFmtId="0" fontId="1" fillId="0" borderId="0" xfId="6"/>
    <xf numFmtId="2" fontId="2" fillId="0" borderId="0" xfId="3" applyNumberFormat="1"/>
    <xf numFmtId="0" fontId="13" fillId="0" borderId="1" xfId="4" applyNumberFormat="1" applyFont="1" applyFill="1" applyBorder="1" applyAlignment="1">
      <alignment horizontal="right" wrapText="1"/>
    </xf>
    <xf numFmtId="0" fontId="2" fillId="0" borderId="4" xfId="3" applyBorder="1"/>
    <xf numFmtId="0" fontId="2" fillId="0" borderId="5" xfId="3" applyBorder="1"/>
    <xf numFmtId="0" fontId="2" fillId="0" borderId="6" xfId="3" applyBorder="1"/>
    <xf numFmtId="0" fontId="2" fillId="0" borderId="7" xfId="3" applyBorder="1"/>
    <xf numFmtId="0" fontId="2" fillId="0" borderId="0" xfId="3" applyBorder="1"/>
    <xf numFmtId="0" fontId="2" fillId="0" borderId="8" xfId="3" applyBorder="1"/>
    <xf numFmtId="0" fontId="2" fillId="0" borderId="9" xfId="3" applyBorder="1"/>
    <xf numFmtId="0" fontId="2" fillId="0" borderId="10" xfId="3" applyBorder="1"/>
    <xf numFmtId="0" fontId="2" fillId="0" borderId="11" xfId="3" applyBorder="1"/>
    <xf numFmtId="2" fontId="3" fillId="4" borderId="3" xfId="2" applyNumberFormat="1" applyFont="1" applyFill="1" applyBorder="1" applyAlignment="1">
      <alignment horizontal="center" vertical="center" wrapText="1"/>
    </xf>
    <xf numFmtId="166" fontId="2" fillId="0" borderId="0" xfId="3" applyNumberFormat="1"/>
    <xf numFmtId="2" fontId="2" fillId="0" borderId="0" xfId="3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3" applyFill="1" applyAlignment="1">
      <alignment horizontal="center" vertical="center"/>
    </xf>
    <xf numFmtId="0" fontId="2" fillId="0" borderId="0" xfId="3" applyFill="1" applyAlignment="1">
      <alignment horizontal="right" vertical="center"/>
    </xf>
    <xf numFmtId="0" fontId="0" fillId="0" borderId="0" xfId="0" applyAlignment="1">
      <alignment horizontal="right"/>
    </xf>
  </cellXfs>
  <cellStyles count="7">
    <cellStyle name="Normál" xfId="0" builtinId="0"/>
    <cellStyle name="Normal_C2 5szak" xfId="1"/>
    <cellStyle name="Normál_első" xfId="2"/>
    <cellStyle name="Normál_M5_meglevon_korrelacio" xfId="3"/>
    <cellStyle name="Normál_Munka1" xfId="4"/>
    <cellStyle name="Normál_paraméterek idősora" xfId="5"/>
    <cellStyle name="Normál_többszakaszos példaszámítás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externalLink" Target="externalLinks/externalLink5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4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0</a:t>
            </a:r>
          </a:p>
        </c:rich>
      </c:tx>
      <c:layout>
        <c:manualLayout>
          <c:xMode val="edge"/>
          <c:yMode val="edge"/>
          <c:x val="0.49224405377456065"/>
          <c:y val="2.033898305084744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3422957600827329E-2"/>
          <c:y val="0.12542372881355918"/>
          <c:w val="0.81075491209927675"/>
          <c:h val="0.764406779661017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'paraméter számoló (2)'!$A$137:$A$139</c:f>
              <c:numCache>
                <c:formatCode>0.00</c:formatCode>
                <c:ptCount val="3"/>
                <c:pt idx="0">
                  <c:v>375.25</c:v>
                </c:pt>
                <c:pt idx="1">
                  <c:v>710.75</c:v>
                </c:pt>
                <c:pt idx="2">
                  <c:v>1374</c:v>
                </c:pt>
              </c:numCache>
            </c:numRef>
          </c:xVal>
          <c:yVal>
            <c:numRef>
              <c:f>'paraméter számoló (2)'!$R$137:$R$139</c:f>
              <c:numCache>
                <c:formatCode>0.00</c:formatCode>
                <c:ptCount val="3"/>
                <c:pt idx="0">
                  <c:v>0.58600000000000008</c:v>
                </c:pt>
                <c:pt idx="1">
                  <c:v>0.44350000000000001</c:v>
                </c:pt>
                <c:pt idx="2">
                  <c:v>0.39124999999999999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'paraméter számoló (2)'!$A$122:$A$124</c:f>
              <c:numCache>
                <c:formatCode>0.00</c:formatCode>
                <c:ptCount val="3"/>
                <c:pt idx="0">
                  <c:v>382.5</c:v>
                </c:pt>
                <c:pt idx="1">
                  <c:v>712.25</c:v>
                </c:pt>
                <c:pt idx="2">
                  <c:v>1383.5</c:v>
                </c:pt>
              </c:numCache>
            </c:numRef>
          </c:xVal>
          <c:yVal>
            <c:numRef>
              <c:f>'paraméter számoló (2)'!$R$122:$R$124</c:f>
              <c:numCache>
                <c:formatCode>0.00</c:formatCode>
                <c:ptCount val="3"/>
                <c:pt idx="0">
                  <c:v>0.47149999999999997</c:v>
                </c:pt>
                <c:pt idx="1">
                  <c:v>0.38650000000000001</c:v>
                </c:pt>
                <c:pt idx="2">
                  <c:v>0.34250000000000003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'paraméter számoló (2)'!$A$107:$A$109</c:f>
              <c:numCache>
                <c:formatCode>0.00</c:formatCode>
                <c:ptCount val="3"/>
                <c:pt idx="0">
                  <c:v>383.5</c:v>
                </c:pt>
                <c:pt idx="1">
                  <c:v>712</c:v>
                </c:pt>
                <c:pt idx="2">
                  <c:v>1384.5</c:v>
                </c:pt>
              </c:numCache>
            </c:numRef>
          </c:xVal>
          <c:yVal>
            <c:numRef>
              <c:f>'paraméter számoló (2)'!$R$107:$R$109</c:f>
              <c:numCache>
                <c:formatCode>0.00</c:formatCode>
                <c:ptCount val="3"/>
                <c:pt idx="0">
                  <c:v>0.50774999999999992</c:v>
                </c:pt>
                <c:pt idx="1">
                  <c:v>0.40800000000000003</c:v>
                </c:pt>
                <c:pt idx="2">
                  <c:v>0.35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'paraméter számoló (2)'!$A$92:$A$94</c:f>
              <c:numCache>
                <c:formatCode>0.00</c:formatCode>
                <c:ptCount val="3"/>
                <c:pt idx="0">
                  <c:v>386.75</c:v>
                </c:pt>
                <c:pt idx="1">
                  <c:v>711.5</c:v>
                </c:pt>
                <c:pt idx="2">
                  <c:v>1391</c:v>
                </c:pt>
              </c:numCache>
            </c:numRef>
          </c:xVal>
          <c:yVal>
            <c:numRef>
              <c:f>'paraméter számoló (2)'!$R$92:$R$94</c:f>
              <c:numCache>
                <c:formatCode>0.00</c:formatCode>
                <c:ptCount val="3"/>
                <c:pt idx="0">
                  <c:v>0.43374999999999997</c:v>
                </c:pt>
                <c:pt idx="1">
                  <c:v>0.35875000000000001</c:v>
                </c:pt>
                <c:pt idx="2">
                  <c:v>0.30224999999999996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'paraméter számoló (2)'!$A$77:$A$79</c:f>
              <c:numCache>
                <c:formatCode>0.00</c:formatCode>
                <c:ptCount val="3"/>
                <c:pt idx="0">
                  <c:v>372.75</c:v>
                </c:pt>
                <c:pt idx="1">
                  <c:v>709.25</c:v>
                </c:pt>
                <c:pt idx="2">
                  <c:v>1388.25</c:v>
                </c:pt>
              </c:numCache>
            </c:numRef>
          </c:xVal>
          <c:yVal>
            <c:numRef>
              <c:f>'paraméter számoló (2)'!$R$77:$R$79</c:f>
              <c:numCache>
                <c:formatCode>0.00</c:formatCode>
                <c:ptCount val="3"/>
                <c:pt idx="0">
                  <c:v>0.34425</c:v>
                </c:pt>
                <c:pt idx="1">
                  <c:v>0.29024999999999995</c:v>
                </c:pt>
                <c:pt idx="2">
                  <c:v>0.26575000000000004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xVal>
            <c:numRef>
              <c:f>'paraméter számoló (2)'!$A$62:$A$64</c:f>
              <c:numCache>
                <c:formatCode>0.00</c:formatCode>
                <c:ptCount val="3"/>
                <c:pt idx="0">
                  <c:v>387.5</c:v>
                </c:pt>
                <c:pt idx="1">
                  <c:v>711.5</c:v>
                </c:pt>
                <c:pt idx="2">
                  <c:v>1405.5</c:v>
                </c:pt>
              </c:numCache>
            </c:numRef>
          </c:xVal>
          <c:yVal>
            <c:numRef>
              <c:f>'paraméter számoló (2)'!$R$62:$R$64</c:f>
              <c:numCache>
                <c:formatCode>0.00</c:formatCode>
                <c:ptCount val="3"/>
                <c:pt idx="0">
                  <c:v>0.30525000000000002</c:v>
                </c:pt>
                <c:pt idx="1">
                  <c:v>0.27250000000000002</c:v>
                </c:pt>
                <c:pt idx="2">
                  <c:v>0.23749999999999999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xVal>
            <c:numRef>
              <c:f>'paraméter számoló (2)'!$A$47:$A$49</c:f>
              <c:numCache>
                <c:formatCode>0.00</c:formatCode>
                <c:ptCount val="3"/>
                <c:pt idx="0">
                  <c:v>363</c:v>
                </c:pt>
                <c:pt idx="1">
                  <c:v>708.5</c:v>
                </c:pt>
                <c:pt idx="2">
                  <c:v>1388.5</c:v>
                </c:pt>
              </c:numCache>
            </c:numRef>
          </c:xVal>
          <c:yVal>
            <c:numRef>
              <c:f>'paraméter számoló (2)'!$R$47:$R$49</c:f>
              <c:numCache>
                <c:formatCode>0.00</c:formatCode>
                <c:ptCount val="3"/>
                <c:pt idx="0">
                  <c:v>0.17175000000000001</c:v>
                </c:pt>
                <c:pt idx="1">
                  <c:v>0.16225000000000001</c:v>
                </c:pt>
                <c:pt idx="2">
                  <c:v>0.14475000000000002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'paraméter számoló (2)'!$A$32:$A$34</c:f>
              <c:numCache>
                <c:formatCode>0.00</c:formatCode>
                <c:ptCount val="3"/>
                <c:pt idx="0">
                  <c:v>381</c:v>
                </c:pt>
                <c:pt idx="1">
                  <c:v>715.25</c:v>
                </c:pt>
                <c:pt idx="2">
                  <c:v>1394.75</c:v>
                </c:pt>
              </c:numCache>
            </c:numRef>
          </c:xVal>
          <c:yVal>
            <c:numRef>
              <c:f>'paraméter számoló (2)'!$R$32:$R$34</c:f>
              <c:numCache>
                <c:formatCode>0.00</c:formatCode>
                <c:ptCount val="3"/>
                <c:pt idx="0">
                  <c:v>0.20699999999999999</c:v>
                </c:pt>
                <c:pt idx="1">
                  <c:v>0.1915</c:v>
                </c:pt>
                <c:pt idx="2">
                  <c:v>0.16450000000000001</c:v>
                </c:pt>
              </c:numCache>
            </c:numRef>
          </c:yVal>
        </c:ser>
        <c:axId val="87010304"/>
        <c:axId val="85394944"/>
      </c:scatterChart>
      <c:valAx>
        <c:axId val="870103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0</a:t>
                </a:r>
              </a:p>
            </c:rich>
          </c:tx>
          <c:layout>
            <c:manualLayout>
              <c:xMode val="edge"/>
              <c:yMode val="edge"/>
              <c:x val="0.47362978283350582"/>
              <c:y val="0.94237288135593189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5394944"/>
        <c:crosses val="autoZero"/>
        <c:crossBetween val="midCat"/>
      </c:valAx>
      <c:valAx>
        <c:axId val="853949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0</a:t>
                </a:r>
              </a:p>
            </c:rich>
          </c:tx>
          <c:layout>
            <c:manualLayout>
              <c:xMode val="edge"/>
              <c:yMode val="edge"/>
              <c:x val="1.137538779731128E-2"/>
              <c:y val="0.49830508474576296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701030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14064115822127"/>
          <c:y val="0.36440677966101714"/>
          <c:w val="7.4457083764219278E-2"/>
          <c:h val="0.2864406779661019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0</a:t>
            </a:r>
          </a:p>
        </c:rich>
      </c:tx>
      <c:layout>
        <c:manualLayout>
          <c:xMode val="edge"/>
          <c:yMode val="edge"/>
          <c:x val="0.49224405377456065"/>
          <c:y val="2.033898305084744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790072388831438E-2"/>
          <c:y val="0.12542372881355918"/>
          <c:w val="0.71871768355739429"/>
          <c:h val="0.764406779661017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</c:trendline>
          <c:xVal>
            <c:numRef>
              <c:f>'paraméter számoló (2)'!$A$32:$A$34</c:f>
              <c:numCache>
                <c:formatCode>0.00</c:formatCode>
                <c:ptCount val="3"/>
                <c:pt idx="0">
                  <c:v>381</c:v>
                </c:pt>
                <c:pt idx="1">
                  <c:v>715.25</c:v>
                </c:pt>
                <c:pt idx="2">
                  <c:v>1394.75</c:v>
                </c:pt>
              </c:numCache>
            </c:numRef>
          </c:xVal>
          <c:yVal>
            <c:numRef>
              <c:f>'paraméter számoló (2)'!$U$32:$U$34</c:f>
              <c:numCache>
                <c:formatCode>0.00</c:formatCode>
                <c:ptCount val="3"/>
                <c:pt idx="0">
                  <c:v>329.5</c:v>
                </c:pt>
                <c:pt idx="1">
                  <c:v>342.75</c:v>
                </c:pt>
                <c:pt idx="2">
                  <c:v>369.75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</c:trendline>
          <c:xVal>
            <c:numRef>
              <c:f>'paraméter számoló (2)'!$A$47:$A$49</c:f>
              <c:numCache>
                <c:formatCode>0.00</c:formatCode>
                <c:ptCount val="3"/>
                <c:pt idx="0">
                  <c:v>363</c:v>
                </c:pt>
                <c:pt idx="1">
                  <c:v>708.5</c:v>
                </c:pt>
                <c:pt idx="2">
                  <c:v>1388.5</c:v>
                </c:pt>
              </c:numCache>
            </c:numRef>
          </c:xVal>
          <c:yVal>
            <c:numRef>
              <c:f>'paraméter számoló (2)'!$U$47:$U$49</c:f>
              <c:numCache>
                <c:formatCode>0.00</c:formatCode>
                <c:ptCount val="3"/>
                <c:pt idx="0">
                  <c:v>362.25</c:v>
                </c:pt>
                <c:pt idx="1">
                  <c:v>372.75</c:v>
                </c:pt>
                <c:pt idx="2">
                  <c:v>394.5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11271975180972074"/>
                  <c:y val="0.406779661016949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(2)'!$A$62:$A$64</c:f>
              <c:numCache>
                <c:formatCode>0.00</c:formatCode>
                <c:ptCount val="3"/>
                <c:pt idx="0">
                  <c:v>387.5</c:v>
                </c:pt>
                <c:pt idx="1">
                  <c:v>711.5</c:v>
                </c:pt>
                <c:pt idx="2">
                  <c:v>1405.5</c:v>
                </c:pt>
              </c:numCache>
            </c:numRef>
          </c:xVal>
          <c:yVal>
            <c:numRef>
              <c:f>'paraméter számoló (2)'!$U$62:$U$64</c:f>
              <c:numCache>
                <c:formatCode>0.00</c:formatCode>
                <c:ptCount val="3"/>
                <c:pt idx="0">
                  <c:v>271.5</c:v>
                </c:pt>
                <c:pt idx="1">
                  <c:v>287.5</c:v>
                </c:pt>
                <c:pt idx="2">
                  <c:v>307.75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0775594622543962"/>
                  <c:y val="0.5237288135593226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(2)'!$A$77:$A$79</c:f>
              <c:numCache>
                <c:formatCode>0.00</c:formatCode>
                <c:ptCount val="3"/>
                <c:pt idx="0">
                  <c:v>372.75</c:v>
                </c:pt>
                <c:pt idx="1">
                  <c:v>709.25</c:v>
                </c:pt>
                <c:pt idx="2">
                  <c:v>1388.25</c:v>
                </c:pt>
              </c:numCache>
            </c:numRef>
          </c:xVal>
          <c:yVal>
            <c:numRef>
              <c:f>'paraméter számoló (2)'!$U$77:$U$79</c:f>
              <c:numCache>
                <c:formatCode>0.00</c:formatCode>
                <c:ptCount val="3"/>
                <c:pt idx="0">
                  <c:v>255.75</c:v>
                </c:pt>
                <c:pt idx="1">
                  <c:v>278.5</c:v>
                </c:pt>
                <c:pt idx="2">
                  <c:v>291.25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6473629782833491"/>
                  <c:y val="0.5101694915254236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(2)'!$A$92:$A$94</c:f>
              <c:numCache>
                <c:formatCode>0.00</c:formatCode>
                <c:ptCount val="3"/>
                <c:pt idx="0">
                  <c:v>386.75</c:v>
                </c:pt>
                <c:pt idx="1">
                  <c:v>711.5</c:v>
                </c:pt>
                <c:pt idx="2">
                  <c:v>1391</c:v>
                </c:pt>
              </c:numCache>
            </c:numRef>
          </c:xVal>
          <c:yVal>
            <c:numRef>
              <c:f>'paraméter számoló (2)'!$U$92:$U$94</c:f>
              <c:numCache>
                <c:formatCode>0.00</c:formatCode>
                <c:ptCount val="3"/>
                <c:pt idx="0">
                  <c:v>228</c:v>
                </c:pt>
                <c:pt idx="1">
                  <c:v>250.5</c:v>
                </c:pt>
                <c:pt idx="2">
                  <c:v>273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6.9286452947259589E-2"/>
                  <c:y val="0.825423728813559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(2)'!$A$107:$A$109</c:f>
              <c:numCache>
                <c:formatCode>0.00</c:formatCode>
                <c:ptCount val="3"/>
                <c:pt idx="0">
                  <c:v>383.5</c:v>
                </c:pt>
                <c:pt idx="1">
                  <c:v>712</c:v>
                </c:pt>
                <c:pt idx="2">
                  <c:v>1384.5</c:v>
                </c:pt>
              </c:numCache>
            </c:numRef>
          </c:xVal>
          <c:yVal>
            <c:numRef>
              <c:f>'paraméter számoló (2)'!$U$107:$U$109</c:f>
              <c:numCache>
                <c:formatCode>0.00</c:formatCode>
                <c:ptCount val="3"/>
                <c:pt idx="0">
                  <c:v>210.75</c:v>
                </c:pt>
                <c:pt idx="1">
                  <c:v>234.75</c:v>
                </c:pt>
                <c:pt idx="2">
                  <c:v>253.75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10134436401240951"/>
                  <c:y val="0.5898305084745766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(2)'!$A$122:$A$124</c:f>
              <c:numCache>
                <c:formatCode>0.00</c:formatCode>
                <c:ptCount val="3"/>
                <c:pt idx="0">
                  <c:v>382.5</c:v>
                </c:pt>
                <c:pt idx="1">
                  <c:v>712.25</c:v>
                </c:pt>
                <c:pt idx="2">
                  <c:v>1383.5</c:v>
                </c:pt>
              </c:numCache>
            </c:numRef>
          </c:xVal>
          <c:yVal>
            <c:numRef>
              <c:f>'paraméter számoló (2)'!$U$122:$U$124</c:f>
              <c:numCache>
                <c:formatCode>0.00</c:formatCode>
                <c:ptCount val="3"/>
                <c:pt idx="0">
                  <c:v>218.75</c:v>
                </c:pt>
                <c:pt idx="1">
                  <c:v>241.5</c:v>
                </c:pt>
                <c:pt idx="2">
                  <c:v>256.5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21820062047569813"/>
                  <c:y val="0.8118644067796609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(2)'!$A$137:$A$139</c:f>
              <c:numCache>
                <c:formatCode>0.00</c:formatCode>
                <c:ptCount val="3"/>
                <c:pt idx="0">
                  <c:v>375.25</c:v>
                </c:pt>
                <c:pt idx="1">
                  <c:v>710.75</c:v>
                </c:pt>
                <c:pt idx="2">
                  <c:v>1374</c:v>
                </c:pt>
              </c:numCache>
            </c:numRef>
          </c:xVal>
          <c:yVal>
            <c:numRef>
              <c:f>'paraméter számoló (2)'!$U$137:$U$139</c:f>
              <c:numCache>
                <c:formatCode>0.00</c:formatCode>
                <c:ptCount val="3"/>
                <c:pt idx="0">
                  <c:v>197</c:v>
                </c:pt>
                <c:pt idx="1">
                  <c:v>225.25</c:v>
                </c:pt>
                <c:pt idx="2">
                  <c:v>240</c:v>
                </c:pt>
              </c:numCache>
            </c:numRef>
          </c:yVal>
        </c:ser>
        <c:axId val="87279872"/>
        <c:axId val="87285760"/>
      </c:scatterChart>
      <c:valAx>
        <c:axId val="87279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0</a:t>
                </a:r>
              </a:p>
            </c:rich>
          </c:tx>
          <c:layout>
            <c:manualLayout>
              <c:xMode val="edge"/>
              <c:yMode val="edge"/>
              <c:x val="0.44157187176835588"/>
              <c:y val="0.94237288135593189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7285760"/>
        <c:crosses val="autoZero"/>
        <c:crossBetween val="midCat"/>
      </c:valAx>
      <c:valAx>
        <c:axId val="87285760"/>
        <c:scaling>
          <c:orientation val="minMax"/>
          <c:max val="400"/>
          <c:min val="150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0</a:t>
                </a:r>
              </a:p>
            </c:rich>
          </c:tx>
          <c:layout>
            <c:manualLayout>
              <c:xMode val="edge"/>
              <c:yMode val="edge"/>
              <c:x val="1.137538779731128E-2"/>
              <c:y val="0.49830508474576296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727987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31127197518092"/>
          <c:y val="0.30847457627118663"/>
          <c:w val="0.18097207859358838"/>
          <c:h val="0.4355932203389830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hu-HU"/>
              <a:t>0</a:t>
            </a:r>
          </a:p>
        </c:rich>
      </c:tx>
      <c:layout>
        <c:manualLayout>
          <c:xMode val="edge"/>
          <c:yMode val="edge"/>
          <c:x val="0.49224405377456065"/>
          <c:y val="2.033898305084744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3422957600827329E-2"/>
          <c:y val="0.12542372881355918"/>
          <c:w val="0.73319544984488161"/>
          <c:h val="0.764406779661017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(2)'!$A$137:$A$139</c:f>
              <c:numCache>
                <c:formatCode>0.00</c:formatCode>
                <c:ptCount val="3"/>
                <c:pt idx="0">
                  <c:v>375.25</c:v>
                </c:pt>
                <c:pt idx="1">
                  <c:v>710.75</c:v>
                </c:pt>
                <c:pt idx="2">
                  <c:v>1374</c:v>
                </c:pt>
              </c:numCache>
            </c:numRef>
          </c:xVal>
          <c:yVal>
            <c:numRef>
              <c:f>'paraméter számoló (2)'!$W$137:$W$139</c:f>
              <c:numCache>
                <c:formatCode>0.00</c:formatCode>
                <c:ptCount val="3"/>
                <c:pt idx="0">
                  <c:v>1.3122500000000001</c:v>
                </c:pt>
                <c:pt idx="1">
                  <c:v>1.5022500000000001</c:v>
                </c:pt>
                <c:pt idx="2">
                  <c:v>1.59975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(2)'!$A$122:$A$124</c:f>
              <c:numCache>
                <c:formatCode>0.00</c:formatCode>
                <c:ptCount val="3"/>
                <c:pt idx="0">
                  <c:v>382.5</c:v>
                </c:pt>
                <c:pt idx="1">
                  <c:v>712.25</c:v>
                </c:pt>
                <c:pt idx="2">
                  <c:v>1383.5</c:v>
                </c:pt>
              </c:numCache>
            </c:numRef>
          </c:xVal>
          <c:yVal>
            <c:numRef>
              <c:f>'paraméter számoló (2)'!$W$122:$W$124</c:f>
              <c:numCache>
                <c:formatCode>0.00</c:formatCode>
                <c:ptCount val="3"/>
                <c:pt idx="0">
                  <c:v>1.4584999999999999</c:v>
                </c:pt>
                <c:pt idx="1">
                  <c:v>1.6087500000000001</c:v>
                </c:pt>
                <c:pt idx="2">
                  <c:v>1.7090000000000001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'paraméter számoló (2)'!$A$107:$A$109</c:f>
              <c:numCache>
                <c:formatCode>0.00</c:formatCode>
                <c:ptCount val="3"/>
                <c:pt idx="0">
                  <c:v>383.5</c:v>
                </c:pt>
                <c:pt idx="1">
                  <c:v>712</c:v>
                </c:pt>
                <c:pt idx="2">
                  <c:v>1384.5</c:v>
                </c:pt>
              </c:numCache>
            </c:numRef>
          </c:xVal>
          <c:yVal>
            <c:numRef>
              <c:f>'paraméter számoló (2)'!$W$107:$W$109</c:f>
              <c:numCache>
                <c:formatCode>0.00</c:formatCode>
                <c:ptCount val="3"/>
                <c:pt idx="0">
                  <c:v>1.4057500000000001</c:v>
                </c:pt>
                <c:pt idx="1">
                  <c:v>1.5660000000000003</c:v>
                </c:pt>
                <c:pt idx="2">
                  <c:v>1.6905000000000001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(2)'!$A$92:$A$94</c:f>
              <c:numCache>
                <c:formatCode>0.00</c:formatCode>
                <c:ptCount val="3"/>
                <c:pt idx="0">
                  <c:v>386.75</c:v>
                </c:pt>
                <c:pt idx="1">
                  <c:v>711.5</c:v>
                </c:pt>
                <c:pt idx="2">
                  <c:v>1391</c:v>
                </c:pt>
              </c:numCache>
            </c:numRef>
          </c:xVal>
          <c:yVal>
            <c:numRef>
              <c:f>'paraméter számoló (2)'!$W$92:$W$94</c:f>
              <c:numCache>
                <c:formatCode>0.00</c:formatCode>
                <c:ptCount val="3"/>
                <c:pt idx="0">
                  <c:v>1.5189999999999999</c:v>
                </c:pt>
                <c:pt idx="1">
                  <c:v>1.6697499999999998</c:v>
                </c:pt>
                <c:pt idx="2">
                  <c:v>1.8192499999999998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1468459152016562"/>
                  <c:y val="0.6423728813559321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(2)'!$A$77:$A$79</c:f>
              <c:numCache>
                <c:formatCode>0.00</c:formatCode>
                <c:ptCount val="3"/>
                <c:pt idx="0">
                  <c:v>372.75</c:v>
                </c:pt>
                <c:pt idx="1">
                  <c:v>709.25</c:v>
                </c:pt>
                <c:pt idx="2">
                  <c:v>1388.25</c:v>
                </c:pt>
              </c:numCache>
            </c:numRef>
          </c:xVal>
          <c:yVal>
            <c:numRef>
              <c:f>'paraméter számoló (2)'!$W$77:$W$79</c:f>
              <c:numCache>
                <c:formatCode>0.00</c:formatCode>
                <c:ptCount val="3"/>
                <c:pt idx="0">
                  <c:v>1.7052499999999999</c:v>
                </c:pt>
                <c:pt idx="1">
                  <c:v>1.8567500000000001</c:v>
                </c:pt>
                <c:pt idx="2">
                  <c:v>1.94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(2)'!$A$62:$A$64</c:f>
              <c:numCache>
                <c:formatCode>0.00</c:formatCode>
                <c:ptCount val="3"/>
                <c:pt idx="0">
                  <c:v>387.5</c:v>
                </c:pt>
                <c:pt idx="1">
                  <c:v>711.5</c:v>
                </c:pt>
                <c:pt idx="2">
                  <c:v>1405.5</c:v>
                </c:pt>
              </c:numCache>
            </c:numRef>
          </c:xVal>
          <c:yVal>
            <c:numRef>
              <c:f>'paraméter számoló (2)'!$W$62:$W$64</c:f>
              <c:numCache>
                <c:formatCode>0.00</c:formatCode>
                <c:ptCount val="3"/>
                <c:pt idx="0">
                  <c:v>1.8102500000000001</c:v>
                </c:pt>
                <c:pt idx="1">
                  <c:v>1.9157500000000001</c:v>
                </c:pt>
                <c:pt idx="2">
                  <c:v>2.052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3226473629782852"/>
                  <c:y val="0.13728813559322051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(2)'!$A$47:$A$49</c:f>
              <c:numCache>
                <c:formatCode>0.00</c:formatCode>
                <c:ptCount val="3"/>
                <c:pt idx="0">
                  <c:v>363</c:v>
                </c:pt>
                <c:pt idx="1">
                  <c:v>708.5</c:v>
                </c:pt>
                <c:pt idx="2">
                  <c:v>1388.5</c:v>
                </c:pt>
              </c:numCache>
            </c:numRef>
          </c:xVal>
          <c:yVal>
            <c:numRef>
              <c:f>'paraméter számoló (2)'!$W$47:$W$49</c:f>
              <c:numCache>
                <c:formatCode>0.00</c:formatCode>
                <c:ptCount val="3"/>
                <c:pt idx="0">
                  <c:v>2.41275</c:v>
                </c:pt>
                <c:pt idx="1">
                  <c:v>2.4829999999999997</c:v>
                </c:pt>
                <c:pt idx="2">
                  <c:v>2.6287500000000001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0.000000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hu-HU"/>
                </a:p>
              </c:txPr>
            </c:trendlineLbl>
          </c:trendline>
          <c:xVal>
            <c:numRef>
              <c:f>'paraméter számoló (2)'!$A$32:$A$34</c:f>
              <c:numCache>
                <c:formatCode>0.00</c:formatCode>
                <c:ptCount val="3"/>
                <c:pt idx="0">
                  <c:v>381</c:v>
                </c:pt>
                <c:pt idx="1">
                  <c:v>715.25</c:v>
                </c:pt>
                <c:pt idx="2">
                  <c:v>1394.75</c:v>
                </c:pt>
              </c:numCache>
            </c:numRef>
          </c:xVal>
          <c:yVal>
            <c:numRef>
              <c:f>'paraméter számoló (2)'!$W$32:$W$34</c:f>
              <c:numCache>
                <c:formatCode>0.00</c:formatCode>
                <c:ptCount val="3"/>
                <c:pt idx="0">
                  <c:v>2.198</c:v>
                </c:pt>
                <c:pt idx="1">
                  <c:v>2.2850000000000001</c:v>
                </c:pt>
                <c:pt idx="2">
                  <c:v>2.4655</c:v>
                </c:pt>
              </c:numCache>
            </c:numRef>
          </c:yVal>
        </c:ser>
        <c:axId val="87457152"/>
        <c:axId val="87467520"/>
      </c:scatterChart>
      <c:valAx>
        <c:axId val="87457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0</a:t>
                </a:r>
              </a:p>
            </c:rich>
          </c:tx>
          <c:layout>
            <c:manualLayout>
              <c:xMode val="edge"/>
              <c:yMode val="edge"/>
              <c:x val="0.43433298862461261"/>
              <c:y val="0.94237288135593189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7467520"/>
        <c:crosses val="autoZero"/>
        <c:crossBetween val="midCat"/>
      </c:valAx>
      <c:valAx>
        <c:axId val="8746752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hu-HU"/>
                  <a:t>0</a:t>
                </a:r>
              </a:p>
            </c:rich>
          </c:tx>
          <c:layout>
            <c:manualLayout>
              <c:xMode val="edge"/>
              <c:yMode val="edge"/>
              <c:x val="1.137538779731128E-2"/>
              <c:y val="0.49830508474576296"/>
            </c:manualLayout>
          </c:layout>
          <c:spPr>
            <a:noFill/>
            <a:ln w="25400">
              <a:noFill/>
            </a:ln>
          </c:spPr>
        </c:title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74571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592554291623576"/>
          <c:y val="0.25593220338983086"/>
          <c:w val="0.17890382626680454"/>
          <c:h val="0.6440677966101697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wer"/>
          </c:trendline>
          <c:xVal>
            <c:numRef>
              <c:f>'paraméter számoló (2)'!$Y$4:$Y$15</c:f>
              <c:numCache>
                <c:formatCode>0</c:formatCode>
                <c:ptCount val="12"/>
                <c:pt idx="0">
                  <c:v>46</c:v>
                </c:pt>
                <c:pt idx="1">
                  <c:v>44.9</c:v>
                </c:pt>
                <c:pt idx="2">
                  <c:v>44.6</c:v>
                </c:pt>
                <c:pt idx="3">
                  <c:v>43.8</c:v>
                </c:pt>
                <c:pt idx="4">
                  <c:v>76</c:v>
                </c:pt>
                <c:pt idx="5">
                  <c:v>73.599999999999994</c:v>
                </c:pt>
                <c:pt idx="6">
                  <c:v>72.7</c:v>
                </c:pt>
                <c:pt idx="7">
                  <c:v>72.8</c:v>
                </c:pt>
                <c:pt idx="8">
                  <c:v>119.9</c:v>
                </c:pt>
                <c:pt idx="9">
                  <c:v>120.7</c:v>
                </c:pt>
                <c:pt idx="10">
                  <c:v>118.4</c:v>
                </c:pt>
                <c:pt idx="11">
                  <c:v>117.4</c:v>
                </c:pt>
              </c:numCache>
            </c:numRef>
          </c:xVal>
          <c:yVal>
            <c:numRef>
              <c:f>'paraméter számoló (2)'!$R$4:$R$15</c:f>
              <c:numCache>
                <c:formatCode>0.000</c:formatCode>
                <c:ptCount val="12"/>
                <c:pt idx="0">
                  <c:v>0.19</c:v>
                </c:pt>
                <c:pt idx="1">
                  <c:v>0.19500000000000001</c:v>
                </c:pt>
                <c:pt idx="2">
                  <c:v>0.19600000000000001</c:v>
                </c:pt>
                <c:pt idx="3">
                  <c:v>0.19400000000000001</c:v>
                </c:pt>
                <c:pt idx="4">
                  <c:v>0.17599999999999999</c:v>
                </c:pt>
                <c:pt idx="5">
                  <c:v>0.17599999999999999</c:v>
                </c:pt>
                <c:pt idx="6">
                  <c:v>0.17499999999999999</c:v>
                </c:pt>
                <c:pt idx="7">
                  <c:v>0.17599999999999999</c:v>
                </c:pt>
                <c:pt idx="8">
                  <c:v>0.16900000000000001</c:v>
                </c:pt>
                <c:pt idx="9">
                  <c:v>0.16900000000000001</c:v>
                </c:pt>
                <c:pt idx="10">
                  <c:v>0.16900000000000001</c:v>
                </c:pt>
                <c:pt idx="11">
                  <c:v>0.16800000000000001</c:v>
                </c:pt>
              </c:numCache>
            </c:numRef>
          </c:yVal>
        </c:ser>
        <c:axId val="87857408"/>
        <c:axId val="87863296"/>
      </c:scatterChart>
      <c:valAx>
        <c:axId val="87857408"/>
        <c:scaling>
          <c:orientation val="minMax"/>
        </c:scaling>
        <c:axPos val="b"/>
        <c:numFmt formatCode="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7863296"/>
        <c:crosses val="autoZero"/>
        <c:crossBetween val="midCat"/>
      </c:valAx>
      <c:valAx>
        <c:axId val="878632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78574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wer"/>
          </c:trendline>
          <c:xVal>
            <c:numRef>
              <c:f>'paraméter számoló (3)'!$Y$4:$Y$15</c:f>
              <c:numCache>
                <c:formatCode>0</c:formatCode>
                <c:ptCount val="12"/>
                <c:pt idx="0">
                  <c:v>46</c:v>
                </c:pt>
                <c:pt idx="1">
                  <c:v>44.9</c:v>
                </c:pt>
                <c:pt idx="2">
                  <c:v>44.6</c:v>
                </c:pt>
                <c:pt idx="3">
                  <c:v>43.8</c:v>
                </c:pt>
                <c:pt idx="4">
                  <c:v>76</c:v>
                </c:pt>
                <c:pt idx="5">
                  <c:v>73.599999999999994</c:v>
                </c:pt>
                <c:pt idx="6">
                  <c:v>72.7</c:v>
                </c:pt>
                <c:pt idx="7">
                  <c:v>72.8</c:v>
                </c:pt>
                <c:pt idx="8">
                  <c:v>119.9</c:v>
                </c:pt>
                <c:pt idx="9">
                  <c:v>120.7</c:v>
                </c:pt>
                <c:pt idx="10">
                  <c:v>118.4</c:v>
                </c:pt>
                <c:pt idx="11">
                  <c:v>117.4</c:v>
                </c:pt>
              </c:numCache>
            </c:numRef>
          </c:xVal>
          <c:yVal>
            <c:numRef>
              <c:f>'paraméter számoló (3)'!$R$4:$R$15</c:f>
              <c:numCache>
                <c:formatCode>0.000</c:formatCode>
                <c:ptCount val="12"/>
                <c:pt idx="0">
                  <c:v>0.19</c:v>
                </c:pt>
                <c:pt idx="1">
                  <c:v>0.19500000000000001</c:v>
                </c:pt>
                <c:pt idx="2">
                  <c:v>0.19600000000000001</c:v>
                </c:pt>
                <c:pt idx="3">
                  <c:v>0.19400000000000001</c:v>
                </c:pt>
                <c:pt idx="4">
                  <c:v>0.17599999999999999</c:v>
                </c:pt>
                <c:pt idx="5">
                  <c:v>0.17599999999999999</c:v>
                </c:pt>
                <c:pt idx="6">
                  <c:v>0.17499999999999999</c:v>
                </c:pt>
                <c:pt idx="7">
                  <c:v>0.17599999999999999</c:v>
                </c:pt>
                <c:pt idx="8">
                  <c:v>0.16900000000000001</c:v>
                </c:pt>
                <c:pt idx="9">
                  <c:v>0.16900000000000001</c:v>
                </c:pt>
                <c:pt idx="10">
                  <c:v>0.16900000000000001</c:v>
                </c:pt>
                <c:pt idx="11">
                  <c:v>0.16800000000000001</c:v>
                </c:pt>
              </c:numCache>
            </c:numRef>
          </c:yVal>
        </c:ser>
        <c:axId val="88252800"/>
        <c:axId val="88254336"/>
      </c:scatterChart>
      <c:valAx>
        <c:axId val="88252800"/>
        <c:scaling>
          <c:orientation val="minMax"/>
        </c:scaling>
        <c:axPos val="b"/>
        <c:numFmt formatCode="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8254336"/>
        <c:crosses val="autoZero"/>
        <c:crossBetween val="midCat"/>
      </c:valAx>
      <c:valAx>
        <c:axId val="8825433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82528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title>
      <c:tx>
        <c:rich>
          <a:bodyPr/>
          <a:lstStyle/>
          <a:p>
            <a:pPr>
              <a:defRPr/>
            </a:pPr>
            <a:r>
              <a:rPr lang="hu-HU"/>
              <a:t>T</a:t>
            </a:r>
            <a:r>
              <a:rPr lang="hu-HU" baseline="0"/>
              <a:t> VERSUS FORCE</a:t>
            </a:r>
            <a:endParaRPr lang="hu-HU"/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'paraméter számoló (4)'!$A$3:$A$98</c:f>
              <c:numCache>
                <c:formatCode>General</c:formatCode>
                <c:ptCount val="96"/>
                <c:pt idx="0">
                  <c:v>26.7057</c:v>
                </c:pt>
                <c:pt idx="1">
                  <c:v>26.847000000000001</c:v>
                </c:pt>
                <c:pt idx="2">
                  <c:v>27.058949999999999</c:v>
                </c:pt>
                <c:pt idx="3">
                  <c:v>27.058949999999999</c:v>
                </c:pt>
                <c:pt idx="4">
                  <c:v>51.150599999999997</c:v>
                </c:pt>
                <c:pt idx="5">
                  <c:v>50.514749999999999</c:v>
                </c:pt>
                <c:pt idx="6">
                  <c:v>50.302799999999998</c:v>
                </c:pt>
                <c:pt idx="7">
                  <c:v>50.161499999999997</c:v>
                </c:pt>
                <c:pt idx="8">
                  <c:v>96.931799999999996</c:v>
                </c:pt>
                <c:pt idx="9">
                  <c:v>99.40455</c:v>
                </c:pt>
                <c:pt idx="10">
                  <c:v>99.192599999999999</c:v>
                </c:pt>
                <c:pt idx="11">
                  <c:v>98.627399999999994</c:v>
                </c:pt>
                <c:pt idx="12">
                  <c:v>26.140499999999999</c:v>
                </c:pt>
                <c:pt idx="13">
                  <c:v>25.363350000000001</c:v>
                </c:pt>
                <c:pt idx="14">
                  <c:v>25.434000000000001</c:v>
                </c:pt>
                <c:pt idx="15">
                  <c:v>25.645949999999999</c:v>
                </c:pt>
                <c:pt idx="16">
                  <c:v>48.889800000000001</c:v>
                </c:pt>
                <c:pt idx="17">
                  <c:v>50.797350000000002</c:v>
                </c:pt>
                <c:pt idx="18">
                  <c:v>50.232149999999997</c:v>
                </c:pt>
                <c:pt idx="19">
                  <c:v>50.302799999999998</c:v>
                </c:pt>
                <c:pt idx="20">
                  <c:v>97.285049999999998</c:v>
                </c:pt>
                <c:pt idx="21">
                  <c:v>98.768699999999995</c:v>
                </c:pt>
                <c:pt idx="22">
                  <c:v>98.274150000000006</c:v>
                </c:pt>
                <c:pt idx="23">
                  <c:v>98.062200000000004</c:v>
                </c:pt>
                <c:pt idx="24">
                  <c:v>27.20025</c:v>
                </c:pt>
                <c:pt idx="25">
                  <c:v>27.5535</c:v>
                </c:pt>
                <c:pt idx="26">
                  <c:v>27.412199999999999</c:v>
                </c:pt>
                <c:pt idx="27">
                  <c:v>27.341550000000002</c:v>
                </c:pt>
                <c:pt idx="28">
                  <c:v>51.433199999999999</c:v>
                </c:pt>
                <c:pt idx="29">
                  <c:v>50.020200000000003</c:v>
                </c:pt>
                <c:pt idx="30">
                  <c:v>49.878900000000002</c:v>
                </c:pt>
                <c:pt idx="31">
                  <c:v>49.7376</c:v>
                </c:pt>
                <c:pt idx="32">
                  <c:v>99.40455</c:v>
                </c:pt>
                <c:pt idx="33">
                  <c:v>99.545850000000002</c:v>
                </c:pt>
                <c:pt idx="34">
                  <c:v>99.263249999999999</c:v>
                </c:pt>
                <c:pt idx="35">
                  <c:v>98.980649999999997</c:v>
                </c:pt>
                <c:pt idx="36">
                  <c:v>25.857900000000001</c:v>
                </c:pt>
                <c:pt idx="37">
                  <c:v>26.564399999999999</c:v>
                </c:pt>
                <c:pt idx="38">
                  <c:v>26.423100000000002</c:v>
                </c:pt>
                <c:pt idx="39">
                  <c:v>26.493749999999999</c:v>
                </c:pt>
                <c:pt idx="40">
                  <c:v>50.868000000000002</c:v>
                </c:pt>
                <c:pt idx="41">
                  <c:v>49.878900000000002</c:v>
                </c:pt>
                <c:pt idx="42">
                  <c:v>49.808250000000001</c:v>
                </c:pt>
                <c:pt idx="43">
                  <c:v>49.878900000000002</c:v>
                </c:pt>
                <c:pt idx="44">
                  <c:v>97.779600000000002</c:v>
                </c:pt>
                <c:pt idx="45">
                  <c:v>98.203500000000005</c:v>
                </c:pt>
                <c:pt idx="46">
                  <c:v>98.274150000000006</c:v>
                </c:pt>
                <c:pt idx="47">
                  <c:v>98.062200000000004</c:v>
                </c:pt>
                <c:pt idx="48">
                  <c:v>26.847000000000001</c:v>
                </c:pt>
                <c:pt idx="49">
                  <c:v>27.341550000000002</c:v>
                </c:pt>
                <c:pt idx="50">
                  <c:v>27.482849999999999</c:v>
                </c:pt>
                <c:pt idx="51">
                  <c:v>27.62415</c:v>
                </c:pt>
                <c:pt idx="52">
                  <c:v>51.433199999999999</c:v>
                </c:pt>
                <c:pt idx="53">
                  <c:v>49.949550000000002</c:v>
                </c:pt>
                <c:pt idx="54">
                  <c:v>49.878900000000002</c:v>
                </c:pt>
                <c:pt idx="55">
                  <c:v>49.808250000000001</c:v>
                </c:pt>
                <c:pt idx="56">
                  <c:v>98.274150000000006</c:v>
                </c:pt>
                <c:pt idx="57">
                  <c:v>98.415450000000007</c:v>
                </c:pt>
                <c:pt idx="58">
                  <c:v>98.203500000000005</c:v>
                </c:pt>
                <c:pt idx="59">
                  <c:v>98.203500000000005</c:v>
                </c:pt>
                <c:pt idx="60">
                  <c:v>26.776350000000001</c:v>
                </c:pt>
                <c:pt idx="61">
                  <c:v>27.1296</c:v>
                </c:pt>
                <c:pt idx="62">
                  <c:v>27.20025</c:v>
                </c:pt>
                <c:pt idx="63">
                  <c:v>27.270900000000001</c:v>
                </c:pt>
                <c:pt idx="64">
                  <c:v>51.362549999999999</c:v>
                </c:pt>
                <c:pt idx="65">
                  <c:v>50.232149999999997</c:v>
                </c:pt>
                <c:pt idx="66">
                  <c:v>49.878900000000002</c:v>
                </c:pt>
                <c:pt idx="67">
                  <c:v>49.7376</c:v>
                </c:pt>
                <c:pt idx="68">
                  <c:v>97.638300000000001</c:v>
                </c:pt>
                <c:pt idx="69">
                  <c:v>97.991550000000004</c:v>
                </c:pt>
                <c:pt idx="70">
                  <c:v>97.920900000000003</c:v>
                </c:pt>
                <c:pt idx="71">
                  <c:v>97.708950000000002</c:v>
                </c:pt>
                <c:pt idx="72">
                  <c:v>26.7057</c:v>
                </c:pt>
                <c:pt idx="73">
                  <c:v>27.058949999999999</c:v>
                </c:pt>
                <c:pt idx="74">
                  <c:v>27.20025</c:v>
                </c:pt>
                <c:pt idx="75">
                  <c:v>27.1296</c:v>
                </c:pt>
                <c:pt idx="76">
                  <c:v>51.433199999999999</c:v>
                </c:pt>
                <c:pt idx="77">
                  <c:v>50.232149999999997</c:v>
                </c:pt>
                <c:pt idx="78">
                  <c:v>49.7376</c:v>
                </c:pt>
                <c:pt idx="79">
                  <c:v>49.878900000000002</c:v>
                </c:pt>
                <c:pt idx="80">
                  <c:v>97.708950000000002</c:v>
                </c:pt>
                <c:pt idx="81">
                  <c:v>97.991550000000004</c:v>
                </c:pt>
                <c:pt idx="82">
                  <c:v>97.426349999999999</c:v>
                </c:pt>
                <c:pt idx="83">
                  <c:v>97.850250000000003</c:v>
                </c:pt>
                <c:pt idx="84">
                  <c:v>26.2818</c:v>
                </c:pt>
                <c:pt idx="85">
                  <c:v>26.63505</c:v>
                </c:pt>
                <c:pt idx="86">
                  <c:v>26.564399999999999</c:v>
                </c:pt>
                <c:pt idx="87">
                  <c:v>26.564399999999999</c:v>
                </c:pt>
                <c:pt idx="88">
                  <c:v>51.079949999999997</c:v>
                </c:pt>
                <c:pt idx="89">
                  <c:v>50.020200000000003</c:v>
                </c:pt>
                <c:pt idx="90">
                  <c:v>49.878900000000002</c:v>
                </c:pt>
                <c:pt idx="91">
                  <c:v>49.878900000000002</c:v>
                </c:pt>
                <c:pt idx="92">
                  <c:v>97.002449999999996</c:v>
                </c:pt>
                <c:pt idx="93">
                  <c:v>97.285049999999998</c:v>
                </c:pt>
                <c:pt idx="94">
                  <c:v>97.073099999999997</c:v>
                </c:pt>
                <c:pt idx="95">
                  <c:v>96.931799999999996</c:v>
                </c:pt>
              </c:numCache>
            </c:numRef>
          </c:xVal>
          <c:yVal>
            <c:numRef>
              <c:f>'paraméter számoló (4)'!$V$3:$V$98</c:f>
              <c:numCache>
                <c:formatCode>General</c:formatCode>
                <c:ptCount val="96"/>
                <c:pt idx="0">
                  <c:v>285</c:v>
                </c:pt>
                <c:pt idx="1">
                  <c:v>265</c:v>
                </c:pt>
                <c:pt idx="2">
                  <c:v>264</c:v>
                </c:pt>
                <c:pt idx="3">
                  <c:v>262</c:v>
                </c:pt>
                <c:pt idx="4">
                  <c:v>478</c:v>
                </c:pt>
                <c:pt idx="5">
                  <c:v>461</c:v>
                </c:pt>
                <c:pt idx="6">
                  <c:v>454</c:v>
                </c:pt>
                <c:pt idx="7">
                  <c:v>449</c:v>
                </c:pt>
                <c:pt idx="8">
                  <c:v>799</c:v>
                </c:pt>
                <c:pt idx="9">
                  <c:v>804</c:v>
                </c:pt>
                <c:pt idx="10">
                  <c:v>804</c:v>
                </c:pt>
                <c:pt idx="11">
                  <c:v>799</c:v>
                </c:pt>
                <c:pt idx="12">
                  <c:v>289</c:v>
                </c:pt>
                <c:pt idx="13">
                  <c:v>274</c:v>
                </c:pt>
                <c:pt idx="14">
                  <c:v>269</c:v>
                </c:pt>
                <c:pt idx="15">
                  <c:v>268</c:v>
                </c:pt>
                <c:pt idx="16">
                  <c:v>479</c:v>
                </c:pt>
                <c:pt idx="17">
                  <c:v>486</c:v>
                </c:pt>
                <c:pt idx="18">
                  <c:v>478</c:v>
                </c:pt>
                <c:pt idx="19">
                  <c:v>475</c:v>
                </c:pt>
                <c:pt idx="20">
                  <c:v>830</c:v>
                </c:pt>
                <c:pt idx="21">
                  <c:v>821</c:v>
                </c:pt>
                <c:pt idx="22">
                  <c:v>819</c:v>
                </c:pt>
                <c:pt idx="23">
                  <c:v>815</c:v>
                </c:pt>
                <c:pt idx="24">
                  <c:v>278</c:v>
                </c:pt>
                <c:pt idx="25">
                  <c:v>260</c:v>
                </c:pt>
                <c:pt idx="26">
                  <c:v>254</c:v>
                </c:pt>
                <c:pt idx="27">
                  <c:v>252</c:v>
                </c:pt>
                <c:pt idx="28">
                  <c:v>461</c:v>
                </c:pt>
                <c:pt idx="29">
                  <c:v>446</c:v>
                </c:pt>
                <c:pt idx="30">
                  <c:v>445</c:v>
                </c:pt>
                <c:pt idx="31">
                  <c:v>444</c:v>
                </c:pt>
                <c:pt idx="32">
                  <c:v>796</c:v>
                </c:pt>
                <c:pt idx="33">
                  <c:v>804</c:v>
                </c:pt>
                <c:pt idx="34">
                  <c:v>801</c:v>
                </c:pt>
                <c:pt idx="35">
                  <c:v>798</c:v>
                </c:pt>
                <c:pt idx="36">
                  <c:v>272</c:v>
                </c:pt>
                <c:pt idx="37">
                  <c:v>249</c:v>
                </c:pt>
                <c:pt idx="38">
                  <c:v>244</c:v>
                </c:pt>
                <c:pt idx="39">
                  <c:v>243</c:v>
                </c:pt>
                <c:pt idx="40">
                  <c:v>457</c:v>
                </c:pt>
                <c:pt idx="41">
                  <c:v>446</c:v>
                </c:pt>
                <c:pt idx="42">
                  <c:v>445</c:v>
                </c:pt>
                <c:pt idx="43">
                  <c:v>445</c:v>
                </c:pt>
                <c:pt idx="44">
                  <c:v>781</c:v>
                </c:pt>
                <c:pt idx="45">
                  <c:v>786</c:v>
                </c:pt>
                <c:pt idx="46">
                  <c:v>788</c:v>
                </c:pt>
                <c:pt idx="47">
                  <c:v>792</c:v>
                </c:pt>
                <c:pt idx="48">
                  <c:v>288</c:v>
                </c:pt>
                <c:pt idx="49">
                  <c:v>253</c:v>
                </c:pt>
                <c:pt idx="50">
                  <c:v>249</c:v>
                </c:pt>
                <c:pt idx="51">
                  <c:v>249</c:v>
                </c:pt>
                <c:pt idx="52">
                  <c:v>457</c:v>
                </c:pt>
                <c:pt idx="53">
                  <c:v>442</c:v>
                </c:pt>
                <c:pt idx="54">
                  <c:v>440</c:v>
                </c:pt>
                <c:pt idx="55">
                  <c:v>440</c:v>
                </c:pt>
                <c:pt idx="56">
                  <c:v>791</c:v>
                </c:pt>
                <c:pt idx="57">
                  <c:v>797</c:v>
                </c:pt>
                <c:pt idx="58">
                  <c:v>786</c:v>
                </c:pt>
                <c:pt idx="59">
                  <c:v>788</c:v>
                </c:pt>
                <c:pt idx="60">
                  <c:v>288</c:v>
                </c:pt>
                <c:pt idx="61">
                  <c:v>246</c:v>
                </c:pt>
                <c:pt idx="62">
                  <c:v>242</c:v>
                </c:pt>
                <c:pt idx="63">
                  <c:v>241</c:v>
                </c:pt>
                <c:pt idx="64">
                  <c:v>453</c:v>
                </c:pt>
                <c:pt idx="65">
                  <c:v>440</c:v>
                </c:pt>
                <c:pt idx="66">
                  <c:v>437</c:v>
                </c:pt>
                <c:pt idx="67">
                  <c:v>436</c:v>
                </c:pt>
                <c:pt idx="68">
                  <c:v>768</c:v>
                </c:pt>
                <c:pt idx="69">
                  <c:v>777</c:v>
                </c:pt>
                <c:pt idx="70">
                  <c:v>771</c:v>
                </c:pt>
                <c:pt idx="71">
                  <c:v>773</c:v>
                </c:pt>
                <c:pt idx="72">
                  <c:v>287</c:v>
                </c:pt>
                <c:pt idx="73">
                  <c:v>243</c:v>
                </c:pt>
                <c:pt idx="74">
                  <c:v>241</c:v>
                </c:pt>
                <c:pt idx="75">
                  <c:v>238</c:v>
                </c:pt>
                <c:pt idx="76">
                  <c:v>456</c:v>
                </c:pt>
                <c:pt idx="77">
                  <c:v>442</c:v>
                </c:pt>
                <c:pt idx="78">
                  <c:v>438</c:v>
                </c:pt>
                <c:pt idx="79">
                  <c:v>439</c:v>
                </c:pt>
                <c:pt idx="80">
                  <c:v>786</c:v>
                </c:pt>
                <c:pt idx="81">
                  <c:v>789</c:v>
                </c:pt>
                <c:pt idx="82">
                  <c:v>784</c:v>
                </c:pt>
                <c:pt idx="83">
                  <c:v>793</c:v>
                </c:pt>
                <c:pt idx="84">
                  <c:v>303</c:v>
                </c:pt>
                <c:pt idx="85">
                  <c:v>257</c:v>
                </c:pt>
                <c:pt idx="86">
                  <c:v>253</c:v>
                </c:pt>
                <c:pt idx="87">
                  <c:v>252</c:v>
                </c:pt>
                <c:pt idx="88">
                  <c:v>471</c:v>
                </c:pt>
                <c:pt idx="89">
                  <c:v>461</c:v>
                </c:pt>
                <c:pt idx="90">
                  <c:v>460</c:v>
                </c:pt>
                <c:pt idx="91">
                  <c:v>462</c:v>
                </c:pt>
                <c:pt idx="92">
                  <c:v>783</c:v>
                </c:pt>
                <c:pt idx="93">
                  <c:v>767</c:v>
                </c:pt>
                <c:pt idx="94">
                  <c:v>752</c:v>
                </c:pt>
                <c:pt idx="95">
                  <c:v>778</c:v>
                </c:pt>
              </c:numCache>
            </c:numRef>
          </c:yVal>
        </c:ser>
        <c:axId val="87594880"/>
        <c:axId val="87613440"/>
      </c:scatterChart>
      <c:valAx>
        <c:axId val="87594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hu-HU"/>
                  <a:t>TERHELÉS</a:t>
                </a:r>
                <a:r>
                  <a:rPr lang="hu-HU" baseline="0"/>
                  <a:t> (kN)</a:t>
                </a:r>
                <a:endParaRPr lang="hu-HU"/>
              </a:p>
            </c:rich>
          </c:tx>
          <c:layout/>
        </c:title>
        <c:numFmt formatCode="General" sourceLinked="1"/>
        <c:majorTickMark val="none"/>
        <c:tickLblPos val="nextTo"/>
        <c:crossAx val="87613440"/>
        <c:crosses val="autoZero"/>
        <c:crossBetween val="midCat"/>
      </c:valAx>
      <c:valAx>
        <c:axId val="876134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 baseline="0"/>
                  <a:t>T (mm2)</a:t>
                </a:r>
                <a:endParaRPr lang="hu-HU"/>
              </a:p>
            </c:rich>
          </c:tx>
          <c:layout/>
        </c:title>
        <c:numFmt formatCode="General" sourceLinked="1"/>
        <c:majorTickMark val="none"/>
        <c:tickLblPos val="nextTo"/>
        <c:crossAx val="87594880"/>
        <c:crosses val="autoZero"/>
        <c:crossBetween val="midCat"/>
      </c:valAx>
    </c:plotArea>
    <c:legend>
      <c:legendPos val="r"/>
      <c:layout/>
    </c:legend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wer"/>
          </c:trendline>
          <c:xVal>
            <c:numRef>
              <c:f>'paraméter számoló (4)'!#REF!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'paraméter számoló (4)'!#REF!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</c:ser>
        <c:axId val="88574208"/>
        <c:axId val="88580096"/>
      </c:scatterChart>
      <c:valAx>
        <c:axId val="88574208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8580096"/>
        <c:crosses val="autoZero"/>
        <c:crossBetween val="midCat"/>
      </c:valAx>
      <c:valAx>
        <c:axId val="885800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hu-HU"/>
          </a:p>
        </c:txPr>
        <c:crossAx val="885742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hu-H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hu-HU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xVal>
            <c:numRef>
              <c:f>Munka1!$C$2:$I$2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Munka1!$C$13:$I$13</c:f>
              <c:numCache>
                <c:formatCode>General</c:formatCode>
                <c:ptCount val="7"/>
                <c:pt idx="0">
                  <c:v>1.02</c:v>
                </c:pt>
                <c:pt idx="1">
                  <c:v>0.93</c:v>
                </c:pt>
                <c:pt idx="2">
                  <c:v>0.83699999999999997</c:v>
                </c:pt>
                <c:pt idx="3">
                  <c:v>0.68400000000000005</c:v>
                </c:pt>
                <c:pt idx="4">
                  <c:v>0.54400000000000004</c:v>
                </c:pt>
                <c:pt idx="5">
                  <c:v>0.34399999999999997</c:v>
                </c:pt>
                <c:pt idx="6">
                  <c:v>0.22700000000000001</c:v>
                </c:pt>
              </c:numCache>
            </c:numRef>
          </c:yVal>
        </c:ser>
        <c:ser>
          <c:idx val="1"/>
          <c:order val="1"/>
          <c:xVal>
            <c:numRef>
              <c:f>Munka1!$K$2:$Q$2</c:f>
              <c:numCache>
                <c:formatCode>General</c:formatCode>
                <c:ptCount val="7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450</c:v>
                </c:pt>
                <c:pt idx="4">
                  <c:v>600</c:v>
                </c:pt>
                <c:pt idx="5">
                  <c:v>900</c:v>
                </c:pt>
                <c:pt idx="6">
                  <c:v>1200</c:v>
                </c:pt>
              </c:numCache>
            </c:numRef>
          </c:xVal>
          <c:yVal>
            <c:numRef>
              <c:f>Munka1!$K$3:$Q$3</c:f>
              <c:numCache>
                <c:formatCode>General</c:formatCode>
                <c:ptCount val="7"/>
                <c:pt idx="0">
                  <c:v>1.02</c:v>
                </c:pt>
                <c:pt idx="1">
                  <c:v>0.92914979757085026</c:v>
                </c:pt>
                <c:pt idx="2">
                  <c:v>0.83606557377049184</c:v>
                </c:pt>
                <c:pt idx="3">
                  <c:v>0.68227424749163879</c:v>
                </c:pt>
                <c:pt idx="4">
                  <c:v>0.54255319148936165</c:v>
                </c:pt>
                <c:pt idx="5">
                  <c:v>0.34228187919463088</c:v>
                </c:pt>
                <c:pt idx="6">
                  <c:v>0.22566371681415928</c:v>
                </c:pt>
              </c:numCache>
            </c:numRef>
          </c:yVal>
        </c:ser>
        <c:axId val="63546112"/>
        <c:axId val="60620800"/>
      </c:scatterChart>
      <c:valAx>
        <c:axId val="63546112"/>
        <c:scaling>
          <c:orientation val="minMax"/>
        </c:scaling>
        <c:axPos val="t"/>
        <c:numFmt formatCode="General" sourceLinked="1"/>
        <c:tickLblPos val="nextTo"/>
        <c:crossAx val="60620800"/>
        <c:crosses val="autoZero"/>
        <c:crossBetween val="midCat"/>
      </c:valAx>
      <c:valAx>
        <c:axId val="60620800"/>
        <c:scaling>
          <c:orientation val="maxMin"/>
        </c:scaling>
        <c:axPos val="l"/>
        <c:majorGridlines/>
        <c:numFmt formatCode="General" sourceLinked="1"/>
        <c:tickLblPos val="nextTo"/>
        <c:crossAx val="635461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Munka1!$C$5:$I$5</c:f>
              <c:numCache>
                <c:formatCode>General</c:formatCode>
                <c:ptCount val="7"/>
                <c:pt idx="0">
                  <c:v>0.36499999999999999</c:v>
                </c:pt>
                <c:pt idx="1">
                  <c:v>0.32500000000000001</c:v>
                </c:pt>
                <c:pt idx="2">
                  <c:v>0.28599999999999998</c:v>
                </c:pt>
                <c:pt idx="3">
                  <c:v>0.22600000000000001</c:v>
                </c:pt>
                <c:pt idx="4">
                  <c:v>0.17399999999999999</c:v>
                </c:pt>
                <c:pt idx="5">
                  <c:v>0.105</c:v>
                </c:pt>
                <c:pt idx="6">
                  <c:v>6.8000000000000005E-2</c:v>
                </c:pt>
              </c:numCache>
            </c:numRef>
          </c:xVal>
          <c:yVal>
            <c:numRef>
              <c:f>Munka1!$C$6:$I$6</c:f>
              <c:numCache>
                <c:formatCode>General</c:formatCode>
                <c:ptCount val="7"/>
                <c:pt idx="0">
                  <c:v>0.36299999999999999</c:v>
                </c:pt>
                <c:pt idx="1">
                  <c:v>0.32400000000000001</c:v>
                </c:pt>
                <c:pt idx="2">
                  <c:v>0.28499999999999998</c:v>
                </c:pt>
                <c:pt idx="3">
                  <c:v>0.224</c:v>
                </c:pt>
                <c:pt idx="4">
                  <c:v>0.17299999999999999</c:v>
                </c:pt>
                <c:pt idx="5">
                  <c:v>0.105</c:v>
                </c:pt>
                <c:pt idx="6">
                  <c:v>6.7000000000000004E-2</c:v>
                </c:pt>
              </c:numCache>
            </c:numRef>
          </c:yVal>
        </c:ser>
        <c:axId val="90301184"/>
        <c:axId val="90274432"/>
      </c:scatterChart>
      <c:valAx>
        <c:axId val="90301184"/>
        <c:scaling>
          <c:orientation val="minMax"/>
        </c:scaling>
        <c:axPos val="b"/>
        <c:numFmt formatCode="General" sourceLinked="1"/>
        <c:tickLblPos val="nextTo"/>
        <c:crossAx val="90274432"/>
        <c:crosses val="autoZero"/>
        <c:crossBetween val="midCat"/>
      </c:valAx>
      <c:valAx>
        <c:axId val="90274432"/>
        <c:scaling>
          <c:orientation val="minMax"/>
        </c:scaling>
        <c:axPos val="l"/>
        <c:majorGridlines/>
        <c:numFmt formatCode="General" sourceLinked="1"/>
        <c:tickLblPos val="nextTo"/>
        <c:crossAx val="9030118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4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Diagra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Diagra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Diagra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15</xdr:row>
      <xdr:rowOff>0</xdr:rowOff>
    </xdr:from>
    <xdr:to>
      <xdr:col>28</xdr:col>
      <xdr:colOff>104775</xdr:colOff>
      <xdr:row>15</xdr:row>
      <xdr:rowOff>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15</xdr:row>
      <xdr:rowOff>0</xdr:rowOff>
    </xdr:from>
    <xdr:to>
      <xdr:col>28</xdr:col>
      <xdr:colOff>104775</xdr:colOff>
      <xdr:row>15</xdr:row>
      <xdr:rowOff>0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15151" cy="5623193"/>
    <xdr:graphicFrame macro="">
      <xdr:nvGraphicFramePr>
        <xdr:cNvPr id="2" name="Diagra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104775</xdr:colOff>
      <xdr:row>2</xdr:row>
      <xdr:rowOff>0</xdr:rowOff>
    </xdr:from>
    <xdr:to>
      <xdr:col>27</xdr:col>
      <xdr:colOff>0</xdr:colOff>
      <xdr:row>2</xdr:row>
      <xdr:rowOff>0</xdr:rowOff>
    </xdr:to>
    <xdr:graphicFrame macro="">
      <xdr:nvGraphicFramePr>
        <xdr:cNvPr id="30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19</xdr:row>
      <xdr:rowOff>95250</xdr:rowOff>
    </xdr:from>
    <xdr:to>
      <xdr:col>18</xdr:col>
      <xdr:colOff>361950</xdr:colOff>
      <xdr:row>36</xdr:row>
      <xdr:rowOff>85725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600074</xdr:colOff>
      <xdr:row>8</xdr:row>
      <xdr:rowOff>9525</xdr:rowOff>
    </xdr:from>
    <xdr:to>
      <xdr:col>26</xdr:col>
      <xdr:colOff>590549</xdr:colOff>
      <xdr:row>26</xdr:row>
      <xdr:rowOff>9525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PA&#220;GYEK/SZAK&#201;RTSTRABAG/&#218;Jp&#225;lyaszerk%20MAUT/&#250;j%20id&#337;k%20(m&#225;jus%2018%20ut&#225;n)/okt12/S25A6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PA&#220;GYEK/SZAK&#201;RTSTRABAG/&#218;Jp&#225;lyaszerk%20MAUT/&#250;j%20id&#337;k%20(m&#225;jus%2018%20ut&#225;n)/okt12/S15A6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PA&#220;GYEK/SZAK&#201;RTSTRABAG/6%20-%2011,5%20granit/eredeti%20felm&#233;r&#233;s%20adata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&#201;RETEZ&#336;%20PROGRAMOK/MET/3r&#233;te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PA&#220;GYEK/SZAK&#201;RTSTRABAG/ISPA2/Peth&#337;anyagok/hossz%20szelv&#233;ny/T_6_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jz25"/>
      <sheetName val="S25A60_feld"/>
      <sheetName val="S25A60_ered"/>
    </sheetNames>
    <sheetDataSet>
      <sheetData sheetId="0" refreshError="1"/>
      <sheetData sheetId="1">
        <row r="1">
          <cell r="B1" t="str">
            <v>e1</v>
          </cell>
          <cell r="C1" t="str">
            <v>h1</v>
          </cell>
          <cell r="D1" t="str">
            <v>E2</v>
          </cell>
          <cell r="E1" t="str">
            <v>d0_d300</v>
          </cell>
          <cell r="F1" t="str">
            <v>s300</v>
          </cell>
          <cell r="G1" t="str">
            <v>s1</v>
          </cell>
          <cell r="H1" t="str">
            <v>rtg</v>
          </cell>
          <cell r="I1" t="str">
            <v>z</v>
          </cell>
          <cell r="J1" t="str">
            <v>szigma r</v>
          </cell>
          <cell r="K1" t="str">
            <v>epsz r</v>
          </cell>
          <cell r="L1" t="str">
            <v>rtg</v>
          </cell>
          <cell r="M1" t="str">
            <v>z</v>
          </cell>
          <cell r="N1" t="str">
            <v>szigma z</v>
          </cell>
          <cell r="O1" t="str">
            <v>epsz z</v>
          </cell>
        </row>
        <row r="2">
          <cell r="A2">
            <v>1</v>
          </cell>
          <cell r="B2">
            <v>6000</v>
          </cell>
          <cell r="C2">
            <v>40</v>
          </cell>
          <cell r="D2">
            <v>200</v>
          </cell>
          <cell r="E2">
            <v>0.51060000000000005</v>
          </cell>
          <cell r="F2">
            <v>0.24929999999999999</v>
          </cell>
          <cell r="G2">
            <v>0.75990000000000002</v>
          </cell>
          <cell r="H2">
            <v>1</v>
          </cell>
          <cell r="I2">
            <v>40</v>
          </cell>
          <cell r="J2">
            <v>4.07</v>
          </cell>
          <cell r="K2">
            <v>475</v>
          </cell>
          <cell r="L2">
            <v>2</v>
          </cell>
          <cell r="M2">
            <v>40</v>
          </cell>
          <cell r="N2">
            <v>-0.59399999999999997</v>
          </cell>
          <cell r="O2">
            <v>-832</v>
          </cell>
        </row>
        <row r="3">
          <cell r="A3">
            <v>2</v>
          </cell>
          <cell r="B3">
            <v>6000</v>
          </cell>
          <cell r="C3">
            <v>60</v>
          </cell>
          <cell r="D3">
            <v>200</v>
          </cell>
          <cell r="E3">
            <v>0.35579999999999995</v>
          </cell>
          <cell r="F3">
            <v>0.26540000000000002</v>
          </cell>
          <cell r="G3">
            <v>0.62119999999999997</v>
          </cell>
          <cell r="H3">
            <v>1</v>
          </cell>
          <cell r="I3">
            <v>60</v>
          </cell>
          <cell r="J3">
            <v>3.77</v>
          </cell>
          <cell r="K3">
            <v>433</v>
          </cell>
          <cell r="L3">
            <v>2</v>
          </cell>
          <cell r="M3">
            <v>60</v>
          </cell>
          <cell r="N3">
            <v>-0.41399999999999998</v>
          </cell>
          <cell r="O3">
            <v>-579</v>
          </cell>
        </row>
        <row r="4">
          <cell r="A4">
            <v>3</v>
          </cell>
          <cell r="B4">
            <v>6000</v>
          </cell>
          <cell r="C4">
            <v>80</v>
          </cell>
          <cell r="D4">
            <v>200</v>
          </cell>
          <cell r="E4">
            <v>0.24999999999999994</v>
          </cell>
          <cell r="F4">
            <v>0.26650000000000001</v>
          </cell>
          <cell r="G4">
            <v>0.51649999999999996</v>
          </cell>
          <cell r="H4">
            <v>1</v>
          </cell>
          <cell r="I4">
            <v>80</v>
          </cell>
          <cell r="J4">
            <v>3.15</v>
          </cell>
          <cell r="K4">
            <v>359</v>
          </cell>
          <cell r="L4">
            <v>2</v>
          </cell>
          <cell r="M4">
            <v>80</v>
          </cell>
          <cell r="N4">
            <v>-0.29599999999999999</v>
          </cell>
          <cell r="O4">
            <v>-414</v>
          </cell>
        </row>
        <row r="5">
          <cell r="A5">
            <v>4</v>
          </cell>
          <cell r="B5">
            <v>6000</v>
          </cell>
          <cell r="C5">
            <v>100</v>
          </cell>
          <cell r="D5">
            <v>200</v>
          </cell>
          <cell r="E5">
            <v>0.18220000000000003</v>
          </cell>
          <cell r="F5">
            <v>0.25769999999999998</v>
          </cell>
          <cell r="G5">
            <v>0.43990000000000001</v>
          </cell>
          <cell r="H5">
            <v>1</v>
          </cell>
          <cell r="I5">
            <v>100</v>
          </cell>
          <cell r="J5">
            <v>2.61</v>
          </cell>
          <cell r="K5">
            <v>296</v>
          </cell>
          <cell r="L5">
            <v>2</v>
          </cell>
          <cell r="M5">
            <v>100</v>
          </cell>
          <cell r="N5">
            <v>-0.22</v>
          </cell>
          <cell r="O5">
            <v>-308</v>
          </cell>
        </row>
        <row r="6">
          <cell r="A6">
            <v>5</v>
          </cell>
          <cell r="B6">
            <v>6000</v>
          </cell>
          <cell r="C6">
            <v>120</v>
          </cell>
          <cell r="D6">
            <v>200</v>
          </cell>
          <cell r="E6">
            <v>0.13789999999999999</v>
          </cell>
          <cell r="F6">
            <v>0.24460000000000001</v>
          </cell>
          <cell r="G6">
            <v>0.38250000000000001</v>
          </cell>
          <cell r="H6">
            <v>1</v>
          </cell>
          <cell r="I6">
            <v>120</v>
          </cell>
          <cell r="J6">
            <v>2.1800000000000002</v>
          </cell>
          <cell r="K6">
            <v>246</v>
          </cell>
          <cell r="L6">
            <v>2</v>
          </cell>
          <cell r="M6">
            <v>120</v>
          </cell>
          <cell r="N6">
            <v>-0.17</v>
          </cell>
          <cell r="O6">
            <v>-238</v>
          </cell>
        </row>
        <row r="7">
          <cell r="A7">
            <v>6</v>
          </cell>
          <cell r="B7">
            <v>6000</v>
          </cell>
          <cell r="C7">
            <v>140</v>
          </cell>
          <cell r="D7">
            <v>200</v>
          </cell>
          <cell r="E7">
            <v>0.10830000000000004</v>
          </cell>
          <cell r="F7">
            <v>0.23019999999999999</v>
          </cell>
          <cell r="G7">
            <v>0.33850000000000002</v>
          </cell>
          <cell r="H7">
            <v>1</v>
          </cell>
          <cell r="I7">
            <v>140</v>
          </cell>
          <cell r="J7">
            <v>1.84</v>
          </cell>
          <cell r="K7">
            <v>207</v>
          </cell>
          <cell r="L7">
            <v>2</v>
          </cell>
          <cell r="M7">
            <v>140</v>
          </cell>
          <cell r="N7">
            <v>-0.13500000000000001</v>
          </cell>
          <cell r="O7">
            <v>-189</v>
          </cell>
        </row>
        <row r="8">
          <cell r="A8">
            <v>7</v>
          </cell>
          <cell r="B8">
            <v>6000</v>
          </cell>
          <cell r="C8">
            <v>160</v>
          </cell>
          <cell r="D8">
            <v>200</v>
          </cell>
          <cell r="E8">
            <v>8.7900000000000006E-2</v>
          </cell>
          <cell r="F8">
            <v>0.216</v>
          </cell>
          <cell r="G8">
            <v>0.3039</v>
          </cell>
          <cell r="H8">
            <v>1</v>
          </cell>
          <cell r="I8">
            <v>160</v>
          </cell>
          <cell r="J8">
            <v>1.56</v>
          </cell>
          <cell r="K8">
            <v>176</v>
          </cell>
          <cell r="L8">
            <v>2</v>
          </cell>
          <cell r="M8">
            <v>160</v>
          </cell>
          <cell r="N8">
            <v>-0.11</v>
          </cell>
          <cell r="O8">
            <v>-154</v>
          </cell>
        </row>
        <row r="9">
          <cell r="A9">
            <v>8</v>
          </cell>
          <cell r="B9">
            <v>6000</v>
          </cell>
          <cell r="C9">
            <v>180</v>
          </cell>
          <cell r="D9">
            <v>200</v>
          </cell>
          <cell r="E9">
            <v>7.3300000000000032E-2</v>
          </cell>
          <cell r="F9">
            <v>0.20269999999999999</v>
          </cell>
          <cell r="G9">
            <v>0.27600000000000002</v>
          </cell>
          <cell r="H9">
            <v>1</v>
          </cell>
          <cell r="I9">
            <v>180</v>
          </cell>
          <cell r="J9">
            <v>1.35</v>
          </cell>
          <cell r="K9">
            <v>151</v>
          </cell>
          <cell r="L9">
            <v>2</v>
          </cell>
          <cell r="M9">
            <v>180</v>
          </cell>
          <cell r="N9">
            <v>-9.1399999999999995E-2</v>
          </cell>
          <cell r="O9">
            <v>-128</v>
          </cell>
        </row>
        <row r="10">
          <cell r="A10">
            <v>9</v>
          </cell>
          <cell r="B10">
            <v>6000</v>
          </cell>
          <cell r="C10">
            <v>200</v>
          </cell>
          <cell r="D10">
            <v>200</v>
          </cell>
          <cell r="E10">
            <v>6.2799999999999967E-2</v>
          </cell>
          <cell r="F10">
            <v>0.19040000000000001</v>
          </cell>
          <cell r="G10">
            <v>0.25319999999999998</v>
          </cell>
          <cell r="H10">
            <v>1</v>
          </cell>
          <cell r="I10">
            <v>200</v>
          </cell>
          <cell r="J10">
            <v>1.17</v>
          </cell>
          <cell r="K10">
            <v>131</v>
          </cell>
          <cell r="L10">
            <v>2</v>
          </cell>
          <cell r="M10">
            <v>200</v>
          </cell>
          <cell r="N10">
            <v>-7.6999999999999999E-2</v>
          </cell>
          <cell r="O10">
            <v>-108</v>
          </cell>
        </row>
        <row r="11">
          <cell r="A11">
            <v>10</v>
          </cell>
          <cell r="B11">
            <v>6000</v>
          </cell>
          <cell r="C11">
            <v>220</v>
          </cell>
          <cell r="D11">
            <v>200</v>
          </cell>
          <cell r="E11">
            <v>5.4900000000000004E-2</v>
          </cell>
          <cell r="F11">
            <v>0.1792</v>
          </cell>
          <cell r="G11">
            <v>0.2341</v>
          </cell>
          <cell r="H11">
            <v>1</v>
          </cell>
          <cell r="I11">
            <v>220</v>
          </cell>
          <cell r="J11">
            <v>1.02</v>
          </cell>
          <cell r="K11">
            <v>114</v>
          </cell>
          <cell r="L11">
            <v>2</v>
          </cell>
          <cell r="M11">
            <v>220</v>
          </cell>
          <cell r="N11">
            <v>-6.5699999999999995E-2</v>
          </cell>
          <cell r="O11">
            <v>-92</v>
          </cell>
        </row>
        <row r="12">
          <cell r="A12">
            <v>11</v>
          </cell>
          <cell r="B12">
            <v>6000</v>
          </cell>
          <cell r="C12">
            <v>240</v>
          </cell>
          <cell r="D12">
            <v>200</v>
          </cell>
          <cell r="E12">
            <v>4.8899999999999999E-2</v>
          </cell>
          <cell r="F12">
            <v>0.1691</v>
          </cell>
          <cell r="G12">
            <v>0.218</v>
          </cell>
          <cell r="H12">
            <v>1</v>
          </cell>
          <cell r="I12">
            <v>240</v>
          </cell>
          <cell r="J12">
            <v>0.89600000000000002</v>
          </cell>
          <cell r="K12">
            <v>100</v>
          </cell>
          <cell r="L12">
            <v>2</v>
          </cell>
          <cell r="M12">
            <v>240</v>
          </cell>
          <cell r="N12">
            <v>-5.67E-2</v>
          </cell>
          <cell r="O12">
            <v>-79.400000000000006</v>
          </cell>
        </row>
        <row r="13">
          <cell r="A13">
            <v>12</v>
          </cell>
          <cell r="B13">
            <v>6000</v>
          </cell>
          <cell r="C13">
            <v>260</v>
          </cell>
          <cell r="D13">
            <v>200</v>
          </cell>
          <cell r="E13">
            <v>4.4300000000000006E-2</v>
          </cell>
          <cell r="F13">
            <v>0.15989999999999999</v>
          </cell>
          <cell r="G13">
            <v>0.20419999999999999</v>
          </cell>
          <cell r="H13">
            <v>1</v>
          </cell>
          <cell r="I13">
            <v>260</v>
          </cell>
          <cell r="J13">
            <v>0.79300000000000004</v>
          </cell>
          <cell r="K13">
            <v>88.7</v>
          </cell>
          <cell r="L13">
            <v>2</v>
          </cell>
          <cell r="M13">
            <v>260</v>
          </cell>
          <cell r="N13">
            <v>-4.9399999999999999E-2</v>
          </cell>
          <cell r="O13">
            <v>-69.099999999999994</v>
          </cell>
        </row>
        <row r="14">
          <cell r="A14">
            <v>13</v>
          </cell>
          <cell r="B14">
            <v>6000</v>
          </cell>
          <cell r="C14">
            <v>280</v>
          </cell>
          <cell r="D14">
            <v>200</v>
          </cell>
          <cell r="E14">
            <v>4.0800000000000003E-2</v>
          </cell>
          <cell r="F14">
            <v>0.1515</v>
          </cell>
          <cell r="G14">
            <v>0.1923</v>
          </cell>
          <cell r="H14">
            <v>1</v>
          </cell>
          <cell r="I14">
            <v>280</v>
          </cell>
          <cell r="J14">
            <v>0.70499999999999996</v>
          </cell>
          <cell r="K14">
            <v>78.900000000000006</v>
          </cell>
          <cell r="L14">
            <v>2</v>
          </cell>
          <cell r="M14">
            <v>280</v>
          </cell>
          <cell r="N14">
            <v>-4.3400000000000001E-2</v>
          </cell>
          <cell r="O14">
            <v>-60.7</v>
          </cell>
        </row>
        <row r="15">
          <cell r="A15">
            <v>14</v>
          </cell>
          <cell r="B15">
            <v>6000</v>
          </cell>
          <cell r="C15">
            <v>300</v>
          </cell>
          <cell r="D15">
            <v>200</v>
          </cell>
          <cell r="E15">
            <v>3.7899999999999989E-2</v>
          </cell>
          <cell r="F15">
            <v>0.1439</v>
          </cell>
          <cell r="G15">
            <v>0.18179999999999999</v>
          </cell>
          <cell r="H15">
            <v>1</v>
          </cell>
          <cell r="I15">
            <v>300</v>
          </cell>
          <cell r="J15">
            <v>0.63100000000000001</v>
          </cell>
          <cell r="K15">
            <v>70.599999999999994</v>
          </cell>
          <cell r="L15">
            <v>2</v>
          </cell>
          <cell r="M15">
            <v>300</v>
          </cell>
          <cell r="N15">
            <v>-3.8399999999999997E-2</v>
          </cell>
          <cell r="O15">
            <v>-53.7</v>
          </cell>
        </row>
        <row r="16">
          <cell r="A16">
            <v>15</v>
          </cell>
          <cell r="B16">
            <v>6000</v>
          </cell>
          <cell r="C16">
            <v>40</v>
          </cell>
          <cell r="D16">
            <v>250</v>
          </cell>
          <cell r="E16">
            <v>0.42980000000000007</v>
          </cell>
          <cell r="F16">
            <v>0.1968</v>
          </cell>
          <cell r="G16">
            <v>0.62660000000000005</v>
          </cell>
          <cell r="H16">
            <v>1</v>
          </cell>
          <cell r="I16">
            <v>40</v>
          </cell>
          <cell r="J16">
            <v>3.43</v>
          </cell>
          <cell r="K16">
            <v>408</v>
          </cell>
          <cell r="L16">
            <v>2</v>
          </cell>
          <cell r="M16">
            <v>40</v>
          </cell>
          <cell r="N16">
            <v>-0.624</v>
          </cell>
          <cell r="O16">
            <v>-699</v>
          </cell>
        </row>
        <row r="17">
          <cell r="A17">
            <v>16</v>
          </cell>
          <cell r="B17">
            <v>6000</v>
          </cell>
          <cell r="C17">
            <v>60</v>
          </cell>
          <cell r="D17">
            <v>250</v>
          </cell>
          <cell r="E17">
            <v>0.31030000000000002</v>
          </cell>
          <cell r="F17">
            <v>0.21049999999999999</v>
          </cell>
          <cell r="G17">
            <v>0.52080000000000004</v>
          </cell>
          <cell r="H17">
            <v>1</v>
          </cell>
          <cell r="I17">
            <v>60</v>
          </cell>
          <cell r="J17">
            <v>3.33</v>
          </cell>
          <cell r="K17">
            <v>387</v>
          </cell>
          <cell r="L17">
            <v>2</v>
          </cell>
          <cell r="M17">
            <v>60</v>
          </cell>
          <cell r="N17">
            <v>-0.44800000000000001</v>
          </cell>
          <cell r="O17">
            <v>-502</v>
          </cell>
        </row>
        <row r="18">
          <cell r="A18">
            <v>17</v>
          </cell>
          <cell r="B18">
            <v>6000</v>
          </cell>
          <cell r="C18">
            <v>80</v>
          </cell>
          <cell r="D18">
            <v>250</v>
          </cell>
          <cell r="E18">
            <v>0.2235</v>
          </cell>
          <cell r="F18">
            <v>0.21390000000000001</v>
          </cell>
          <cell r="G18">
            <v>0.43740000000000001</v>
          </cell>
          <cell r="H18">
            <v>1</v>
          </cell>
          <cell r="I18">
            <v>80</v>
          </cell>
          <cell r="J18">
            <v>2.86</v>
          </cell>
          <cell r="K18">
            <v>328</v>
          </cell>
          <cell r="L18">
            <v>2</v>
          </cell>
          <cell r="M18">
            <v>80</v>
          </cell>
          <cell r="N18">
            <v>-0.32600000000000001</v>
          </cell>
          <cell r="O18">
            <v>-365</v>
          </cell>
        </row>
        <row r="19">
          <cell r="A19">
            <v>18</v>
          </cell>
          <cell r="B19">
            <v>6000</v>
          </cell>
          <cell r="C19">
            <v>100</v>
          </cell>
          <cell r="D19">
            <v>250</v>
          </cell>
          <cell r="E19">
            <v>0.1658</v>
          </cell>
          <cell r="F19">
            <v>0.2092</v>
          </cell>
          <cell r="G19">
            <v>0.375</v>
          </cell>
          <cell r="H19">
            <v>1</v>
          </cell>
          <cell r="I19">
            <v>100</v>
          </cell>
          <cell r="J19">
            <v>2.4</v>
          </cell>
          <cell r="K19">
            <v>274</v>
          </cell>
          <cell r="L19">
            <v>2</v>
          </cell>
          <cell r="M19">
            <v>100</v>
          </cell>
          <cell r="N19">
            <v>-0.246</v>
          </cell>
          <cell r="O19">
            <v>-275</v>
          </cell>
        </row>
        <row r="20">
          <cell r="A20">
            <v>19</v>
          </cell>
          <cell r="B20">
            <v>6000</v>
          </cell>
          <cell r="C20">
            <v>120</v>
          </cell>
          <cell r="D20">
            <v>250</v>
          </cell>
          <cell r="E20">
            <v>0.12719999999999998</v>
          </cell>
          <cell r="F20">
            <v>0.20050000000000001</v>
          </cell>
          <cell r="G20">
            <v>0.32769999999999999</v>
          </cell>
          <cell r="H20">
            <v>1</v>
          </cell>
          <cell r="I20">
            <v>120</v>
          </cell>
          <cell r="J20">
            <v>2.02</v>
          </cell>
          <cell r="K20">
            <v>230</v>
          </cell>
          <cell r="L20">
            <v>2</v>
          </cell>
          <cell r="M20">
            <v>120</v>
          </cell>
          <cell r="N20">
            <v>-0.191</v>
          </cell>
          <cell r="O20">
            <v>-214</v>
          </cell>
        </row>
        <row r="21">
          <cell r="A21">
            <v>20</v>
          </cell>
          <cell r="B21">
            <v>6000</v>
          </cell>
          <cell r="C21">
            <v>140</v>
          </cell>
          <cell r="D21">
            <v>250</v>
          </cell>
          <cell r="E21">
            <v>0.10100000000000003</v>
          </cell>
          <cell r="F21">
            <v>0.19009999999999999</v>
          </cell>
          <cell r="G21">
            <v>0.29110000000000003</v>
          </cell>
          <cell r="H21">
            <v>1</v>
          </cell>
          <cell r="I21">
            <v>140</v>
          </cell>
          <cell r="J21">
            <v>1.72</v>
          </cell>
          <cell r="K21">
            <v>195</v>
          </cell>
          <cell r="L21">
            <v>2</v>
          </cell>
          <cell r="M21">
            <v>140</v>
          </cell>
          <cell r="N21">
            <v>-0.153</v>
          </cell>
          <cell r="O21">
            <v>-172</v>
          </cell>
        </row>
        <row r="22">
          <cell r="A22">
            <v>21</v>
          </cell>
          <cell r="B22">
            <v>6000</v>
          </cell>
          <cell r="C22">
            <v>160</v>
          </cell>
          <cell r="D22">
            <v>250</v>
          </cell>
          <cell r="E22">
            <v>8.2699999999999996E-2</v>
          </cell>
          <cell r="F22">
            <v>0.17949999999999999</v>
          </cell>
          <cell r="G22">
            <v>0.26219999999999999</v>
          </cell>
          <cell r="H22">
            <v>1</v>
          </cell>
          <cell r="I22">
            <v>160</v>
          </cell>
          <cell r="J22">
            <v>1.47</v>
          </cell>
          <cell r="K22">
            <v>166</v>
          </cell>
          <cell r="L22">
            <v>2</v>
          </cell>
          <cell r="M22">
            <v>160</v>
          </cell>
          <cell r="N22">
            <v>-0.125</v>
          </cell>
          <cell r="O22">
            <v>-140</v>
          </cell>
        </row>
        <row r="23">
          <cell r="A23">
            <v>22</v>
          </cell>
          <cell r="B23">
            <v>6000</v>
          </cell>
          <cell r="C23">
            <v>180</v>
          </cell>
          <cell r="D23">
            <v>250</v>
          </cell>
          <cell r="E23">
            <v>6.9500000000000006E-2</v>
          </cell>
          <cell r="F23">
            <v>0.16930000000000001</v>
          </cell>
          <cell r="G23">
            <v>0.23880000000000001</v>
          </cell>
          <cell r="H23">
            <v>1</v>
          </cell>
          <cell r="I23">
            <v>180</v>
          </cell>
          <cell r="J23">
            <v>1.27</v>
          </cell>
          <cell r="K23">
            <v>144</v>
          </cell>
          <cell r="L23">
            <v>2</v>
          </cell>
          <cell r="M23">
            <v>180</v>
          </cell>
          <cell r="N23">
            <v>-0.104</v>
          </cell>
          <cell r="O23">
            <v>-117</v>
          </cell>
        </row>
        <row r="24">
          <cell r="A24">
            <v>23</v>
          </cell>
          <cell r="B24">
            <v>6000</v>
          </cell>
          <cell r="C24">
            <v>200</v>
          </cell>
          <cell r="D24">
            <v>250</v>
          </cell>
          <cell r="E24">
            <v>5.9799999999999992E-2</v>
          </cell>
          <cell r="F24">
            <v>0.15970000000000001</v>
          </cell>
          <cell r="G24">
            <v>0.2195</v>
          </cell>
          <cell r="H24">
            <v>1</v>
          </cell>
          <cell r="I24">
            <v>200</v>
          </cell>
          <cell r="J24">
            <v>1.1000000000000001</v>
          </cell>
          <cell r="K24">
            <v>125</v>
          </cell>
          <cell r="L24">
            <v>2</v>
          </cell>
          <cell r="M24">
            <v>200</v>
          </cell>
          <cell r="N24">
            <v>-8.8200000000000001E-2</v>
          </cell>
          <cell r="O24">
            <v>-98.7</v>
          </cell>
        </row>
        <row r="25">
          <cell r="A25">
            <v>24</v>
          </cell>
          <cell r="B25">
            <v>6000</v>
          </cell>
          <cell r="C25">
            <v>220</v>
          </cell>
          <cell r="D25">
            <v>250</v>
          </cell>
          <cell r="E25">
            <v>5.2699999999999997E-2</v>
          </cell>
          <cell r="F25">
            <v>0.15079999999999999</v>
          </cell>
          <cell r="G25">
            <v>0.20349999999999999</v>
          </cell>
          <cell r="H25">
            <v>1</v>
          </cell>
          <cell r="I25">
            <v>220</v>
          </cell>
          <cell r="J25">
            <v>0.96599999999999997</v>
          </cell>
          <cell r="K25">
            <v>109</v>
          </cell>
          <cell r="L25">
            <v>2</v>
          </cell>
          <cell r="M25">
            <v>220</v>
          </cell>
          <cell r="N25">
            <v>-7.5399999999999995E-2</v>
          </cell>
          <cell r="O25">
            <v>-84.4</v>
          </cell>
        </row>
        <row r="26">
          <cell r="A26">
            <v>25</v>
          </cell>
          <cell r="B26">
            <v>6000</v>
          </cell>
          <cell r="C26">
            <v>240</v>
          </cell>
          <cell r="D26">
            <v>250</v>
          </cell>
          <cell r="E26">
            <v>4.720000000000002E-2</v>
          </cell>
          <cell r="F26">
            <v>0.14269999999999999</v>
          </cell>
          <cell r="G26">
            <v>0.18990000000000001</v>
          </cell>
          <cell r="H26">
            <v>1</v>
          </cell>
          <cell r="I26">
            <v>240</v>
          </cell>
          <cell r="J26">
            <v>0.85099999999999998</v>
          </cell>
          <cell r="K26">
            <v>96</v>
          </cell>
          <cell r="L26">
            <v>2</v>
          </cell>
          <cell r="M26">
            <v>240</v>
          </cell>
          <cell r="N26">
            <v>-6.5100000000000005E-2</v>
          </cell>
          <cell r="O26">
            <v>-73</v>
          </cell>
        </row>
        <row r="27">
          <cell r="A27">
            <v>26</v>
          </cell>
          <cell r="B27">
            <v>6000</v>
          </cell>
          <cell r="C27">
            <v>260</v>
          </cell>
          <cell r="D27">
            <v>250</v>
          </cell>
          <cell r="E27">
            <v>4.2899999999999994E-2</v>
          </cell>
          <cell r="F27">
            <v>0.1353</v>
          </cell>
          <cell r="G27">
            <v>0.1782</v>
          </cell>
          <cell r="H27">
            <v>1</v>
          </cell>
          <cell r="I27">
            <v>260</v>
          </cell>
          <cell r="J27">
            <v>0.754</v>
          </cell>
          <cell r="K27">
            <v>85</v>
          </cell>
          <cell r="L27">
            <v>2</v>
          </cell>
          <cell r="M27">
            <v>260</v>
          </cell>
          <cell r="N27">
            <v>-5.6800000000000003E-2</v>
          </cell>
          <cell r="O27">
            <v>-63.6</v>
          </cell>
        </row>
        <row r="28">
          <cell r="A28">
            <v>27</v>
          </cell>
          <cell r="B28">
            <v>6000</v>
          </cell>
          <cell r="C28">
            <v>280</v>
          </cell>
          <cell r="D28">
            <v>250</v>
          </cell>
          <cell r="E28">
            <v>3.9599999999999996E-2</v>
          </cell>
          <cell r="F28">
            <v>0.1285</v>
          </cell>
          <cell r="G28">
            <v>0.1681</v>
          </cell>
          <cell r="H28">
            <v>1</v>
          </cell>
          <cell r="I28">
            <v>280</v>
          </cell>
          <cell r="J28">
            <v>0.67100000000000004</v>
          </cell>
          <cell r="K28">
            <v>75.7</v>
          </cell>
          <cell r="L28">
            <v>2</v>
          </cell>
          <cell r="M28">
            <v>280</v>
          </cell>
          <cell r="N28">
            <v>-0.05</v>
          </cell>
          <cell r="O28">
            <v>-56</v>
          </cell>
        </row>
        <row r="29">
          <cell r="A29">
            <v>28</v>
          </cell>
          <cell r="B29">
            <v>6000</v>
          </cell>
          <cell r="C29">
            <v>300</v>
          </cell>
          <cell r="D29">
            <v>250</v>
          </cell>
          <cell r="E29">
            <v>3.6999999999999991E-2</v>
          </cell>
          <cell r="F29">
            <v>0.12230000000000001</v>
          </cell>
          <cell r="G29">
            <v>0.1593</v>
          </cell>
          <cell r="H29">
            <v>1</v>
          </cell>
          <cell r="I29">
            <v>300</v>
          </cell>
          <cell r="J29">
            <v>0.60099999999999998</v>
          </cell>
          <cell r="K29">
            <v>67.7</v>
          </cell>
          <cell r="L29">
            <v>2</v>
          </cell>
          <cell r="M29">
            <v>300</v>
          </cell>
          <cell r="N29">
            <v>-4.4200000000000003E-2</v>
          </cell>
          <cell r="O29">
            <v>-49.6</v>
          </cell>
        </row>
        <row r="30">
          <cell r="A30">
            <v>29</v>
          </cell>
          <cell r="B30">
            <v>6000</v>
          </cell>
          <cell r="C30">
            <v>40</v>
          </cell>
          <cell r="D30">
            <v>300</v>
          </cell>
          <cell r="E30">
            <v>0.37170000000000003</v>
          </cell>
          <cell r="F30">
            <v>0.1623</v>
          </cell>
          <cell r="G30">
            <v>0.53400000000000003</v>
          </cell>
          <cell r="H30">
            <v>1</v>
          </cell>
          <cell r="I30">
            <v>40</v>
          </cell>
          <cell r="J30">
            <v>2.96</v>
          </cell>
          <cell r="K30">
            <v>358</v>
          </cell>
          <cell r="L30">
            <v>2</v>
          </cell>
          <cell r="M30">
            <v>40</v>
          </cell>
          <cell r="N30">
            <v>-0.64700000000000002</v>
          </cell>
          <cell r="O30">
            <v>-603</v>
          </cell>
        </row>
        <row r="31">
          <cell r="A31">
            <v>30</v>
          </cell>
          <cell r="B31">
            <v>6000</v>
          </cell>
          <cell r="C31">
            <v>60</v>
          </cell>
          <cell r="D31">
            <v>300</v>
          </cell>
          <cell r="E31">
            <v>0.2762</v>
          </cell>
          <cell r="F31">
            <v>0.1739</v>
          </cell>
          <cell r="G31">
            <v>0.4501</v>
          </cell>
          <cell r="H31">
            <v>1</v>
          </cell>
          <cell r="I31">
            <v>60</v>
          </cell>
          <cell r="J31">
            <v>2.99</v>
          </cell>
          <cell r="K31">
            <v>352</v>
          </cell>
          <cell r="L31">
            <v>2</v>
          </cell>
          <cell r="M31">
            <v>60</v>
          </cell>
          <cell r="N31">
            <v>-0.47699999999999998</v>
          </cell>
          <cell r="O31">
            <v>-445</v>
          </cell>
        </row>
        <row r="32">
          <cell r="A32">
            <v>31</v>
          </cell>
          <cell r="B32">
            <v>6000</v>
          </cell>
          <cell r="C32">
            <v>80</v>
          </cell>
          <cell r="D32">
            <v>300</v>
          </cell>
          <cell r="E32">
            <v>0.20309999999999997</v>
          </cell>
          <cell r="F32">
            <v>0.1782</v>
          </cell>
          <cell r="G32">
            <v>0.38129999999999997</v>
          </cell>
          <cell r="H32">
            <v>1</v>
          </cell>
          <cell r="I32">
            <v>80</v>
          </cell>
          <cell r="J32">
            <v>2.62</v>
          </cell>
          <cell r="K32">
            <v>304</v>
          </cell>
          <cell r="L32">
            <v>2</v>
          </cell>
          <cell r="M32">
            <v>80</v>
          </cell>
          <cell r="N32">
            <v>-0.35199999999999998</v>
          </cell>
          <cell r="O32">
            <v>-329</v>
          </cell>
        </row>
        <row r="33">
          <cell r="A33">
            <v>32</v>
          </cell>
          <cell r="B33">
            <v>6000</v>
          </cell>
          <cell r="C33">
            <v>100</v>
          </cell>
          <cell r="D33">
            <v>300</v>
          </cell>
          <cell r="E33">
            <v>0.15289999999999998</v>
          </cell>
          <cell r="F33">
            <v>0.1759</v>
          </cell>
          <cell r="G33">
            <v>0.32879999999999998</v>
          </cell>
          <cell r="H33">
            <v>1</v>
          </cell>
          <cell r="I33">
            <v>100</v>
          </cell>
          <cell r="J33">
            <v>2.23</v>
          </cell>
          <cell r="K33">
            <v>257</v>
          </cell>
          <cell r="L33">
            <v>2</v>
          </cell>
          <cell r="M33">
            <v>100</v>
          </cell>
          <cell r="N33">
            <v>-0.26800000000000002</v>
          </cell>
          <cell r="O33">
            <v>-250</v>
          </cell>
        </row>
        <row r="34">
          <cell r="A34">
            <v>33</v>
          </cell>
          <cell r="B34">
            <v>6000</v>
          </cell>
          <cell r="C34">
            <v>120</v>
          </cell>
          <cell r="D34">
            <v>300</v>
          </cell>
          <cell r="E34">
            <v>0.11870000000000003</v>
          </cell>
          <cell r="F34">
            <v>0.1699</v>
          </cell>
          <cell r="G34">
            <v>0.28860000000000002</v>
          </cell>
          <cell r="H34">
            <v>1</v>
          </cell>
          <cell r="I34">
            <v>120</v>
          </cell>
          <cell r="J34">
            <v>1.89</v>
          </cell>
          <cell r="K34">
            <v>217</v>
          </cell>
          <cell r="L34">
            <v>2</v>
          </cell>
          <cell r="M34">
            <v>120</v>
          </cell>
          <cell r="N34">
            <v>-0.21</v>
          </cell>
          <cell r="O34">
            <v>-196</v>
          </cell>
        </row>
        <row r="35">
          <cell r="A35">
            <v>34</v>
          </cell>
          <cell r="B35">
            <v>6000</v>
          </cell>
          <cell r="C35">
            <v>140</v>
          </cell>
          <cell r="D35">
            <v>300</v>
          </cell>
          <cell r="E35">
            <v>9.5099999999999962E-2</v>
          </cell>
          <cell r="F35">
            <v>0.16220000000000001</v>
          </cell>
          <cell r="G35">
            <v>0.25729999999999997</v>
          </cell>
          <cell r="H35">
            <v>1</v>
          </cell>
          <cell r="I35">
            <v>140</v>
          </cell>
          <cell r="J35">
            <v>1.62</v>
          </cell>
          <cell r="K35">
            <v>185</v>
          </cell>
          <cell r="L35">
            <v>2</v>
          </cell>
          <cell r="M35">
            <v>140</v>
          </cell>
          <cell r="N35">
            <v>-0.16900000000000001</v>
          </cell>
          <cell r="O35">
            <v>-158</v>
          </cell>
        </row>
        <row r="36">
          <cell r="A36">
            <v>35</v>
          </cell>
          <cell r="B36">
            <v>6000</v>
          </cell>
          <cell r="C36">
            <v>160</v>
          </cell>
          <cell r="D36">
            <v>300</v>
          </cell>
          <cell r="E36">
            <v>7.8399999999999997E-2</v>
          </cell>
          <cell r="F36">
            <v>0.154</v>
          </cell>
          <cell r="G36">
            <v>0.2324</v>
          </cell>
          <cell r="H36">
            <v>1</v>
          </cell>
          <cell r="I36">
            <v>160</v>
          </cell>
          <cell r="J36">
            <v>1.39</v>
          </cell>
          <cell r="K36">
            <v>159</v>
          </cell>
          <cell r="L36">
            <v>2</v>
          </cell>
          <cell r="M36">
            <v>160</v>
          </cell>
          <cell r="N36">
            <v>-0.13900000000000001</v>
          </cell>
          <cell r="O36">
            <v>-130</v>
          </cell>
        </row>
        <row r="37">
          <cell r="A37">
            <v>36</v>
          </cell>
          <cell r="B37">
            <v>6000</v>
          </cell>
          <cell r="C37">
            <v>180</v>
          </cell>
          <cell r="D37">
            <v>300</v>
          </cell>
          <cell r="E37">
            <v>6.6399999999999987E-2</v>
          </cell>
          <cell r="F37">
            <v>0.14580000000000001</v>
          </cell>
          <cell r="G37">
            <v>0.2122</v>
          </cell>
          <cell r="H37">
            <v>1</v>
          </cell>
          <cell r="I37">
            <v>180</v>
          </cell>
          <cell r="J37">
            <v>1.21</v>
          </cell>
          <cell r="K37">
            <v>137</v>
          </cell>
          <cell r="L37">
            <v>2</v>
          </cell>
          <cell r="M37">
            <v>180</v>
          </cell>
          <cell r="N37">
            <v>-0.11600000000000001</v>
          </cell>
          <cell r="O37">
            <v>-108</v>
          </cell>
        </row>
        <row r="38">
          <cell r="A38">
            <v>37</v>
          </cell>
          <cell r="B38">
            <v>6000</v>
          </cell>
          <cell r="C38">
            <v>200</v>
          </cell>
          <cell r="D38">
            <v>300</v>
          </cell>
          <cell r="E38">
            <v>5.7499999999999996E-2</v>
          </cell>
          <cell r="F38">
            <v>0.13800000000000001</v>
          </cell>
          <cell r="G38">
            <v>0.19550000000000001</v>
          </cell>
          <cell r="H38">
            <v>1</v>
          </cell>
          <cell r="I38">
            <v>200</v>
          </cell>
          <cell r="J38">
            <v>1.05</v>
          </cell>
          <cell r="K38">
            <v>120</v>
          </cell>
          <cell r="L38">
            <v>2</v>
          </cell>
          <cell r="M38">
            <v>200</v>
          </cell>
          <cell r="N38">
            <v>-9.8299999999999998E-2</v>
          </cell>
          <cell r="O38">
            <v>-91.7</v>
          </cell>
        </row>
        <row r="39">
          <cell r="A39">
            <v>38</v>
          </cell>
          <cell r="B39">
            <v>6000</v>
          </cell>
          <cell r="C39">
            <v>220</v>
          </cell>
          <cell r="D39">
            <v>300</v>
          </cell>
          <cell r="E39">
            <v>5.0800000000000012E-2</v>
          </cell>
          <cell r="F39">
            <v>0.1308</v>
          </cell>
          <cell r="G39">
            <v>0.18160000000000001</v>
          </cell>
          <cell r="H39">
            <v>1</v>
          </cell>
          <cell r="I39">
            <v>220</v>
          </cell>
          <cell r="J39">
            <v>0.92200000000000004</v>
          </cell>
          <cell r="K39">
            <v>105</v>
          </cell>
          <cell r="L39">
            <v>2</v>
          </cell>
          <cell r="M39">
            <v>220</v>
          </cell>
          <cell r="N39">
            <v>-8.4199999999999997E-2</v>
          </cell>
          <cell r="O39">
            <v>-78.599999999999994</v>
          </cell>
        </row>
        <row r="40">
          <cell r="A40">
            <v>39</v>
          </cell>
          <cell r="B40">
            <v>6000</v>
          </cell>
          <cell r="C40">
            <v>240</v>
          </cell>
          <cell r="D40">
            <v>300</v>
          </cell>
          <cell r="E40">
            <v>4.5699999999999991E-2</v>
          </cell>
          <cell r="F40">
            <v>0.124</v>
          </cell>
          <cell r="G40">
            <v>0.16969999999999999</v>
          </cell>
          <cell r="H40">
            <v>1</v>
          </cell>
          <cell r="I40">
            <v>240</v>
          </cell>
          <cell r="J40">
            <v>0.81399999999999995</v>
          </cell>
          <cell r="K40">
            <v>92.4</v>
          </cell>
          <cell r="L40">
            <v>2</v>
          </cell>
          <cell r="M40">
            <v>240</v>
          </cell>
          <cell r="N40">
            <v>-7.2900000000000006E-2</v>
          </cell>
          <cell r="O40">
            <v>-68</v>
          </cell>
        </row>
        <row r="41">
          <cell r="A41">
            <v>40</v>
          </cell>
          <cell r="B41">
            <v>6000</v>
          </cell>
          <cell r="C41">
            <v>260</v>
          </cell>
          <cell r="D41">
            <v>300</v>
          </cell>
          <cell r="E41">
            <v>4.179999999999999E-2</v>
          </cell>
          <cell r="F41">
            <v>0.1178</v>
          </cell>
          <cell r="G41">
            <v>0.15959999999999999</v>
          </cell>
          <cell r="H41">
            <v>1</v>
          </cell>
          <cell r="I41">
            <v>260</v>
          </cell>
          <cell r="J41">
            <v>0.72199999999999998</v>
          </cell>
          <cell r="K41">
            <v>81.900000000000006</v>
          </cell>
          <cell r="L41">
            <v>2</v>
          </cell>
          <cell r="M41">
            <v>260</v>
          </cell>
          <cell r="N41">
            <v>-6.3600000000000004E-2</v>
          </cell>
          <cell r="O41">
            <v>-59.4</v>
          </cell>
        </row>
        <row r="42">
          <cell r="A42">
            <v>41</v>
          </cell>
          <cell r="B42">
            <v>6000</v>
          </cell>
          <cell r="C42">
            <v>280</v>
          </cell>
          <cell r="D42">
            <v>300</v>
          </cell>
          <cell r="E42">
            <v>3.8599999999999995E-2</v>
          </cell>
          <cell r="F42">
            <v>0.11219999999999999</v>
          </cell>
          <cell r="G42">
            <v>0.15079999999999999</v>
          </cell>
          <cell r="H42">
            <v>1</v>
          </cell>
          <cell r="I42">
            <v>280</v>
          </cell>
          <cell r="J42">
            <v>0.64400000000000002</v>
          </cell>
          <cell r="K42">
            <v>73</v>
          </cell>
          <cell r="L42">
            <v>2</v>
          </cell>
          <cell r="M42">
            <v>280</v>
          </cell>
          <cell r="N42">
            <v>-5.6000000000000001E-2</v>
          </cell>
          <cell r="O42">
            <v>-52.3</v>
          </cell>
        </row>
        <row r="43">
          <cell r="A43">
            <v>42</v>
          </cell>
          <cell r="B43">
            <v>6000</v>
          </cell>
          <cell r="C43">
            <v>300</v>
          </cell>
          <cell r="D43">
            <v>300</v>
          </cell>
          <cell r="E43">
            <v>3.620000000000001E-2</v>
          </cell>
          <cell r="F43">
            <v>0.1069</v>
          </cell>
          <cell r="G43">
            <v>0.1431</v>
          </cell>
          <cell r="H43">
            <v>1</v>
          </cell>
          <cell r="I43">
            <v>300</v>
          </cell>
          <cell r="J43">
            <v>0.57699999999999996</v>
          </cell>
          <cell r="K43">
            <v>65.400000000000006</v>
          </cell>
          <cell r="L43">
            <v>2</v>
          </cell>
          <cell r="M43">
            <v>300</v>
          </cell>
          <cell r="N43">
            <v>-4.9599999999999998E-2</v>
          </cell>
          <cell r="O43">
            <v>-46.3</v>
          </cell>
        </row>
        <row r="44">
          <cell r="A44">
            <v>43</v>
          </cell>
          <cell r="B44">
            <v>6000</v>
          </cell>
          <cell r="C44">
            <v>40</v>
          </cell>
          <cell r="D44">
            <v>350</v>
          </cell>
          <cell r="E44">
            <v>0.32779999999999998</v>
          </cell>
          <cell r="F44">
            <v>0.13800000000000001</v>
          </cell>
          <cell r="G44">
            <v>0.46579999999999999</v>
          </cell>
          <cell r="H44">
            <v>1</v>
          </cell>
          <cell r="I44">
            <v>40</v>
          </cell>
          <cell r="J44">
            <v>2.59</v>
          </cell>
          <cell r="K44">
            <v>319</v>
          </cell>
          <cell r="L44">
            <v>2</v>
          </cell>
          <cell r="M44">
            <v>40</v>
          </cell>
          <cell r="N44">
            <v>-0.66400000000000003</v>
          </cell>
          <cell r="O44">
            <v>-531</v>
          </cell>
        </row>
        <row r="45">
          <cell r="A45">
            <v>44</v>
          </cell>
          <cell r="B45">
            <v>6000</v>
          </cell>
          <cell r="C45">
            <v>60</v>
          </cell>
          <cell r="D45">
            <v>350</v>
          </cell>
          <cell r="E45">
            <v>0.24949999999999997</v>
          </cell>
          <cell r="F45">
            <v>0.1479</v>
          </cell>
          <cell r="G45">
            <v>0.39739999999999998</v>
          </cell>
          <cell r="H45">
            <v>1</v>
          </cell>
          <cell r="I45">
            <v>60</v>
          </cell>
          <cell r="J45">
            <v>2.72</v>
          </cell>
          <cell r="K45">
            <v>324</v>
          </cell>
          <cell r="L45">
            <v>2</v>
          </cell>
          <cell r="M45">
            <v>60</v>
          </cell>
          <cell r="N45">
            <v>-0.501</v>
          </cell>
          <cell r="O45">
            <v>-401</v>
          </cell>
        </row>
        <row r="46">
          <cell r="A46">
            <v>45</v>
          </cell>
          <cell r="B46">
            <v>6000</v>
          </cell>
          <cell r="C46">
            <v>80</v>
          </cell>
          <cell r="D46">
            <v>350</v>
          </cell>
          <cell r="E46">
            <v>0.18679999999999999</v>
          </cell>
          <cell r="F46">
            <v>0.1525</v>
          </cell>
          <cell r="G46">
            <v>0.33929999999999999</v>
          </cell>
          <cell r="H46">
            <v>1</v>
          </cell>
          <cell r="I46">
            <v>80</v>
          </cell>
          <cell r="J46">
            <v>2.4300000000000002</v>
          </cell>
          <cell r="K46">
            <v>285</v>
          </cell>
          <cell r="L46">
            <v>2</v>
          </cell>
          <cell r="M46">
            <v>80</v>
          </cell>
          <cell r="N46">
            <v>-0.375</v>
          </cell>
          <cell r="O46">
            <v>-300</v>
          </cell>
        </row>
        <row r="47">
          <cell r="A47">
            <v>46</v>
          </cell>
          <cell r="B47">
            <v>6000</v>
          </cell>
          <cell r="C47">
            <v>100</v>
          </cell>
          <cell r="D47">
            <v>350</v>
          </cell>
          <cell r="E47">
            <v>0.14239999999999997</v>
          </cell>
          <cell r="F47">
            <v>0.1517</v>
          </cell>
          <cell r="G47">
            <v>0.29409999999999997</v>
          </cell>
          <cell r="H47">
            <v>1</v>
          </cell>
          <cell r="I47">
            <v>100</v>
          </cell>
          <cell r="J47">
            <v>2.09</v>
          </cell>
          <cell r="K47">
            <v>243</v>
          </cell>
          <cell r="L47">
            <v>2</v>
          </cell>
          <cell r="M47">
            <v>100</v>
          </cell>
          <cell r="N47">
            <v>-0.28799999999999998</v>
          </cell>
          <cell r="O47">
            <v>-230</v>
          </cell>
        </row>
        <row r="48">
          <cell r="A48">
            <v>47</v>
          </cell>
          <cell r="B48">
            <v>6000</v>
          </cell>
          <cell r="C48">
            <v>120</v>
          </cell>
          <cell r="D48">
            <v>350</v>
          </cell>
          <cell r="E48">
            <v>0.11179999999999998</v>
          </cell>
          <cell r="F48">
            <v>0.1474</v>
          </cell>
          <cell r="G48">
            <v>0.25919999999999999</v>
          </cell>
          <cell r="H48">
            <v>1</v>
          </cell>
          <cell r="I48">
            <v>120</v>
          </cell>
          <cell r="J48">
            <v>1.79</v>
          </cell>
          <cell r="K48">
            <v>207</v>
          </cell>
          <cell r="L48">
            <v>2</v>
          </cell>
          <cell r="M48">
            <v>120</v>
          </cell>
          <cell r="N48">
            <v>-0.22700000000000001</v>
          </cell>
          <cell r="O48">
            <v>-182</v>
          </cell>
        </row>
        <row r="49">
          <cell r="A49">
            <v>48</v>
          </cell>
          <cell r="B49">
            <v>6000</v>
          </cell>
          <cell r="C49">
            <v>140</v>
          </cell>
          <cell r="D49">
            <v>350</v>
          </cell>
          <cell r="E49">
            <v>9.0300000000000019E-2</v>
          </cell>
          <cell r="F49">
            <v>0.14149999999999999</v>
          </cell>
          <cell r="G49">
            <v>0.23180000000000001</v>
          </cell>
          <cell r="H49">
            <v>1</v>
          </cell>
          <cell r="I49">
            <v>140</v>
          </cell>
          <cell r="J49">
            <v>1.54</v>
          </cell>
          <cell r="K49">
            <v>177</v>
          </cell>
          <cell r="L49">
            <v>2</v>
          </cell>
          <cell r="M49">
            <v>140</v>
          </cell>
          <cell r="N49">
            <v>-0.184</v>
          </cell>
          <cell r="O49">
            <v>-147</v>
          </cell>
        </row>
        <row r="50">
          <cell r="A50">
            <v>49</v>
          </cell>
          <cell r="B50">
            <v>6000</v>
          </cell>
          <cell r="C50">
            <v>160</v>
          </cell>
          <cell r="D50">
            <v>350</v>
          </cell>
          <cell r="E50">
            <v>7.5000000000000011E-2</v>
          </cell>
          <cell r="F50">
            <v>0.13489999999999999</v>
          </cell>
          <cell r="G50">
            <v>0.2099</v>
          </cell>
          <cell r="H50">
            <v>1</v>
          </cell>
          <cell r="I50">
            <v>160</v>
          </cell>
          <cell r="J50">
            <v>1.33</v>
          </cell>
          <cell r="K50">
            <v>153</v>
          </cell>
          <cell r="L50">
            <v>2</v>
          </cell>
          <cell r="M50">
            <v>160</v>
          </cell>
          <cell r="N50">
            <v>-0.151</v>
          </cell>
          <cell r="O50">
            <v>-121</v>
          </cell>
        </row>
        <row r="51">
          <cell r="A51">
            <v>50</v>
          </cell>
          <cell r="B51">
            <v>6000</v>
          </cell>
          <cell r="C51">
            <v>180</v>
          </cell>
          <cell r="D51">
            <v>350</v>
          </cell>
          <cell r="E51">
            <v>6.3799999999999996E-2</v>
          </cell>
          <cell r="F51">
            <v>0.1283</v>
          </cell>
          <cell r="G51">
            <v>0.19209999999999999</v>
          </cell>
          <cell r="H51">
            <v>1</v>
          </cell>
          <cell r="I51">
            <v>180</v>
          </cell>
          <cell r="J51">
            <v>1.1499999999999999</v>
          </cell>
          <cell r="K51">
            <v>132</v>
          </cell>
          <cell r="L51">
            <v>2</v>
          </cell>
          <cell r="M51">
            <v>180</v>
          </cell>
          <cell r="N51">
            <v>-0.127</v>
          </cell>
          <cell r="O51">
            <v>-101</v>
          </cell>
        </row>
        <row r="52">
          <cell r="A52">
            <v>51</v>
          </cell>
          <cell r="B52">
            <v>6000</v>
          </cell>
          <cell r="C52">
            <v>200</v>
          </cell>
          <cell r="D52">
            <v>350</v>
          </cell>
          <cell r="E52">
            <v>5.5500000000000008E-2</v>
          </cell>
          <cell r="F52">
            <v>0.12180000000000001</v>
          </cell>
          <cell r="G52">
            <v>0.17730000000000001</v>
          </cell>
          <cell r="H52">
            <v>1</v>
          </cell>
          <cell r="I52">
            <v>200</v>
          </cell>
          <cell r="J52">
            <v>1.01</v>
          </cell>
          <cell r="K52">
            <v>115</v>
          </cell>
          <cell r="L52">
            <v>2</v>
          </cell>
          <cell r="M52">
            <v>200</v>
          </cell>
          <cell r="N52">
            <v>-0.108</v>
          </cell>
          <cell r="O52">
            <v>-86.1</v>
          </cell>
        </row>
        <row r="53">
          <cell r="A53">
            <v>52</v>
          </cell>
          <cell r="B53">
            <v>6000</v>
          </cell>
          <cell r="C53">
            <v>220</v>
          </cell>
          <cell r="D53">
            <v>350</v>
          </cell>
          <cell r="E53">
            <v>4.930000000000001E-2</v>
          </cell>
          <cell r="F53">
            <v>0.1157</v>
          </cell>
          <cell r="G53">
            <v>0.16500000000000001</v>
          </cell>
          <cell r="H53">
            <v>1</v>
          </cell>
          <cell r="I53">
            <v>220</v>
          </cell>
          <cell r="J53">
            <v>0.88500000000000001</v>
          </cell>
          <cell r="K53">
            <v>101</v>
          </cell>
          <cell r="L53">
            <v>2</v>
          </cell>
          <cell r="M53">
            <v>220</v>
          </cell>
          <cell r="N53">
            <v>-9.2299999999999993E-2</v>
          </cell>
          <cell r="O53">
            <v>-73.900000000000006</v>
          </cell>
        </row>
        <row r="54">
          <cell r="A54">
            <v>53</v>
          </cell>
          <cell r="B54">
            <v>6000</v>
          </cell>
          <cell r="C54">
            <v>240</v>
          </cell>
          <cell r="D54">
            <v>350</v>
          </cell>
          <cell r="E54">
            <v>4.4499999999999998E-2</v>
          </cell>
          <cell r="F54">
            <v>0.11</v>
          </cell>
          <cell r="G54">
            <v>0.1545</v>
          </cell>
          <cell r="H54">
            <v>1</v>
          </cell>
          <cell r="I54">
            <v>240</v>
          </cell>
          <cell r="J54">
            <v>0.78200000000000003</v>
          </cell>
          <cell r="K54">
            <v>89.4</v>
          </cell>
          <cell r="L54">
            <v>2</v>
          </cell>
          <cell r="M54">
            <v>240</v>
          </cell>
          <cell r="N54">
            <v>-0.08</v>
          </cell>
          <cell r="O54">
            <v>-64</v>
          </cell>
        </row>
        <row r="55">
          <cell r="A55">
            <v>54</v>
          </cell>
          <cell r="B55">
            <v>6000</v>
          </cell>
          <cell r="C55">
            <v>260</v>
          </cell>
          <cell r="D55">
            <v>350</v>
          </cell>
          <cell r="E55">
            <v>4.0799999999999989E-2</v>
          </cell>
          <cell r="F55">
            <v>0.1047</v>
          </cell>
          <cell r="G55">
            <v>0.14549999999999999</v>
          </cell>
          <cell r="H55">
            <v>1</v>
          </cell>
          <cell r="I55">
            <v>260</v>
          </cell>
          <cell r="J55">
            <v>0.69499999999999995</v>
          </cell>
          <cell r="K55">
            <v>79.3</v>
          </cell>
          <cell r="L55">
            <v>2</v>
          </cell>
          <cell r="M55">
            <v>260</v>
          </cell>
          <cell r="N55">
            <v>-7.0000000000000007E-2</v>
          </cell>
          <cell r="O55">
            <v>-56</v>
          </cell>
        </row>
        <row r="56">
          <cell r="A56">
            <v>55</v>
          </cell>
          <cell r="B56">
            <v>6000</v>
          </cell>
          <cell r="C56">
            <v>280</v>
          </cell>
          <cell r="D56">
            <v>350</v>
          </cell>
          <cell r="E56">
            <v>3.7829999999999989E-2</v>
          </cell>
          <cell r="F56">
            <v>9.987E-2</v>
          </cell>
          <cell r="G56">
            <v>0.13769999999999999</v>
          </cell>
          <cell r="H56">
            <v>1</v>
          </cell>
          <cell r="I56">
            <v>280</v>
          </cell>
          <cell r="J56">
            <v>0.62</v>
          </cell>
          <cell r="K56">
            <v>70.7</v>
          </cell>
          <cell r="L56">
            <v>2</v>
          </cell>
          <cell r="M56">
            <v>280</v>
          </cell>
          <cell r="N56">
            <v>-6.1600000000000002E-2</v>
          </cell>
          <cell r="O56">
            <v>-49.3</v>
          </cell>
        </row>
        <row r="57">
          <cell r="A57">
            <v>56</v>
          </cell>
          <cell r="B57">
            <v>6000</v>
          </cell>
          <cell r="C57">
            <v>300</v>
          </cell>
          <cell r="D57">
            <v>350</v>
          </cell>
          <cell r="E57">
            <v>3.5519999999999982E-2</v>
          </cell>
          <cell r="F57">
            <v>9.5380000000000006E-2</v>
          </cell>
          <cell r="G57">
            <v>0.13089999999999999</v>
          </cell>
          <cell r="H57">
            <v>1</v>
          </cell>
          <cell r="I57">
            <v>300</v>
          </cell>
          <cell r="J57">
            <v>0.55600000000000005</v>
          </cell>
          <cell r="K57">
            <v>63.4</v>
          </cell>
          <cell r="L57">
            <v>2</v>
          </cell>
          <cell r="M57">
            <v>300</v>
          </cell>
          <cell r="N57">
            <v>-5.4699999999999999E-2</v>
          </cell>
          <cell r="O57">
            <v>-43.7</v>
          </cell>
        </row>
        <row r="58">
          <cell r="A58">
            <v>57</v>
          </cell>
          <cell r="B58">
            <v>6000</v>
          </cell>
          <cell r="C58">
            <v>40</v>
          </cell>
          <cell r="D58">
            <v>400</v>
          </cell>
          <cell r="E58">
            <v>0.29339999999999999</v>
          </cell>
          <cell r="F58">
            <v>0.12</v>
          </cell>
          <cell r="G58">
            <v>0.41339999999999999</v>
          </cell>
          <cell r="H58">
            <v>1</v>
          </cell>
          <cell r="I58">
            <v>40</v>
          </cell>
          <cell r="J58">
            <v>2.2999999999999998</v>
          </cell>
          <cell r="K58">
            <v>289</v>
          </cell>
          <cell r="L58">
            <v>2</v>
          </cell>
          <cell r="M58">
            <v>40</v>
          </cell>
          <cell r="N58">
            <v>-0.67800000000000005</v>
          </cell>
          <cell r="O58">
            <v>-474</v>
          </cell>
        </row>
        <row r="59">
          <cell r="A59">
            <v>58</v>
          </cell>
          <cell r="B59">
            <v>6000</v>
          </cell>
          <cell r="C59">
            <v>60</v>
          </cell>
          <cell r="D59">
            <v>400</v>
          </cell>
          <cell r="E59">
            <v>0.22800000000000001</v>
          </cell>
          <cell r="F59">
            <v>0.12839999999999999</v>
          </cell>
          <cell r="G59">
            <v>0.35639999999999999</v>
          </cell>
          <cell r="H59">
            <v>1</v>
          </cell>
          <cell r="I59">
            <v>60</v>
          </cell>
          <cell r="J59">
            <v>2.5</v>
          </cell>
          <cell r="K59">
            <v>301</v>
          </cell>
          <cell r="L59">
            <v>2</v>
          </cell>
          <cell r="M59">
            <v>60</v>
          </cell>
          <cell r="N59">
            <v>-0.52100000000000002</v>
          </cell>
          <cell r="O59">
            <v>-365</v>
          </cell>
        </row>
        <row r="60">
          <cell r="A60">
            <v>59</v>
          </cell>
          <cell r="B60">
            <v>6000</v>
          </cell>
          <cell r="C60">
            <v>80</v>
          </cell>
          <cell r="D60">
            <v>400</v>
          </cell>
          <cell r="E60">
            <v>0.17330000000000001</v>
          </cell>
          <cell r="F60">
            <v>0.1331</v>
          </cell>
          <cell r="G60">
            <v>0.30640000000000001</v>
          </cell>
          <cell r="H60">
            <v>1</v>
          </cell>
          <cell r="I60">
            <v>80</v>
          </cell>
          <cell r="J60">
            <v>2.2599999999999998</v>
          </cell>
          <cell r="K60">
            <v>268</v>
          </cell>
          <cell r="L60">
            <v>2</v>
          </cell>
          <cell r="M60">
            <v>80</v>
          </cell>
          <cell r="N60">
            <v>-0.39500000000000002</v>
          </cell>
          <cell r="O60">
            <v>-277</v>
          </cell>
        </row>
        <row r="61">
          <cell r="A61">
            <v>60</v>
          </cell>
          <cell r="B61">
            <v>6000</v>
          </cell>
          <cell r="C61">
            <v>100</v>
          </cell>
          <cell r="D61">
            <v>400</v>
          </cell>
          <cell r="E61">
            <v>0.13370000000000001</v>
          </cell>
          <cell r="F61">
            <v>0.13320000000000001</v>
          </cell>
          <cell r="G61">
            <v>0.26690000000000003</v>
          </cell>
          <cell r="H61">
            <v>1</v>
          </cell>
          <cell r="I61">
            <v>100</v>
          </cell>
          <cell r="J61">
            <v>1.97</v>
          </cell>
          <cell r="K61">
            <v>231</v>
          </cell>
          <cell r="L61">
            <v>2</v>
          </cell>
          <cell r="M61">
            <v>100</v>
          </cell>
          <cell r="N61">
            <v>-0.30599999999999999</v>
          </cell>
          <cell r="O61">
            <v>-214</v>
          </cell>
        </row>
        <row r="62">
          <cell r="A62">
            <v>61</v>
          </cell>
          <cell r="B62">
            <v>6000</v>
          </cell>
          <cell r="C62">
            <v>120</v>
          </cell>
          <cell r="D62">
            <v>400</v>
          </cell>
          <cell r="E62">
            <v>0.10579999999999998</v>
          </cell>
          <cell r="F62">
            <v>0.13020000000000001</v>
          </cell>
          <cell r="G62">
            <v>0.23599999999999999</v>
          </cell>
          <cell r="H62">
            <v>1</v>
          </cell>
          <cell r="I62">
            <v>120</v>
          </cell>
          <cell r="J62">
            <v>1.7</v>
          </cell>
          <cell r="K62">
            <v>198</v>
          </cell>
          <cell r="L62">
            <v>2</v>
          </cell>
          <cell r="M62">
            <v>120</v>
          </cell>
          <cell r="N62">
            <v>-0.24299999999999999</v>
          </cell>
          <cell r="O62">
            <v>-170</v>
          </cell>
        </row>
        <row r="63">
          <cell r="A63">
            <v>62</v>
          </cell>
          <cell r="B63">
            <v>6000</v>
          </cell>
          <cell r="C63">
            <v>140</v>
          </cell>
          <cell r="D63">
            <v>400</v>
          </cell>
          <cell r="E63">
            <v>8.610000000000001E-2</v>
          </cell>
          <cell r="F63">
            <v>0.12559999999999999</v>
          </cell>
          <cell r="G63">
            <v>0.2117</v>
          </cell>
          <cell r="H63">
            <v>1</v>
          </cell>
          <cell r="I63">
            <v>140</v>
          </cell>
          <cell r="J63">
            <v>1.47</v>
          </cell>
          <cell r="K63">
            <v>170</v>
          </cell>
          <cell r="L63">
            <v>2</v>
          </cell>
          <cell r="M63">
            <v>140</v>
          </cell>
          <cell r="N63">
            <v>-0.19700000000000001</v>
          </cell>
          <cell r="O63">
            <v>-138</v>
          </cell>
        </row>
        <row r="64">
          <cell r="A64">
            <v>63</v>
          </cell>
          <cell r="B64">
            <v>6000</v>
          </cell>
          <cell r="C64">
            <v>160</v>
          </cell>
          <cell r="D64">
            <v>400</v>
          </cell>
          <cell r="E64">
            <v>7.2000000000000008E-2</v>
          </cell>
          <cell r="F64">
            <v>0.1202</v>
          </cell>
          <cell r="G64">
            <v>0.19220000000000001</v>
          </cell>
          <cell r="H64">
            <v>1</v>
          </cell>
          <cell r="I64">
            <v>160</v>
          </cell>
          <cell r="J64">
            <v>1.27</v>
          </cell>
          <cell r="K64">
            <v>147</v>
          </cell>
          <cell r="L64">
            <v>2</v>
          </cell>
          <cell r="M64">
            <v>160</v>
          </cell>
          <cell r="N64">
            <v>-0.16300000000000001</v>
          </cell>
          <cell r="O64">
            <v>-114</v>
          </cell>
        </row>
        <row r="65">
          <cell r="A65">
            <v>64</v>
          </cell>
          <cell r="B65">
            <v>6000</v>
          </cell>
          <cell r="C65">
            <v>180</v>
          </cell>
          <cell r="D65">
            <v>400</v>
          </cell>
          <cell r="E65">
            <v>6.1499999999999999E-2</v>
          </cell>
          <cell r="F65">
            <v>0.1147</v>
          </cell>
          <cell r="G65">
            <v>0.1762</v>
          </cell>
          <cell r="H65">
            <v>1</v>
          </cell>
          <cell r="I65">
            <v>180</v>
          </cell>
          <cell r="J65">
            <v>1.1100000000000001</v>
          </cell>
          <cell r="K65">
            <v>128</v>
          </cell>
          <cell r="L65">
            <v>2</v>
          </cell>
          <cell r="M65">
            <v>180</v>
          </cell>
          <cell r="N65">
            <v>-0.13700000000000001</v>
          </cell>
          <cell r="O65">
            <v>-95.7</v>
          </cell>
        </row>
        <row r="66">
          <cell r="A66">
            <v>65</v>
          </cell>
          <cell r="B66">
            <v>6000</v>
          </cell>
          <cell r="C66">
            <v>200</v>
          </cell>
          <cell r="D66">
            <v>400</v>
          </cell>
          <cell r="E66">
            <v>5.3800000000000001E-2</v>
          </cell>
          <cell r="F66">
            <v>0.10920000000000001</v>
          </cell>
          <cell r="G66">
            <v>0.16300000000000001</v>
          </cell>
          <cell r="H66">
            <v>1</v>
          </cell>
          <cell r="I66">
            <v>200</v>
          </cell>
          <cell r="J66">
            <v>0.96899999999999997</v>
          </cell>
          <cell r="K66">
            <v>112</v>
          </cell>
          <cell r="L66">
            <v>2</v>
          </cell>
          <cell r="M66">
            <v>200</v>
          </cell>
          <cell r="N66">
            <v>-0.11600000000000001</v>
          </cell>
          <cell r="O66">
            <v>-81.400000000000006</v>
          </cell>
        </row>
        <row r="67">
          <cell r="A67">
            <v>66</v>
          </cell>
          <cell r="B67">
            <v>6000</v>
          </cell>
          <cell r="C67">
            <v>220</v>
          </cell>
          <cell r="D67">
            <v>400</v>
          </cell>
          <cell r="E67">
            <v>4.8000000000000001E-2</v>
          </cell>
          <cell r="F67">
            <v>0.104</v>
          </cell>
          <cell r="G67">
            <v>0.152</v>
          </cell>
          <cell r="H67">
            <v>1</v>
          </cell>
          <cell r="I67">
            <v>220</v>
          </cell>
          <cell r="J67">
            <v>0.85299999999999998</v>
          </cell>
          <cell r="K67">
            <v>98.2</v>
          </cell>
          <cell r="L67">
            <v>2</v>
          </cell>
          <cell r="M67">
            <v>220</v>
          </cell>
          <cell r="N67">
            <v>-9.9900000000000003E-2</v>
          </cell>
          <cell r="O67">
            <v>-69.900000000000006</v>
          </cell>
        </row>
        <row r="68">
          <cell r="A68">
            <v>67</v>
          </cell>
          <cell r="B68">
            <v>6000</v>
          </cell>
          <cell r="C68">
            <v>240</v>
          </cell>
          <cell r="D68">
            <v>400</v>
          </cell>
          <cell r="E68">
            <v>4.3419999999999986E-2</v>
          </cell>
          <cell r="F68">
            <v>9.9080000000000001E-2</v>
          </cell>
          <cell r="G68">
            <v>0.14249999999999999</v>
          </cell>
          <cell r="H68">
            <v>1</v>
          </cell>
          <cell r="I68">
            <v>240</v>
          </cell>
          <cell r="J68">
            <v>0.755</v>
          </cell>
          <cell r="K68">
            <v>86.8</v>
          </cell>
          <cell r="L68">
            <v>2</v>
          </cell>
          <cell r="M68">
            <v>240</v>
          </cell>
          <cell r="N68">
            <v>-8.6699999999999999E-2</v>
          </cell>
          <cell r="O68">
            <v>-60.7</v>
          </cell>
        </row>
        <row r="69">
          <cell r="A69">
            <v>68</v>
          </cell>
          <cell r="B69">
            <v>6000</v>
          </cell>
          <cell r="C69">
            <v>260</v>
          </cell>
          <cell r="D69">
            <v>400</v>
          </cell>
          <cell r="E69">
            <v>3.9899999999999991E-2</v>
          </cell>
          <cell r="F69">
            <v>9.4500000000000001E-2</v>
          </cell>
          <cell r="G69">
            <v>0.13439999999999999</v>
          </cell>
          <cell r="H69">
            <v>1</v>
          </cell>
          <cell r="I69">
            <v>260</v>
          </cell>
          <cell r="J69">
            <v>0.67100000000000004</v>
          </cell>
          <cell r="K69">
            <v>77.099999999999994</v>
          </cell>
          <cell r="L69">
            <v>2</v>
          </cell>
          <cell r="M69">
            <v>260</v>
          </cell>
          <cell r="N69">
            <v>-7.5899999999999995E-2</v>
          </cell>
          <cell r="O69">
            <v>-53.1</v>
          </cell>
        </row>
        <row r="70">
          <cell r="A70">
            <v>69</v>
          </cell>
          <cell r="B70">
            <v>6000</v>
          </cell>
          <cell r="C70">
            <v>280</v>
          </cell>
          <cell r="D70">
            <v>400</v>
          </cell>
          <cell r="E70">
            <v>3.7150000000000016E-2</v>
          </cell>
          <cell r="F70">
            <v>9.0249999999999997E-2</v>
          </cell>
          <cell r="G70">
            <v>0.12740000000000001</v>
          </cell>
          <cell r="H70">
            <v>1</v>
          </cell>
          <cell r="I70">
            <v>280</v>
          </cell>
          <cell r="J70">
            <v>0.59899999999999998</v>
          </cell>
          <cell r="K70">
            <v>68.8</v>
          </cell>
          <cell r="L70">
            <v>2</v>
          </cell>
          <cell r="M70">
            <v>280</v>
          </cell>
          <cell r="N70">
            <v>-6.6900000000000001E-2</v>
          </cell>
          <cell r="O70">
            <v>-46.8</v>
          </cell>
        </row>
        <row r="71">
          <cell r="A71">
            <v>70</v>
          </cell>
          <cell r="B71">
            <v>6000</v>
          </cell>
          <cell r="C71">
            <v>300</v>
          </cell>
          <cell r="D71">
            <v>400</v>
          </cell>
          <cell r="E71">
            <v>3.4980000000000011E-2</v>
          </cell>
          <cell r="F71">
            <v>8.6319999999999994E-2</v>
          </cell>
          <cell r="G71">
            <v>0.12130000000000001</v>
          </cell>
          <cell r="H71">
            <v>1</v>
          </cell>
          <cell r="I71">
            <v>300</v>
          </cell>
          <cell r="J71">
            <v>0.53800000000000003</v>
          </cell>
          <cell r="K71">
            <v>61.7</v>
          </cell>
          <cell r="L71">
            <v>2</v>
          </cell>
          <cell r="M71">
            <v>300</v>
          </cell>
          <cell r="N71">
            <v>-5.9400000000000001E-2</v>
          </cell>
          <cell r="O71">
            <v>-41.6</v>
          </cell>
        </row>
        <row r="72">
          <cell r="A72">
            <v>71</v>
          </cell>
          <cell r="B72">
            <v>6000</v>
          </cell>
          <cell r="C72">
            <v>40</v>
          </cell>
          <cell r="D72">
            <v>450</v>
          </cell>
          <cell r="E72">
            <v>0.26559999999999995</v>
          </cell>
          <cell r="F72">
            <v>0.1061</v>
          </cell>
          <cell r="G72">
            <v>0.37169999999999997</v>
          </cell>
          <cell r="H72">
            <v>1</v>
          </cell>
          <cell r="I72">
            <v>40</v>
          </cell>
          <cell r="J72">
            <v>2.06</v>
          </cell>
          <cell r="K72">
            <v>263</v>
          </cell>
          <cell r="L72">
            <v>2</v>
          </cell>
          <cell r="M72">
            <v>40</v>
          </cell>
          <cell r="N72">
            <v>-0.68899999999999995</v>
          </cell>
          <cell r="O72">
            <v>-428</v>
          </cell>
        </row>
        <row r="73">
          <cell r="A73">
            <v>72</v>
          </cell>
          <cell r="B73">
            <v>6000</v>
          </cell>
          <cell r="C73">
            <v>60</v>
          </cell>
          <cell r="D73">
            <v>450</v>
          </cell>
          <cell r="E73">
            <v>0.2102</v>
          </cell>
          <cell r="F73">
            <v>0.1134</v>
          </cell>
          <cell r="G73">
            <v>0.3236</v>
          </cell>
          <cell r="H73">
            <v>1</v>
          </cell>
          <cell r="I73">
            <v>60</v>
          </cell>
          <cell r="J73">
            <v>2.31</v>
          </cell>
          <cell r="K73">
            <v>281</v>
          </cell>
          <cell r="L73">
            <v>2</v>
          </cell>
          <cell r="M73">
            <v>60</v>
          </cell>
          <cell r="N73">
            <v>-0.53900000000000003</v>
          </cell>
          <cell r="O73">
            <v>-336</v>
          </cell>
        </row>
        <row r="74">
          <cell r="A74">
            <v>73</v>
          </cell>
          <cell r="B74">
            <v>6000</v>
          </cell>
          <cell r="C74">
            <v>80</v>
          </cell>
          <cell r="D74">
            <v>450</v>
          </cell>
          <cell r="E74">
            <v>0.16199999999999998</v>
          </cell>
          <cell r="F74">
            <v>0.1179</v>
          </cell>
          <cell r="G74">
            <v>0.27989999999999998</v>
          </cell>
          <cell r="H74">
            <v>1</v>
          </cell>
          <cell r="I74">
            <v>80</v>
          </cell>
          <cell r="J74">
            <v>2.13</v>
          </cell>
          <cell r="K74">
            <v>254</v>
          </cell>
          <cell r="L74">
            <v>2</v>
          </cell>
          <cell r="M74">
            <v>80</v>
          </cell>
          <cell r="N74">
            <v>-0.41299999999999998</v>
          </cell>
          <cell r="O74">
            <v>-257</v>
          </cell>
        </row>
        <row r="75">
          <cell r="A75">
            <v>74</v>
          </cell>
          <cell r="B75">
            <v>6000</v>
          </cell>
          <cell r="C75">
            <v>100</v>
          </cell>
          <cell r="D75">
            <v>450</v>
          </cell>
          <cell r="E75">
            <v>0.12630000000000002</v>
          </cell>
          <cell r="F75">
            <v>0.1186</v>
          </cell>
          <cell r="G75">
            <v>0.24490000000000001</v>
          </cell>
          <cell r="H75">
            <v>1</v>
          </cell>
          <cell r="I75">
            <v>100</v>
          </cell>
          <cell r="J75">
            <v>1.87</v>
          </cell>
          <cell r="K75">
            <v>221</v>
          </cell>
          <cell r="L75">
            <v>2</v>
          </cell>
          <cell r="M75">
            <v>100</v>
          </cell>
          <cell r="N75">
            <v>-0.32200000000000001</v>
          </cell>
          <cell r="O75">
            <v>-200</v>
          </cell>
        </row>
        <row r="76">
          <cell r="A76">
            <v>75</v>
          </cell>
          <cell r="B76">
            <v>6000</v>
          </cell>
          <cell r="C76">
            <v>120</v>
          </cell>
          <cell r="D76">
            <v>450</v>
          </cell>
          <cell r="E76">
            <v>0.10079999999999999</v>
          </cell>
          <cell r="F76">
            <v>0.11650000000000001</v>
          </cell>
          <cell r="G76">
            <v>0.21729999999999999</v>
          </cell>
          <cell r="H76">
            <v>1</v>
          </cell>
          <cell r="I76">
            <v>120</v>
          </cell>
          <cell r="J76">
            <v>1.62</v>
          </cell>
          <cell r="K76">
            <v>190</v>
          </cell>
          <cell r="L76">
            <v>2</v>
          </cell>
          <cell r="M76">
            <v>120</v>
          </cell>
          <cell r="N76">
            <v>-0.25700000000000001</v>
          </cell>
          <cell r="O76">
            <v>-160</v>
          </cell>
        </row>
        <row r="77">
          <cell r="A77">
            <v>76</v>
          </cell>
          <cell r="B77">
            <v>6000</v>
          </cell>
          <cell r="C77">
            <v>140</v>
          </cell>
          <cell r="D77">
            <v>450</v>
          </cell>
          <cell r="E77">
            <v>8.249999999999999E-2</v>
          </cell>
          <cell r="F77">
            <v>0.1129</v>
          </cell>
          <cell r="G77">
            <v>0.19539999999999999</v>
          </cell>
          <cell r="H77">
            <v>1</v>
          </cell>
          <cell r="I77">
            <v>140</v>
          </cell>
          <cell r="J77">
            <v>1.4</v>
          </cell>
          <cell r="K77">
            <v>164</v>
          </cell>
          <cell r="L77">
            <v>2</v>
          </cell>
          <cell r="M77">
            <v>140</v>
          </cell>
          <cell r="N77">
            <v>-0.20899999999999999</v>
          </cell>
          <cell r="O77">
            <v>-130</v>
          </cell>
        </row>
        <row r="78">
          <cell r="A78">
            <v>77</v>
          </cell>
          <cell r="B78">
            <v>6000</v>
          </cell>
          <cell r="C78">
            <v>160</v>
          </cell>
          <cell r="D78">
            <v>450</v>
          </cell>
          <cell r="E78">
            <v>6.9300000000000014E-2</v>
          </cell>
          <cell r="F78">
            <v>0.1085</v>
          </cell>
          <cell r="G78">
            <v>0.17780000000000001</v>
          </cell>
          <cell r="H78">
            <v>1</v>
          </cell>
          <cell r="I78">
            <v>160</v>
          </cell>
          <cell r="J78">
            <v>1.22</v>
          </cell>
          <cell r="K78">
            <v>142</v>
          </cell>
          <cell r="L78">
            <v>2</v>
          </cell>
          <cell r="M78">
            <v>160</v>
          </cell>
          <cell r="N78">
            <v>-0.17399999999999999</v>
          </cell>
          <cell r="O78">
            <v>-108</v>
          </cell>
        </row>
        <row r="79">
          <cell r="A79">
            <v>78</v>
          </cell>
          <cell r="B79">
            <v>6000</v>
          </cell>
          <cell r="C79">
            <v>180</v>
          </cell>
          <cell r="D79">
            <v>450</v>
          </cell>
          <cell r="E79">
            <v>5.9599999999999986E-2</v>
          </cell>
          <cell r="F79">
            <v>0.1038</v>
          </cell>
          <cell r="G79">
            <v>0.16339999999999999</v>
          </cell>
          <cell r="H79">
            <v>1</v>
          </cell>
          <cell r="I79">
            <v>180</v>
          </cell>
          <cell r="J79">
            <v>1.07</v>
          </cell>
          <cell r="K79">
            <v>124</v>
          </cell>
          <cell r="L79">
            <v>2</v>
          </cell>
          <cell r="M79">
            <v>180</v>
          </cell>
          <cell r="N79">
            <v>-0.14599999999999999</v>
          </cell>
          <cell r="O79">
            <v>-90.8</v>
          </cell>
        </row>
        <row r="80">
          <cell r="A80">
            <v>79</v>
          </cell>
          <cell r="B80">
            <v>6000</v>
          </cell>
          <cell r="C80">
            <v>200</v>
          </cell>
          <cell r="D80">
            <v>450</v>
          </cell>
          <cell r="E80">
            <v>5.2310000000000009E-2</v>
          </cell>
          <cell r="F80">
            <v>9.9089999999999998E-2</v>
          </cell>
          <cell r="G80">
            <v>0.15140000000000001</v>
          </cell>
          <cell r="H80">
            <v>1</v>
          </cell>
          <cell r="I80">
            <v>200</v>
          </cell>
          <cell r="J80">
            <v>0.93500000000000005</v>
          </cell>
          <cell r="K80">
            <v>109</v>
          </cell>
          <cell r="L80">
            <v>2</v>
          </cell>
          <cell r="M80">
            <v>200</v>
          </cell>
          <cell r="N80">
            <v>-0.124</v>
          </cell>
          <cell r="O80">
            <v>-77.400000000000006</v>
          </cell>
        </row>
        <row r="81">
          <cell r="A81">
            <v>80</v>
          </cell>
          <cell r="B81">
            <v>6000</v>
          </cell>
          <cell r="C81">
            <v>220</v>
          </cell>
          <cell r="D81">
            <v>450</v>
          </cell>
          <cell r="E81">
            <v>4.6839999999999993E-2</v>
          </cell>
          <cell r="F81">
            <v>9.4560000000000005E-2</v>
          </cell>
          <cell r="G81">
            <v>0.1414</v>
          </cell>
          <cell r="H81">
            <v>1</v>
          </cell>
          <cell r="I81">
            <v>220</v>
          </cell>
          <cell r="J81">
            <v>0.82499999999999996</v>
          </cell>
          <cell r="K81">
            <v>95.6</v>
          </cell>
          <cell r="L81">
            <v>2</v>
          </cell>
          <cell r="M81">
            <v>220</v>
          </cell>
          <cell r="N81">
            <v>-0.107</v>
          </cell>
          <cell r="O81">
            <v>-66.599999999999994</v>
          </cell>
        </row>
        <row r="82">
          <cell r="A82">
            <v>81</v>
          </cell>
          <cell r="B82">
            <v>6000</v>
          </cell>
          <cell r="C82">
            <v>240</v>
          </cell>
          <cell r="D82">
            <v>450</v>
          </cell>
          <cell r="E82">
            <v>4.2529999999999998E-2</v>
          </cell>
          <cell r="F82">
            <v>9.0270000000000003E-2</v>
          </cell>
          <cell r="G82">
            <v>0.1328</v>
          </cell>
          <cell r="H82">
            <v>1</v>
          </cell>
          <cell r="I82">
            <v>240</v>
          </cell>
          <cell r="J82">
            <v>0.73</v>
          </cell>
          <cell r="K82">
            <v>84.5</v>
          </cell>
          <cell r="L82">
            <v>2</v>
          </cell>
          <cell r="M82">
            <v>240</v>
          </cell>
          <cell r="N82">
            <v>-9.2999999999999999E-2</v>
          </cell>
          <cell r="O82">
            <v>-57.8</v>
          </cell>
        </row>
        <row r="83">
          <cell r="A83">
            <v>82</v>
          </cell>
          <cell r="B83">
            <v>6000</v>
          </cell>
          <cell r="C83">
            <v>260</v>
          </cell>
          <cell r="D83">
            <v>450</v>
          </cell>
          <cell r="E83">
            <v>3.9160000000000014E-2</v>
          </cell>
          <cell r="F83">
            <v>8.6239999999999997E-2</v>
          </cell>
          <cell r="G83">
            <v>0.12540000000000001</v>
          </cell>
          <cell r="H83">
            <v>1</v>
          </cell>
          <cell r="I83">
            <v>260</v>
          </cell>
          <cell r="J83">
            <v>0.65</v>
          </cell>
          <cell r="K83">
            <v>75.099999999999994</v>
          </cell>
          <cell r="L83">
            <v>2</v>
          </cell>
          <cell r="M83">
            <v>260</v>
          </cell>
          <cell r="N83">
            <v>-8.14E-2</v>
          </cell>
          <cell r="O83">
            <v>-50.7</v>
          </cell>
        </row>
        <row r="84">
          <cell r="A84">
            <v>83</v>
          </cell>
          <cell r="B84">
            <v>6000</v>
          </cell>
          <cell r="C84">
            <v>280</v>
          </cell>
          <cell r="D84">
            <v>450</v>
          </cell>
          <cell r="E84">
            <v>3.6519999999999997E-2</v>
          </cell>
          <cell r="F84">
            <v>8.2479999999999998E-2</v>
          </cell>
          <cell r="G84">
            <v>0.11899999999999999</v>
          </cell>
          <cell r="H84">
            <v>1</v>
          </cell>
          <cell r="I84">
            <v>280</v>
          </cell>
          <cell r="J84">
            <v>0.58099999999999996</v>
          </cell>
          <cell r="K84">
            <v>67.099999999999994</v>
          </cell>
          <cell r="L84">
            <v>2</v>
          </cell>
          <cell r="M84">
            <v>280</v>
          </cell>
          <cell r="N84">
            <v>-7.1800000000000003E-2</v>
          </cell>
          <cell r="O84">
            <v>-44.7</v>
          </cell>
        </row>
        <row r="85">
          <cell r="A85">
            <v>84</v>
          </cell>
          <cell r="B85">
            <v>6000</v>
          </cell>
          <cell r="C85">
            <v>300</v>
          </cell>
          <cell r="D85">
            <v>450</v>
          </cell>
          <cell r="E85">
            <v>3.4409999999999996E-2</v>
          </cell>
          <cell r="F85">
            <v>7.8990000000000005E-2</v>
          </cell>
          <cell r="G85">
            <v>0.1134</v>
          </cell>
          <cell r="H85">
            <v>1</v>
          </cell>
          <cell r="I85">
            <v>300</v>
          </cell>
          <cell r="J85">
            <v>0.52200000000000002</v>
          </cell>
          <cell r="K85">
            <v>60.2</v>
          </cell>
          <cell r="L85">
            <v>2</v>
          </cell>
          <cell r="M85">
            <v>300</v>
          </cell>
          <cell r="N85">
            <v>-6.3799999999999996E-2</v>
          </cell>
          <cell r="O85">
            <v>-39.700000000000003</v>
          </cell>
        </row>
        <row r="86">
          <cell r="A86">
            <v>85</v>
          </cell>
          <cell r="B86">
            <v>6000</v>
          </cell>
          <cell r="C86">
            <v>40</v>
          </cell>
          <cell r="D86">
            <v>500</v>
          </cell>
          <cell r="E86">
            <v>0.24275999999999998</v>
          </cell>
          <cell r="F86">
            <v>9.5039999999999999E-2</v>
          </cell>
          <cell r="G86">
            <v>0.33779999999999999</v>
          </cell>
          <cell r="H86">
            <v>1</v>
          </cell>
          <cell r="I86">
            <v>40</v>
          </cell>
          <cell r="J86">
            <v>1.86</v>
          </cell>
          <cell r="K86">
            <v>242</v>
          </cell>
          <cell r="L86">
            <v>2</v>
          </cell>
          <cell r="M86">
            <v>40</v>
          </cell>
          <cell r="N86">
            <v>-0.69699999999999995</v>
          </cell>
          <cell r="O86">
            <v>-391</v>
          </cell>
        </row>
        <row r="87">
          <cell r="A87">
            <v>86</v>
          </cell>
          <cell r="B87">
            <v>6000</v>
          </cell>
          <cell r="C87">
            <v>60</v>
          </cell>
          <cell r="D87">
            <v>500</v>
          </cell>
          <cell r="E87">
            <v>0.19519999999999998</v>
          </cell>
          <cell r="F87">
            <v>0.1014</v>
          </cell>
          <cell r="G87">
            <v>0.29659999999999997</v>
          </cell>
          <cell r="H87">
            <v>1</v>
          </cell>
          <cell r="I87">
            <v>60</v>
          </cell>
          <cell r="J87">
            <v>2.14</v>
          </cell>
          <cell r="K87">
            <v>264</v>
          </cell>
          <cell r="L87">
            <v>2</v>
          </cell>
          <cell r="M87">
            <v>60</v>
          </cell>
          <cell r="N87">
            <v>-0.55500000000000005</v>
          </cell>
          <cell r="O87">
            <v>-311</v>
          </cell>
        </row>
        <row r="88">
          <cell r="A88">
            <v>87</v>
          </cell>
          <cell r="B88">
            <v>6000</v>
          </cell>
          <cell r="C88">
            <v>80</v>
          </cell>
          <cell r="D88">
            <v>500</v>
          </cell>
          <cell r="E88">
            <v>0.1522</v>
          </cell>
          <cell r="F88">
            <v>0.10580000000000001</v>
          </cell>
          <cell r="G88">
            <v>0.25800000000000001</v>
          </cell>
          <cell r="H88">
            <v>1</v>
          </cell>
          <cell r="I88">
            <v>80</v>
          </cell>
          <cell r="J88">
            <v>2</v>
          </cell>
          <cell r="K88">
            <v>242</v>
          </cell>
          <cell r="L88">
            <v>2</v>
          </cell>
          <cell r="M88">
            <v>80</v>
          </cell>
          <cell r="N88">
            <v>-0.42899999999999999</v>
          </cell>
          <cell r="O88">
            <v>-240</v>
          </cell>
        </row>
        <row r="89">
          <cell r="A89">
            <v>88</v>
          </cell>
          <cell r="B89">
            <v>6000</v>
          </cell>
          <cell r="C89">
            <v>100</v>
          </cell>
          <cell r="D89">
            <v>500</v>
          </cell>
          <cell r="E89">
            <v>0.11990000000000001</v>
          </cell>
          <cell r="F89">
            <v>0.10680000000000001</v>
          </cell>
          <cell r="G89">
            <v>0.22670000000000001</v>
          </cell>
          <cell r="H89">
            <v>1</v>
          </cell>
          <cell r="I89">
            <v>100</v>
          </cell>
          <cell r="J89">
            <v>1.77</v>
          </cell>
          <cell r="K89">
            <v>212</v>
          </cell>
          <cell r="L89">
            <v>2</v>
          </cell>
          <cell r="M89">
            <v>100</v>
          </cell>
          <cell r="N89">
            <v>-0.33700000000000002</v>
          </cell>
          <cell r="O89">
            <v>-189</v>
          </cell>
        </row>
        <row r="90">
          <cell r="A90">
            <v>89</v>
          </cell>
          <cell r="B90">
            <v>6000</v>
          </cell>
          <cell r="C90">
            <v>120</v>
          </cell>
          <cell r="D90">
            <v>500</v>
          </cell>
          <cell r="E90">
            <v>9.6400000000000013E-2</v>
          </cell>
          <cell r="F90">
            <v>0.10539999999999999</v>
          </cell>
          <cell r="G90">
            <v>0.20180000000000001</v>
          </cell>
          <cell r="H90">
            <v>1</v>
          </cell>
          <cell r="I90">
            <v>120</v>
          </cell>
          <cell r="J90">
            <v>1.55</v>
          </cell>
          <cell r="K90">
            <v>184</v>
          </cell>
          <cell r="L90">
            <v>2</v>
          </cell>
          <cell r="M90">
            <v>120</v>
          </cell>
          <cell r="N90">
            <v>-0.27</v>
          </cell>
          <cell r="O90">
            <v>-151</v>
          </cell>
        </row>
        <row r="91">
          <cell r="A91">
            <v>90</v>
          </cell>
          <cell r="B91">
            <v>6000</v>
          </cell>
          <cell r="C91">
            <v>140</v>
          </cell>
          <cell r="D91">
            <v>500</v>
          </cell>
          <cell r="E91">
            <v>7.9400000000000012E-2</v>
          </cell>
          <cell r="F91">
            <v>0.10249999999999999</v>
          </cell>
          <cell r="G91">
            <v>0.18190000000000001</v>
          </cell>
          <cell r="H91">
            <v>1</v>
          </cell>
          <cell r="I91">
            <v>140</v>
          </cell>
          <cell r="J91">
            <v>1.35</v>
          </cell>
          <cell r="K91">
            <v>159</v>
          </cell>
          <cell r="L91">
            <v>2</v>
          </cell>
          <cell r="M91">
            <v>140</v>
          </cell>
          <cell r="N91">
            <v>-0.221</v>
          </cell>
          <cell r="O91">
            <v>-124</v>
          </cell>
        </row>
        <row r="92">
          <cell r="A92">
            <v>91</v>
          </cell>
          <cell r="B92">
            <v>6000</v>
          </cell>
          <cell r="C92">
            <v>160</v>
          </cell>
          <cell r="D92">
            <v>500</v>
          </cell>
          <cell r="E92">
            <v>6.7069999999999991E-2</v>
          </cell>
          <cell r="F92">
            <v>9.8830000000000001E-2</v>
          </cell>
          <cell r="G92">
            <v>0.16589999999999999</v>
          </cell>
          <cell r="H92">
            <v>1</v>
          </cell>
          <cell r="I92">
            <v>160</v>
          </cell>
          <cell r="J92">
            <v>1.18</v>
          </cell>
          <cell r="K92">
            <v>138</v>
          </cell>
          <cell r="L92">
            <v>2</v>
          </cell>
          <cell r="M92">
            <v>160</v>
          </cell>
          <cell r="N92">
            <v>-0.183</v>
          </cell>
          <cell r="O92">
            <v>-103</v>
          </cell>
        </row>
        <row r="93">
          <cell r="A93">
            <v>92</v>
          </cell>
          <cell r="B93">
            <v>6000</v>
          </cell>
          <cell r="C93">
            <v>180</v>
          </cell>
          <cell r="D93">
            <v>500</v>
          </cell>
          <cell r="E93">
            <v>5.7880000000000001E-2</v>
          </cell>
          <cell r="F93">
            <v>9.4820000000000002E-2</v>
          </cell>
          <cell r="G93">
            <v>0.1527</v>
          </cell>
          <cell r="H93">
            <v>1</v>
          </cell>
          <cell r="I93">
            <v>180</v>
          </cell>
          <cell r="J93">
            <v>1.03</v>
          </cell>
          <cell r="K93">
            <v>121</v>
          </cell>
          <cell r="L93">
            <v>2</v>
          </cell>
          <cell r="M93">
            <v>180</v>
          </cell>
          <cell r="N93">
            <v>-0.155</v>
          </cell>
          <cell r="O93">
            <v>-86.6</v>
          </cell>
        </row>
        <row r="94">
          <cell r="A94">
            <v>93</v>
          </cell>
          <cell r="B94">
            <v>6000</v>
          </cell>
          <cell r="C94">
            <v>200</v>
          </cell>
          <cell r="D94">
            <v>500</v>
          </cell>
          <cell r="E94">
            <v>5.1040000000000016E-2</v>
          </cell>
          <cell r="F94">
            <v>9.0759999999999993E-2</v>
          </cell>
          <cell r="G94">
            <v>0.14180000000000001</v>
          </cell>
          <cell r="H94">
            <v>1</v>
          </cell>
          <cell r="I94">
            <v>200</v>
          </cell>
          <cell r="J94">
            <v>0.90500000000000003</v>
          </cell>
          <cell r="K94">
            <v>106</v>
          </cell>
          <cell r="L94">
            <v>2</v>
          </cell>
          <cell r="M94">
            <v>200</v>
          </cell>
          <cell r="N94">
            <v>-0.13200000000000001</v>
          </cell>
          <cell r="O94">
            <v>-73.900000000000006</v>
          </cell>
        </row>
        <row r="95">
          <cell r="A95">
            <v>94</v>
          </cell>
          <cell r="B95">
            <v>6000</v>
          </cell>
          <cell r="C95">
            <v>220</v>
          </cell>
          <cell r="D95">
            <v>500</v>
          </cell>
          <cell r="E95">
            <v>4.580999999999999E-2</v>
          </cell>
          <cell r="F95">
            <v>8.6790000000000006E-2</v>
          </cell>
          <cell r="G95">
            <v>0.1326</v>
          </cell>
          <cell r="H95">
            <v>1</v>
          </cell>
          <cell r="I95">
            <v>220</v>
          </cell>
          <cell r="J95">
            <v>0.79900000000000004</v>
          </cell>
          <cell r="K95">
            <v>93.2</v>
          </cell>
          <cell r="L95">
            <v>2</v>
          </cell>
          <cell r="M95">
            <v>220</v>
          </cell>
          <cell r="N95">
            <v>-0.114</v>
          </cell>
          <cell r="O95">
            <v>-63.7</v>
          </cell>
        </row>
        <row r="96">
          <cell r="A96">
            <v>95</v>
          </cell>
          <cell r="B96">
            <v>6000</v>
          </cell>
          <cell r="C96">
            <v>240</v>
          </cell>
          <cell r="D96">
            <v>500</v>
          </cell>
          <cell r="E96">
            <v>4.1700000000000001E-2</v>
          </cell>
          <cell r="F96">
            <v>8.3000000000000004E-2</v>
          </cell>
          <cell r="G96">
            <v>0.12470000000000001</v>
          </cell>
          <cell r="H96">
            <v>1</v>
          </cell>
          <cell r="I96">
            <v>240</v>
          </cell>
          <cell r="J96">
            <v>0.70899999999999996</v>
          </cell>
          <cell r="K96">
            <v>82.5</v>
          </cell>
          <cell r="L96">
            <v>2</v>
          </cell>
          <cell r="M96">
            <v>240</v>
          </cell>
          <cell r="N96">
            <v>-9.8900000000000002E-2</v>
          </cell>
          <cell r="O96">
            <v>-55.4</v>
          </cell>
        </row>
        <row r="97">
          <cell r="A97">
            <v>96</v>
          </cell>
          <cell r="B97">
            <v>6000</v>
          </cell>
          <cell r="C97">
            <v>260</v>
          </cell>
          <cell r="D97">
            <v>500</v>
          </cell>
          <cell r="E97">
            <v>3.848E-2</v>
          </cell>
          <cell r="F97">
            <v>7.9420000000000004E-2</v>
          </cell>
          <cell r="G97">
            <v>0.1179</v>
          </cell>
          <cell r="H97">
            <v>1</v>
          </cell>
          <cell r="I97">
            <v>260</v>
          </cell>
          <cell r="J97">
            <v>0.63100000000000001</v>
          </cell>
          <cell r="K97">
            <v>73.400000000000006</v>
          </cell>
          <cell r="L97">
            <v>2</v>
          </cell>
          <cell r="M97">
            <v>260</v>
          </cell>
          <cell r="N97">
            <v>-8.6699999999999999E-2</v>
          </cell>
          <cell r="O97">
            <v>-48.5</v>
          </cell>
        </row>
        <row r="98">
          <cell r="A98">
            <v>97</v>
          </cell>
          <cell r="B98">
            <v>6000</v>
          </cell>
          <cell r="C98">
            <v>280</v>
          </cell>
          <cell r="D98">
            <v>500</v>
          </cell>
          <cell r="E98">
            <v>3.6040000000000003E-2</v>
          </cell>
          <cell r="F98">
            <v>7.6060000000000003E-2</v>
          </cell>
          <cell r="G98">
            <v>0.11210000000000001</v>
          </cell>
          <cell r="H98">
            <v>1</v>
          </cell>
          <cell r="I98">
            <v>280</v>
          </cell>
          <cell r="J98">
            <v>0.56399999999999995</v>
          </cell>
          <cell r="K98">
            <v>65.599999999999994</v>
          </cell>
          <cell r="L98">
            <v>2</v>
          </cell>
          <cell r="M98">
            <v>280</v>
          </cell>
          <cell r="N98">
            <v>-7.6499999999999999E-2</v>
          </cell>
          <cell r="O98">
            <v>-42.9</v>
          </cell>
        </row>
        <row r="99">
          <cell r="A99">
            <v>98</v>
          </cell>
          <cell r="B99">
            <v>6000</v>
          </cell>
          <cell r="C99">
            <v>300</v>
          </cell>
          <cell r="D99">
            <v>500</v>
          </cell>
          <cell r="E99">
            <v>3.397E-2</v>
          </cell>
          <cell r="F99">
            <v>7.2929999999999995E-2</v>
          </cell>
          <cell r="G99">
            <v>0.1069</v>
          </cell>
          <cell r="H99">
            <v>1</v>
          </cell>
          <cell r="I99">
            <v>300</v>
          </cell>
          <cell r="J99">
            <v>0.50700000000000001</v>
          </cell>
          <cell r="K99">
            <v>58.9</v>
          </cell>
          <cell r="L99">
            <v>2</v>
          </cell>
          <cell r="M99">
            <v>300</v>
          </cell>
          <cell r="N99">
            <v>-6.8000000000000005E-2</v>
          </cell>
          <cell r="O99">
            <v>-38.1</v>
          </cell>
        </row>
        <row r="100">
          <cell r="A100">
            <v>99</v>
          </cell>
          <cell r="B100">
            <v>6000</v>
          </cell>
          <cell r="C100">
            <v>40</v>
          </cell>
          <cell r="D100">
            <v>550</v>
          </cell>
          <cell r="E100">
            <v>0.22361999999999999</v>
          </cell>
          <cell r="F100">
            <v>8.6080000000000004E-2</v>
          </cell>
          <cell r="G100">
            <v>0.30969999999999998</v>
          </cell>
          <cell r="H100">
            <v>1</v>
          </cell>
          <cell r="I100">
            <v>40</v>
          </cell>
          <cell r="J100">
            <v>1.7</v>
          </cell>
          <cell r="K100">
            <v>225</v>
          </cell>
          <cell r="L100">
            <v>2</v>
          </cell>
          <cell r="M100">
            <v>40</v>
          </cell>
          <cell r="N100">
            <v>-0.70499999999999996</v>
          </cell>
          <cell r="O100">
            <v>-359</v>
          </cell>
        </row>
        <row r="101">
          <cell r="A101">
            <v>100</v>
          </cell>
          <cell r="B101">
            <v>6000</v>
          </cell>
          <cell r="C101">
            <v>60</v>
          </cell>
          <cell r="D101">
            <v>550</v>
          </cell>
          <cell r="E101">
            <v>0.18236000000000002</v>
          </cell>
          <cell r="F101">
            <v>9.1639999999999999E-2</v>
          </cell>
          <cell r="G101">
            <v>0.27400000000000002</v>
          </cell>
          <cell r="H101">
            <v>1</v>
          </cell>
          <cell r="I101">
            <v>60</v>
          </cell>
          <cell r="J101">
            <v>2</v>
          </cell>
          <cell r="K101">
            <v>250</v>
          </cell>
          <cell r="L101">
            <v>2</v>
          </cell>
          <cell r="M101">
            <v>60</v>
          </cell>
          <cell r="N101">
            <v>-0.56899999999999995</v>
          </cell>
          <cell r="O101">
            <v>-290</v>
          </cell>
        </row>
        <row r="102">
          <cell r="A102">
            <v>101</v>
          </cell>
          <cell r="B102">
            <v>6000</v>
          </cell>
          <cell r="C102">
            <v>80</v>
          </cell>
          <cell r="D102">
            <v>550</v>
          </cell>
          <cell r="E102">
            <v>0.1439</v>
          </cell>
          <cell r="F102">
            <v>9.5799999999999996E-2</v>
          </cell>
          <cell r="G102">
            <v>0.2397</v>
          </cell>
          <cell r="H102">
            <v>1</v>
          </cell>
          <cell r="I102">
            <v>80</v>
          </cell>
          <cell r="J102">
            <v>1.9</v>
          </cell>
          <cell r="K102">
            <v>231</v>
          </cell>
          <cell r="L102">
            <v>2</v>
          </cell>
          <cell r="M102">
            <v>80</v>
          </cell>
          <cell r="N102">
            <v>-0.44400000000000001</v>
          </cell>
          <cell r="O102">
            <v>-226</v>
          </cell>
        </row>
        <row r="103">
          <cell r="A103">
            <v>102</v>
          </cell>
          <cell r="B103">
            <v>6000</v>
          </cell>
          <cell r="C103">
            <v>100</v>
          </cell>
          <cell r="D103">
            <v>550</v>
          </cell>
          <cell r="E103">
            <v>0.11426</v>
          </cell>
          <cell r="F103">
            <v>9.7140000000000004E-2</v>
          </cell>
          <cell r="G103">
            <v>0.2114</v>
          </cell>
          <cell r="H103">
            <v>1</v>
          </cell>
          <cell r="I103">
            <v>100</v>
          </cell>
          <cell r="J103">
            <v>1.69</v>
          </cell>
          <cell r="K103">
            <v>204</v>
          </cell>
          <cell r="L103">
            <v>2</v>
          </cell>
          <cell r="M103">
            <v>100</v>
          </cell>
          <cell r="N103">
            <v>-0.35099999999999998</v>
          </cell>
          <cell r="O103">
            <v>-178</v>
          </cell>
        </row>
        <row r="104">
          <cell r="A104">
            <v>103</v>
          </cell>
          <cell r="B104">
            <v>6000</v>
          </cell>
          <cell r="C104">
            <v>120</v>
          </cell>
          <cell r="D104">
            <v>550</v>
          </cell>
          <cell r="E104">
            <v>9.2470000000000011E-2</v>
          </cell>
          <cell r="F104">
            <v>9.6229999999999996E-2</v>
          </cell>
          <cell r="G104">
            <v>0.18870000000000001</v>
          </cell>
          <cell r="H104">
            <v>1</v>
          </cell>
          <cell r="I104">
            <v>120</v>
          </cell>
          <cell r="J104">
            <v>1.49</v>
          </cell>
          <cell r="K104">
            <v>178</v>
          </cell>
          <cell r="L104">
            <v>2</v>
          </cell>
          <cell r="M104">
            <v>120</v>
          </cell>
          <cell r="N104">
            <v>-0.28199999999999997</v>
          </cell>
          <cell r="O104">
            <v>-144</v>
          </cell>
        </row>
        <row r="105">
          <cell r="A105">
            <v>104</v>
          </cell>
          <cell r="B105">
            <v>6000</v>
          </cell>
          <cell r="C105">
            <v>140</v>
          </cell>
          <cell r="D105">
            <v>550</v>
          </cell>
          <cell r="E105">
            <v>7.6600000000000015E-2</v>
          </cell>
          <cell r="F105">
            <v>9.3899999999999997E-2</v>
          </cell>
          <cell r="G105">
            <v>0.17050000000000001</v>
          </cell>
          <cell r="H105">
            <v>1</v>
          </cell>
          <cell r="I105">
            <v>140</v>
          </cell>
          <cell r="J105">
            <v>1.3</v>
          </cell>
          <cell r="K105">
            <v>154</v>
          </cell>
          <cell r="L105">
            <v>2</v>
          </cell>
          <cell r="M105">
            <v>140</v>
          </cell>
          <cell r="N105">
            <v>-0.23100000000000001</v>
          </cell>
          <cell r="O105">
            <v>-118</v>
          </cell>
        </row>
        <row r="106">
          <cell r="A106">
            <v>105</v>
          </cell>
          <cell r="B106">
            <v>6000</v>
          </cell>
          <cell r="C106">
            <v>160</v>
          </cell>
          <cell r="D106">
            <v>550</v>
          </cell>
          <cell r="E106">
            <v>6.5009999999999998E-2</v>
          </cell>
          <cell r="F106">
            <v>9.0789999999999996E-2</v>
          </cell>
          <cell r="G106">
            <v>0.15579999999999999</v>
          </cell>
          <cell r="H106">
            <v>1</v>
          </cell>
          <cell r="I106">
            <v>160</v>
          </cell>
          <cell r="J106">
            <v>1.1399999999999999</v>
          </cell>
          <cell r="K106">
            <v>134</v>
          </cell>
          <cell r="L106">
            <v>2</v>
          </cell>
          <cell r="M106">
            <v>160</v>
          </cell>
          <cell r="N106">
            <v>-0.193</v>
          </cell>
          <cell r="O106">
            <v>-98.2</v>
          </cell>
        </row>
        <row r="107">
          <cell r="A107">
            <v>106</v>
          </cell>
          <cell r="B107">
            <v>6000</v>
          </cell>
          <cell r="C107">
            <v>180</v>
          </cell>
          <cell r="D107">
            <v>550</v>
          </cell>
          <cell r="E107">
            <v>5.636999999999999E-2</v>
          </cell>
          <cell r="F107">
            <v>8.7330000000000005E-2</v>
          </cell>
          <cell r="G107">
            <v>0.14369999999999999</v>
          </cell>
          <cell r="H107">
            <v>1</v>
          </cell>
          <cell r="I107">
            <v>180</v>
          </cell>
          <cell r="J107">
            <v>0.998</v>
          </cell>
          <cell r="K107">
            <v>118</v>
          </cell>
          <cell r="L107">
            <v>2</v>
          </cell>
          <cell r="M107">
            <v>180</v>
          </cell>
          <cell r="N107">
            <v>-0.16300000000000001</v>
          </cell>
          <cell r="O107">
            <v>-82.9</v>
          </cell>
        </row>
        <row r="108">
          <cell r="A108">
            <v>107</v>
          </cell>
          <cell r="B108">
            <v>6000</v>
          </cell>
          <cell r="C108">
            <v>200</v>
          </cell>
          <cell r="D108">
            <v>550</v>
          </cell>
          <cell r="E108">
            <v>4.9820000000000003E-2</v>
          </cell>
          <cell r="F108">
            <v>8.3779999999999993E-2</v>
          </cell>
          <cell r="G108">
            <v>0.1336</v>
          </cell>
          <cell r="H108">
            <v>1</v>
          </cell>
          <cell r="I108">
            <v>200</v>
          </cell>
          <cell r="J108">
            <v>0.878</v>
          </cell>
          <cell r="K108">
            <v>103</v>
          </cell>
          <cell r="L108">
            <v>2</v>
          </cell>
          <cell r="M108">
            <v>200</v>
          </cell>
          <cell r="N108">
            <v>-0.13900000000000001</v>
          </cell>
          <cell r="O108">
            <v>-70.8</v>
          </cell>
        </row>
        <row r="109">
          <cell r="A109">
            <v>108</v>
          </cell>
          <cell r="B109">
            <v>6000</v>
          </cell>
          <cell r="C109">
            <v>220</v>
          </cell>
          <cell r="D109">
            <v>550</v>
          </cell>
          <cell r="E109">
            <v>4.4829999999999995E-2</v>
          </cell>
          <cell r="F109">
            <v>8.0269999999999994E-2</v>
          </cell>
          <cell r="G109">
            <v>0.12509999999999999</v>
          </cell>
          <cell r="H109">
            <v>1</v>
          </cell>
          <cell r="I109">
            <v>220</v>
          </cell>
          <cell r="J109">
            <v>0.77600000000000002</v>
          </cell>
          <cell r="K109">
            <v>91.1</v>
          </cell>
          <cell r="L109">
            <v>2</v>
          </cell>
          <cell r="M109">
            <v>220</v>
          </cell>
          <cell r="N109">
            <v>-0.12</v>
          </cell>
          <cell r="O109">
            <v>-61.1</v>
          </cell>
        </row>
        <row r="110">
          <cell r="A110">
            <v>109</v>
          </cell>
          <cell r="B110">
            <v>6000</v>
          </cell>
          <cell r="C110">
            <v>240</v>
          </cell>
          <cell r="D110">
            <v>550</v>
          </cell>
          <cell r="E110">
            <v>4.1010000000000005E-2</v>
          </cell>
          <cell r="F110">
            <v>7.689E-2</v>
          </cell>
          <cell r="G110">
            <v>0.1179</v>
          </cell>
          <cell r="H110">
            <v>1</v>
          </cell>
          <cell r="I110">
            <v>240</v>
          </cell>
          <cell r="J110">
            <v>0.68899999999999995</v>
          </cell>
          <cell r="K110">
            <v>80.7</v>
          </cell>
          <cell r="L110">
            <v>2</v>
          </cell>
          <cell r="M110">
            <v>240</v>
          </cell>
          <cell r="N110">
            <v>-0.105</v>
          </cell>
          <cell r="O110">
            <v>-53.2</v>
          </cell>
        </row>
        <row r="111">
          <cell r="A111">
            <v>110</v>
          </cell>
          <cell r="B111">
            <v>6000</v>
          </cell>
          <cell r="C111">
            <v>260</v>
          </cell>
          <cell r="D111">
            <v>550</v>
          </cell>
          <cell r="E111">
            <v>3.7920000000000009E-2</v>
          </cell>
          <cell r="F111">
            <v>7.3679999999999995E-2</v>
          </cell>
          <cell r="G111">
            <v>0.1116</v>
          </cell>
          <cell r="H111">
            <v>1</v>
          </cell>
          <cell r="I111">
            <v>260</v>
          </cell>
          <cell r="J111">
            <v>0.61399999999999999</v>
          </cell>
          <cell r="K111">
            <v>71.900000000000006</v>
          </cell>
          <cell r="L111">
            <v>2</v>
          </cell>
          <cell r="M111">
            <v>260</v>
          </cell>
          <cell r="N111">
            <v>-9.1700000000000004E-2</v>
          </cell>
          <cell r="O111">
            <v>-46.7</v>
          </cell>
        </row>
        <row r="112">
          <cell r="A112">
            <v>111</v>
          </cell>
          <cell r="B112">
            <v>6000</v>
          </cell>
          <cell r="C112">
            <v>280</v>
          </cell>
          <cell r="D112">
            <v>550</v>
          </cell>
          <cell r="E112">
            <v>3.5540000000000002E-2</v>
          </cell>
          <cell r="F112">
            <v>7.0660000000000001E-2</v>
          </cell>
          <cell r="G112">
            <v>0.1062</v>
          </cell>
          <cell r="H112">
            <v>1</v>
          </cell>
          <cell r="I112">
            <v>280</v>
          </cell>
          <cell r="J112">
            <v>0.55000000000000004</v>
          </cell>
          <cell r="K112">
            <v>64.3</v>
          </cell>
          <cell r="L112">
            <v>2</v>
          </cell>
          <cell r="M112">
            <v>280</v>
          </cell>
          <cell r="N112">
            <v>-8.1000000000000003E-2</v>
          </cell>
          <cell r="O112">
            <v>-41.2</v>
          </cell>
        </row>
        <row r="113">
          <cell r="A113">
            <v>112</v>
          </cell>
          <cell r="B113">
            <v>6000</v>
          </cell>
          <cell r="C113">
            <v>300</v>
          </cell>
          <cell r="D113">
            <v>550</v>
          </cell>
          <cell r="E113">
            <v>3.3570000000000003E-2</v>
          </cell>
          <cell r="F113">
            <v>6.7830000000000001E-2</v>
          </cell>
          <cell r="G113">
            <v>0.1014</v>
          </cell>
          <cell r="H113">
            <v>1</v>
          </cell>
          <cell r="I113">
            <v>300</v>
          </cell>
          <cell r="J113">
            <v>0.49399999999999999</v>
          </cell>
          <cell r="K113">
            <v>57.7</v>
          </cell>
          <cell r="L113">
            <v>2</v>
          </cell>
          <cell r="M113">
            <v>300</v>
          </cell>
          <cell r="N113">
            <v>-7.1999999999999995E-2</v>
          </cell>
          <cell r="O113">
            <v>-36.700000000000003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ajz15"/>
      <sheetName val="S15A60_feld"/>
      <sheetName val="S15A60_ered"/>
    </sheetNames>
    <sheetDataSet>
      <sheetData sheetId="0"/>
      <sheetData sheetId="1">
        <row r="1">
          <cell r="B1" t="str">
            <v>E1</v>
          </cell>
          <cell r="C1" t="str">
            <v>h1</v>
          </cell>
          <cell r="D1" t="str">
            <v>E2</v>
          </cell>
          <cell r="E1" t="str">
            <v>d</v>
          </cell>
          <cell r="F1" t="str">
            <v>s300</v>
          </cell>
          <cell r="G1" t="str">
            <v>s1</v>
          </cell>
          <cell r="H1" t="str">
            <v>rtg</v>
          </cell>
          <cell r="I1" t="str">
            <v>z</v>
          </cell>
          <cell r="J1" t="str">
            <v>szigma r</v>
          </cell>
          <cell r="K1" t="str">
            <v>epsz r</v>
          </cell>
          <cell r="L1" t="str">
            <v>rtg</v>
          </cell>
          <cell r="M1" t="str">
            <v>z</v>
          </cell>
          <cell r="N1" t="str">
            <v>szigma z</v>
          </cell>
          <cell r="O1" t="str">
            <v>epsz z</v>
          </cell>
        </row>
        <row r="2">
          <cell r="A2">
            <v>1</v>
          </cell>
          <cell r="B2">
            <v>6000</v>
          </cell>
          <cell r="C2">
            <v>40</v>
          </cell>
          <cell r="D2">
            <v>160</v>
          </cell>
          <cell r="E2">
            <v>0.60299999999999998</v>
          </cell>
          <cell r="F2">
            <v>0.31590000000000001</v>
          </cell>
          <cell r="G2">
            <v>0.91890000000000005</v>
          </cell>
          <cell r="H2">
            <v>1</v>
          </cell>
          <cell r="I2">
            <v>40</v>
          </cell>
          <cell r="J2">
            <v>4.7699999999999996</v>
          </cell>
          <cell r="K2">
            <v>550</v>
          </cell>
          <cell r="L2">
            <v>2</v>
          </cell>
          <cell r="M2">
            <v>40</v>
          </cell>
          <cell r="N2">
            <v>-0.56200000000000006</v>
          </cell>
          <cell r="O2">
            <v>-983</v>
          </cell>
        </row>
        <row r="3">
          <cell r="A3">
            <v>2</v>
          </cell>
          <cell r="B3">
            <v>6000</v>
          </cell>
          <cell r="C3">
            <v>60</v>
          </cell>
          <cell r="D3">
            <v>160</v>
          </cell>
          <cell r="E3">
            <v>0.40549999999999997</v>
          </cell>
          <cell r="F3">
            <v>0.33379999999999999</v>
          </cell>
          <cell r="G3">
            <v>0.73929999999999996</v>
          </cell>
          <cell r="H3">
            <v>1</v>
          </cell>
          <cell r="I3">
            <v>60</v>
          </cell>
          <cell r="J3">
            <v>4.2300000000000004</v>
          </cell>
          <cell r="K3">
            <v>481</v>
          </cell>
          <cell r="L3">
            <v>2</v>
          </cell>
          <cell r="M3">
            <v>60</v>
          </cell>
          <cell r="N3">
            <v>-0.38</v>
          </cell>
          <cell r="O3">
            <v>-664</v>
          </cell>
        </row>
        <row r="4">
          <cell r="A4">
            <v>3</v>
          </cell>
          <cell r="B4">
            <v>6000</v>
          </cell>
          <cell r="C4">
            <v>80</v>
          </cell>
          <cell r="D4">
            <v>160</v>
          </cell>
          <cell r="E4">
            <v>0.27829999999999999</v>
          </cell>
          <cell r="F4">
            <v>0.33069999999999999</v>
          </cell>
          <cell r="G4">
            <v>0.60899999999999999</v>
          </cell>
          <cell r="H4">
            <v>1</v>
          </cell>
          <cell r="I4">
            <v>80</v>
          </cell>
          <cell r="J4">
            <v>3.46</v>
          </cell>
          <cell r="K4">
            <v>391</v>
          </cell>
          <cell r="L4">
            <v>2</v>
          </cell>
          <cell r="M4">
            <v>80</v>
          </cell>
          <cell r="N4">
            <v>-0.26700000000000002</v>
          </cell>
          <cell r="O4">
            <v>-467</v>
          </cell>
        </row>
        <row r="5">
          <cell r="A5">
            <v>4</v>
          </cell>
          <cell r="B5">
            <v>6000</v>
          </cell>
          <cell r="C5">
            <v>100</v>
          </cell>
          <cell r="D5">
            <v>160</v>
          </cell>
          <cell r="E5">
            <v>0.19929999999999998</v>
          </cell>
          <cell r="F5">
            <v>0.31609999999999999</v>
          </cell>
          <cell r="G5">
            <v>0.51539999999999997</v>
          </cell>
          <cell r="H5">
            <v>1</v>
          </cell>
          <cell r="I5">
            <v>100</v>
          </cell>
          <cell r="J5">
            <v>2.83</v>
          </cell>
          <cell r="K5">
            <v>318</v>
          </cell>
          <cell r="L5">
            <v>2</v>
          </cell>
          <cell r="M5">
            <v>100</v>
          </cell>
          <cell r="N5">
            <v>-0.19700000000000001</v>
          </cell>
          <cell r="O5">
            <v>-344</v>
          </cell>
        </row>
        <row r="6">
          <cell r="A6">
            <v>5</v>
          </cell>
          <cell r="B6">
            <v>6000</v>
          </cell>
          <cell r="C6">
            <v>120</v>
          </cell>
          <cell r="D6">
            <v>160</v>
          </cell>
          <cell r="E6">
            <v>0.14899999999999997</v>
          </cell>
          <cell r="F6">
            <v>0.29730000000000001</v>
          </cell>
          <cell r="G6">
            <v>0.44629999999999997</v>
          </cell>
          <cell r="H6">
            <v>1</v>
          </cell>
          <cell r="I6">
            <v>120</v>
          </cell>
          <cell r="J6">
            <v>2.34</v>
          </cell>
          <cell r="K6">
            <v>262</v>
          </cell>
          <cell r="L6">
            <v>2</v>
          </cell>
          <cell r="M6">
            <v>120</v>
          </cell>
          <cell r="N6">
            <v>-0.151</v>
          </cell>
          <cell r="O6">
            <v>-264</v>
          </cell>
        </row>
        <row r="7">
          <cell r="A7">
            <v>6</v>
          </cell>
          <cell r="B7">
            <v>6000</v>
          </cell>
          <cell r="C7">
            <v>140</v>
          </cell>
          <cell r="D7">
            <v>160</v>
          </cell>
          <cell r="E7">
            <v>0.1159</v>
          </cell>
          <cell r="F7">
            <v>0.2777</v>
          </cell>
          <cell r="G7">
            <v>0.39360000000000001</v>
          </cell>
          <cell r="H7">
            <v>1</v>
          </cell>
          <cell r="I7">
            <v>140</v>
          </cell>
          <cell r="J7">
            <v>1.96</v>
          </cell>
          <cell r="K7">
            <v>219</v>
          </cell>
          <cell r="L7">
            <v>2</v>
          </cell>
          <cell r="M7">
            <v>140</v>
          </cell>
          <cell r="N7">
            <v>-0.11899999999999999</v>
          </cell>
          <cell r="O7">
            <v>-209</v>
          </cell>
        </row>
        <row r="8">
          <cell r="A8">
            <v>7</v>
          </cell>
          <cell r="B8">
            <v>6000</v>
          </cell>
          <cell r="C8">
            <v>160</v>
          </cell>
          <cell r="D8">
            <v>160</v>
          </cell>
          <cell r="E8">
            <v>9.3200000000000005E-2</v>
          </cell>
          <cell r="F8">
            <v>0.2591</v>
          </cell>
          <cell r="G8">
            <v>0.3523</v>
          </cell>
          <cell r="H8">
            <v>1</v>
          </cell>
          <cell r="I8">
            <v>160</v>
          </cell>
          <cell r="J8">
            <v>1.66</v>
          </cell>
          <cell r="K8">
            <v>185</v>
          </cell>
          <cell r="L8">
            <v>2</v>
          </cell>
          <cell r="M8">
            <v>160</v>
          </cell>
          <cell r="N8">
            <v>-9.6699999999999994E-2</v>
          </cell>
          <cell r="O8">
            <v>-169</v>
          </cell>
        </row>
        <row r="9">
          <cell r="A9">
            <v>8</v>
          </cell>
          <cell r="B9">
            <v>6000</v>
          </cell>
          <cell r="C9">
            <v>180</v>
          </cell>
          <cell r="D9">
            <v>160</v>
          </cell>
          <cell r="E9">
            <v>7.7199999999999991E-2</v>
          </cell>
          <cell r="F9">
            <v>0.24199999999999999</v>
          </cell>
          <cell r="G9">
            <v>0.31919999999999998</v>
          </cell>
          <cell r="H9">
            <v>1</v>
          </cell>
          <cell r="I9">
            <v>180</v>
          </cell>
          <cell r="J9">
            <v>1.42</v>
          </cell>
          <cell r="K9">
            <v>159</v>
          </cell>
          <cell r="L9">
            <v>2</v>
          </cell>
          <cell r="M9">
            <v>180</v>
          </cell>
          <cell r="N9">
            <v>-0.08</v>
          </cell>
          <cell r="O9">
            <v>-140</v>
          </cell>
        </row>
        <row r="10">
          <cell r="A10">
            <v>9</v>
          </cell>
          <cell r="B10">
            <v>6000</v>
          </cell>
          <cell r="C10">
            <v>200</v>
          </cell>
          <cell r="D10">
            <v>160</v>
          </cell>
          <cell r="E10">
            <v>6.5700000000000036E-2</v>
          </cell>
          <cell r="F10">
            <v>0.22639999999999999</v>
          </cell>
          <cell r="G10">
            <v>0.29210000000000003</v>
          </cell>
          <cell r="H10">
            <v>1</v>
          </cell>
          <cell r="I10">
            <v>200</v>
          </cell>
          <cell r="J10">
            <v>1.23</v>
          </cell>
          <cell r="K10">
            <v>137</v>
          </cell>
          <cell r="L10">
            <v>2</v>
          </cell>
          <cell r="M10">
            <v>200</v>
          </cell>
          <cell r="N10">
            <v>-6.7199999999999996E-2</v>
          </cell>
          <cell r="O10">
            <v>-118</v>
          </cell>
        </row>
        <row r="11">
          <cell r="A11">
            <v>10</v>
          </cell>
          <cell r="B11">
            <v>6000</v>
          </cell>
          <cell r="C11">
            <v>220</v>
          </cell>
          <cell r="D11">
            <v>160</v>
          </cell>
          <cell r="E11">
            <v>5.7200000000000001E-2</v>
          </cell>
          <cell r="F11">
            <v>0.21240000000000001</v>
          </cell>
          <cell r="G11">
            <v>0.26960000000000001</v>
          </cell>
          <cell r="H11">
            <v>1</v>
          </cell>
          <cell r="I11">
            <v>220</v>
          </cell>
          <cell r="J11">
            <v>1.07</v>
          </cell>
          <cell r="K11">
            <v>119</v>
          </cell>
          <cell r="L11">
            <v>2</v>
          </cell>
          <cell r="M11">
            <v>220</v>
          </cell>
          <cell r="N11">
            <v>-5.7200000000000001E-2</v>
          </cell>
          <cell r="O11">
            <v>-100</v>
          </cell>
        </row>
        <row r="12">
          <cell r="A12">
            <v>11</v>
          </cell>
          <cell r="B12">
            <v>6000</v>
          </cell>
          <cell r="C12">
            <v>240</v>
          </cell>
          <cell r="D12">
            <v>160</v>
          </cell>
          <cell r="E12">
            <v>5.0699999999999995E-2</v>
          </cell>
          <cell r="F12">
            <v>0.19989999999999999</v>
          </cell>
          <cell r="G12">
            <v>0.25059999999999999</v>
          </cell>
          <cell r="H12">
            <v>1</v>
          </cell>
          <cell r="I12">
            <v>240</v>
          </cell>
          <cell r="J12">
            <v>0.94099999999999995</v>
          </cell>
          <cell r="K12">
            <v>105</v>
          </cell>
          <cell r="L12">
            <v>2</v>
          </cell>
          <cell r="M12">
            <v>240</v>
          </cell>
          <cell r="N12">
            <v>-4.9299999999999997E-2</v>
          </cell>
          <cell r="O12">
            <v>-86.2</v>
          </cell>
        </row>
        <row r="13">
          <cell r="A13">
            <v>12</v>
          </cell>
          <cell r="B13">
            <v>6000</v>
          </cell>
          <cell r="C13">
            <v>260</v>
          </cell>
          <cell r="D13">
            <v>160</v>
          </cell>
          <cell r="E13">
            <v>4.5800000000000007E-2</v>
          </cell>
          <cell r="F13">
            <v>0.1885</v>
          </cell>
          <cell r="G13">
            <v>0.23430000000000001</v>
          </cell>
          <cell r="H13">
            <v>1</v>
          </cell>
          <cell r="I13">
            <v>260</v>
          </cell>
          <cell r="J13">
            <v>0.83099999999999996</v>
          </cell>
          <cell r="K13">
            <v>92.5</v>
          </cell>
          <cell r="L13">
            <v>2</v>
          </cell>
          <cell r="M13">
            <v>260</v>
          </cell>
          <cell r="N13">
            <v>-4.2799999999999998E-2</v>
          </cell>
          <cell r="O13">
            <v>-75</v>
          </cell>
        </row>
        <row r="14">
          <cell r="A14">
            <v>13</v>
          </cell>
          <cell r="B14">
            <v>6000</v>
          </cell>
          <cell r="C14">
            <v>280</v>
          </cell>
          <cell r="D14">
            <v>160</v>
          </cell>
          <cell r="E14">
            <v>4.1900000000000021E-2</v>
          </cell>
          <cell r="F14">
            <v>0.17829999999999999</v>
          </cell>
          <cell r="G14">
            <v>0.22020000000000001</v>
          </cell>
          <cell r="H14">
            <v>1</v>
          </cell>
          <cell r="I14">
            <v>280</v>
          </cell>
          <cell r="J14">
            <v>0.73899999999999999</v>
          </cell>
          <cell r="K14">
            <v>82.2</v>
          </cell>
          <cell r="L14">
            <v>2</v>
          </cell>
          <cell r="M14">
            <v>280</v>
          </cell>
          <cell r="N14">
            <v>-3.7600000000000001E-2</v>
          </cell>
          <cell r="O14">
            <v>-65.8</v>
          </cell>
        </row>
        <row r="15">
          <cell r="A15">
            <v>14</v>
          </cell>
          <cell r="B15">
            <v>6000</v>
          </cell>
          <cell r="C15">
            <v>300</v>
          </cell>
          <cell r="D15">
            <v>160</v>
          </cell>
          <cell r="E15">
            <v>3.889999999999999E-2</v>
          </cell>
          <cell r="F15">
            <v>0.1691</v>
          </cell>
          <cell r="G15">
            <v>0.20799999999999999</v>
          </cell>
          <cell r="H15">
            <v>1</v>
          </cell>
          <cell r="I15">
            <v>300</v>
          </cell>
          <cell r="J15">
            <v>0.66</v>
          </cell>
          <cell r="K15">
            <v>73.5</v>
          </cell>
          <cell r="L15">
            <v>2</v>
          </cell>
          <cell r="M15">
            <v>300</v>
          </cell>
          <cell r="N15">
            <v>-3.32E-2</v>
          </cell>
          <cell r="O15">
            <v>-58.1</v>
          </cell>
        </row>
        <row r="16">
          <cell r="A16">
            <v>15</v>
          </cell>
          <cell r="B16">
            <v>6000</v>
          </cell>
          <cell r="C16">
            <v>40</v>
          </cell>
          <cell r="D16">
            <v>170</v>
          </cell>
          <cell r="E16">
            <v>0.57669999999999999</v>
          </cell>
          <cell r="F16">
            <v>0.29620000000000002</v>
          </cell>
          <cell r="G16">
            <v>0.87290000000000001</v>
          </cell>
          <cell r="H16">
            <v>1</v>
          </cell>
          <cell r="I16">
            <v>40</v>
          </cell>
          <cell r="J16">
            <v>4.58</v>
          </cell>
          <cell r="K16">
            <v>529</v>
          </cell>
          <cell r="L16">
            <v>2</v>
          </cell>
          <cell r="M16">
            <v>40</v>
          </cell>
          <cell r="N16">
            <v>-0.57099999999999995</v>
          </cell>
          <cell r="O16">
            <v>-940</v>
          </cell>
        </row>
        <row r="17">
          <cell r="A17">
            <v>16</v>
          </cell>
          <cell r="B17">
            <v>6000</v>
          </cell>
          <cell r="C17">
            <v>60</v>
          </cell>
          <cell r="D17">
            <v>170</v>
          </cell>
          <cell r="E17">
            <v>0.39150000000000001</v>
          </cell>
          <cell r="F17">
            <v>0.31380000000000002</v>
          </cell>
          <cell r="G17">
            <v>0.70530000000000004</v>
          </cell>
          <cell r="H17">
            <v>1</v>
          </cell>
          <cell r="I17">
            <v>60</v>
          </cell>
          <cell r="J17">
            <v>4.1100000000000003</v>
          </cell>
          <cell r="K17">
            <v>467</v>
          </cell>
          <cell r="L17">
            <v>2</v>
          </cell>
          <cell r="M17">
            <v>60</v>
          </cell>
          <cell r="N17">
            <v>-0.38900000000000001</v>
          </cell>
          <cell r="O17">
            <v>-640</v>
          </cell>
        </row>
        <row r="18">
          <cell r="A18">
            <v>17</v>
          </cell>
          <cell r="B18">
            <v>6000</v>
          </cell>
          <cell r="C18">
            <v>80</v>
          </cell>
          <cell r="D18">
            <v>170</v>
          </cell>
          <cell r="E18">
            <v>0.27050000000000002</v>
          </cell>
          <cell r="F18">
            <v>0.312</v>
          </cell>
          <cell r="G18">
            <v>0.58250000000000002</v>
          </cell>
          <cell r="H18">
            <v>1</v>
          </cell>
          <cell r="I18">
            <v>80</v>
          </cell>
          <cell r="J18">
            <v>3.38</v>
          </cell>
          <cell r="K18">
            <v>382</v>
          </cell>
          <cell r="L18">
            <v>2</v>
          </cell>
          <cell r="M18">
            <v>80</v>
          </cell>
          <cell r="N18">
            <v>-0.27400000000000002</v>
          </cell>
          <cell r="O18">
            <v>-452</v>
          </cell>
        </row>
        <row r="19">
          <cell r="A19">
            <v>18</v>
          </cell>
          <cell r="B19">
            <v>6000</v>
          </cell>
          <cell r="C19">
            <v>100</v>
          </cell>
          <cell r="D19">
            <v>170</v>
          </cell>
          <cell r="E19">
            <v>0.1946</v>
          </cell>
          <cell r="F19">
            <v>0.29920000000000002</v>
          </cell>
          <cell r="G19">
            <v>0.49380000000000002</v>
          </cell>
          <cell r="H19">
            <v>1</v>
          </cell>
          <cell r="I19">
            <v>100</v>
          </cell>
          <cell r="J19">
            <v>2.77</v>
          </cell>
          <cell r="K19">
            <v>312</v>
          </cell>
          <cell r="L19">
            <v>2</v>
          </cell>
          <cell r="M19">
            <v>100</v>
          </cell>
          <cell r="N19">
            <v>-0.20300000000000001</v>
          </cell>
          <cell r="O19">
            <v>-334</v>
          </cell>
        </row>
        <row r="20">
          <cell r="A20">
            <v>19</v>
          </cell>
          <cell r="B20">
            <v>6000</v>
          </cell>
          <cell r="C20">
            <v>120</v>
          </cell>
          <cell r="D20">
            <v>170</v>
          </cell>
          <cell r="E20">
            <v>0.14600000000000002</v>
          </cell>
          <cell r="F20">
            <v>0.28199999999999997</v>
          </cell>
          <cell r="G20">
            <v>0.42799999999999999</v>
          </cell>
          <cell r="H20">
            <v>1</v>
          </cell>
          <cell r="I20">
            <v>120</v>
          </cell>
          <cell r="J20">
            <v>2.29</v>
          </cell>
          <cell r="K20">
            <v>257</v>
          </cell>
          <cell r="L20">
            <v>2</v>
          </cell>
          <cell r="M20">
            <v>120</v>
          </cell>
          <cell r="N20">
            <v>-0.156</v>
          </cell>
          <cell r="O20">
            <v>-257</v>
          </cell>
        </row>
        <row r="21">
          <cell r="A21">
            <v>20</v>
          </cell>
          <cell r="B21">
            <v>6000</v>
          </cell>
          <cell r="C21">
            <v>140</v>
          </cell>
          <cell r="D21">
            <v>170</v>
          </cell>
          <cell r="E21">
            <v>0.11380000000000001</v>
          </cell>
          <cell r="F21">
            <v>0.26400000000000001</v>
          </cell>
          <cell r="G21">
            <v>0.37780000000000002</v>
          </cell>
          <cell r="H21">
            <v>1</v>
          </cell>
          <cell r="I21">
            <v>140</v>
          </cell>
          <cell r="J21">
            <v>1.92</v>
          </cell>
          <cell r="K21">
            <v>216</v>
          </cell>
          <cell r="L21">
            <v>2</v>
          </cell>
          <cell r="M21">
            <v>140</v>
          </cell>
          <cell r="N21">
            <v>-0.123</v>
          </cell>
          <cell r="O21">
            <v>-203</v>
          </cell>
        </row>
        <row r="22">
          <cell r="A22">
            <v>21</v>
          </cell>
          <cell r="B22">
            <v>6000</v>
          </cell>
          <cell r="C22">
            <v>160</v>
          </cell>
          <cell r="D22">
            <v>170</v>
          </cell>
          <cell r="E22">
            <v>9.180000000000002E-2</v>
          </cell>
          <cell r="F22">
            <v>0.2467</v>
          </cell>
          <cell r="G22">
            <v>0.33850000000000002</v>
          </cell>
          <cell r="H22">
            <v>1</v>
          </cell>
          <cell r="I22">
            <v>160</v>
          </cell>
          <cell r="J22">
            <v>1.63</v>
          </cell>
          <cell r="K22">
            <v>183</v>
          </cell>
          <cell r="L22">
            <v>2</v>
          </cell>
          <cell r="M22">
            <v>160</v>
          </cell>
          <cell r="N22">
            <v>-0.1</v>
          </cell>
          <cell r="O22">
            <v>-165</v>
          </cell>
        </row>
        <row r="23">
          <cell r="A23">
            <v>22</v>
          </cell>
          <cell r="B23">
            <v>6000</v>
          </cell>
          <cell r="C23">
            <v>180</v>
          </cell>
          <cell r="D23">
            <v>170</v>
          </cell>
          <cell r="E23">
            <v>7.6100000000000029E-2</v>
          </cell>
          <cell r="F23">
            <v>0.23069999999999999</v>
          </cell>
          <cell r="G23">
            <v>0.30680000000000002</v>
          </cell>
          <cell r="H23">
            <v>1</v>
          </cell>
          <cell r="I23">
            <v>180</v>
          </cell>
          <cell r="J23">
            <v>1.4</v>
          </cell>
          <cell r="K23">
            <v>157</v>
          </cell>
          <cell r="L23">
            <v>2</v>
          </cell>
          <cell r="M23">
            <v>180</v>
          </cell>
          <cell r="N23">
            <v>-8.3000000000000004E-2</v>
          </cell>
          <cell r="O23">
            <v>-137</v>
          </cell>
        </row>
        <row r="24">
          <cell r="A24">
            <v>23</v>
          </cell>
          <cell r="B24">
            <v>6000</v>
          </cell>
          <cell r="C24">
            <v>200</v>
          </cell>
          <cell r="D24">
            <v>170</v>
          </cell>
          <cell r="E24">
            <v>6.4900000000000041E-2</v>
          </cell>
          <cell r="F24">
            <v>0.21609999999999999</v>
          </cell>
          <cell r="G24">
            <v>0.28100000000000003</v>
          </cell>
          <cell r="H24">
            <v>1</v>
          </cell>
          <cell r="I24">
            <v>200</v>
          </cell>
          <cell r="J24">
            <v>1.21</v>
          </cell>
          <cell r="K24">
            <v>135</v>
          </cell>
          <cell r="L24">
            <v>2</v>
          </cell>
          <cell r="M24">
            <v>200</v>
          </cell>
          <cell r="N24">
            <v>-6.9699999999999998E-2</v>
          </cell>
          <cell r="O24">
            <v>-115</v>
          </cell>
        </row>
        <row r="25">
          <cell r="A25">
            <v>24</v>
          </cell>
          <cell r="B25">
            <v>6000</v>
          </cell>
          <cell r="C25">
            <v>220</v>
          </cell>
          <cell r="D25">
            <v>170</v>
          </cell>
          <cell r="E25">
            <v>5.6500000000000022E-2</v>
          </cell>
          <cell r="F25">
            <v>0.2029</v>
          </cell>
          <cell r="G25">
            <v>0.25940000000000002</v>
          </cell>
          <cell r="H25">
            <v>1</v>
          </cell>
          <cell r="I25">
            <v>220</v>
          </cell>
          <cell r="J25">
            <v>1.06</v>
          </cell>
          <cell r="K25">
            <v>118</v>
          </cell>
          <cell r="L25">
            <v>2</v>
          </cell>
          <cell r="M25">
            <v>220</v>
          </cell>
          <cell r="N25">
            <v>-5.9400000000000001E-2</v>
          </cell>
          <cell r="O25">
            <v>-97.9</v>
          </cell>
        </row>
        <row r="26">
          <cell r="A26">
            <v>25</v>
          </cell>
          <cell r="B26">
            <v>6000</v>
          </cell>
          <cell r="C26">
            <v>240</v>
          </cell>
          <cell r="D26">
            <v>170</v>
          </cell>
          <cell r="E26">
            <v>5.0199999999999995E-2</v>
          </cell>
          <cell r="F26">
            <v>0.191</v>
          </cell>
          <cell r="G26">
            <v>0.2412</v>
          </cell>
          <cell r="H26">
            <v>1</v>
          </cell>
          <cell r="I26">
            <v>240</v>
          </cell>
          <cell r="J26">
            <v>0.92900000000000005</v>
          </cell>
          <cell r="K26">
            <v>104</v>
          </cell>
          <cell r="L26">
            <v>2</v>
          </cell>
          <cell r="M26">
            <v>240</v>
          </cell>
          <cell r="N26">
            <v>-5.1200000000000002E-2</v>
          </cell>
          <cell r="O26">
            <v>-84.3</v>
          </cell>
        </row>
        <row r="27">
          <cell r="A27">
            <v>26</v>
          </cell>
          <cell r="B27">
            <v>6000</v>
          </cell>
          <cell r="C27">
            <v>260</v>
          </cell>
          <cell r="D27">
            <v>170</v>
          </cell>
          <cell r="E27">
            <v>4.5400000000000024E-2</v>
          </cell>
          <cell r="F27">
            <v>0.18029999999999999</v>
          </cell>
          <cell r="G27">
            <v>0.22570000000000001</v>
          </cell>
          <cell r="H27">
            <v>1</v>
          </cell>
          <cell r="I27">
            <v>260</v>
          </cell>
          <cell r="J27">
            <v>0.82099999999999995</v>
          </cell>
          <cell r="K27">
            <v>91.5</v>
          </cell>
          <cell r="L27">
            <v>2</v>
          </cell>
          <cell r="M27">
            <v>260</v>
          </cell>
          <cell r="N27">
            <v>-4.4499999999999998E-2</v>
          </cell>
          <cell r="O27">
            <v>-73.400000000000006</v>
          </cell>
        </row>
        <row r="28">
          <cell r="A28">
            <v>27</v>
          </cell>
          <cell r="B28">
            <v>6000</v>
          </cell>
          <cell r="C28">
            <v>280</v>
          </cell>
          <cell r="D28">
            <v>170</v>
          </cell>
          <cell r="E28">
            <v>4.1599999999999998E-2</v>
          </cell>
          <cell r="F28">
            <v>0.1706</v>
          </cell>
          <cell r="G28">
            <v>0.2122</v>
          </cell>
          <cell r="H28">
            <v>1</v>
          </cell>
          <cell r="I28">
            <v>280</v>
          </cell>
          <cell r="J28">
            <v>0.73</v>
          </cell>
          <cell r="K28">
            <v>81.3</v>
          </cell>
          <cell r="L28">
            <v>2</v>
          </cell>
          <cell r="M28">
            <v>280</v>
          </cell>
          <cell r="N28">
            <v>-3.9100000000000003E-2</v>
          </cell>
          <cell r="O28">
            <v>-64.400000000000006</v>
          </cell>
        </row>
        <row r="29">
          <cell r="A29">
            <v>28</v>
          </cell>
          <cell r="B29">
            <v>6000</v>
          </cell>
          <cell r="C29">
            <v>300</v>
          </cell>
          <cell r="D29">
            <v>170</v>
          </cell>
          <cell r="E29">
            <v>3.8600000000000023E-2</v>
          </cell>
          <cell r="F29">
            <v>0.16189999999999999</v>
          </cell>
          <cell r="G29">
            <v>0.20050000000000001</v>
          </cell>
          <cell r="H29">
            <v>1</v>
          </cell>
          <cell r="I29">
            <v>300</v>
          </cell>
          <cell r="J29">
            <v>0.65200000000000002</v>
          </cell>
          <cell r="K29">
            <v>72.7</v>
          </cell>
          <cell r="L29">
            <v>2</v>
          </cell>
          <cell r="M29">
            <v>300</v>
          </cell>
          <cell r="N29">
            <v>-3.4500000000000003E-2</v>
          </cell>
          <cell r="O29">
            <v>-56.9</v>
          </cell>
        </row>
        <row r="30">
          <cell r="A30">
            <v>29</v>
          </cell>
          <cell r="B30">
            <v>6000</v>
          </cell>
          <cell r="C30">
            <v>40</v>
          </cell>
          <cell r="D30">
            <v>180</v>
          </cell>
          <cell r="E30">
            <v>0.55269999999999997</v>
          </cell>
          <cell r="F30">
            <v>0.27879999999999999</v>
          </cell>
          <cell r="G30">
            <v>0.83150000000000002</v>
          </cell>
          <cell r="H30">
            <v>1</v>
          </cell>
          <cell r="I30">
            <v>40</v>
          </cell>
          <cell r="J30">
            <v>4.3899999999999997</v>
          </cell>
          <cell r="K30">
            <v>510</v>
          </cell>
          <cell r="L30">
            <v>2</v>
          </cell>
          <cell r="M30">
            <v>40</v>
          </cell>
          <cell r="N30">
            <v>-0.57899999999999996</v>
          </cell>
          <cell r="O30">
            <v>-901</v>
          </cell>
        </row>
        <row r="31">
          <cell r="A31">
            <v>30</v>
          </cell>
          <cell r="B31">
            <v>6000</v>
          </cell>
          <cell r="C31">
            <v>60</v>
          </cell>
          <cell r="D31">
            <v>180</v>
          </cell>
          <cell r="E31">
            <v>0.37869999999999998</v>
          </cell>
          <cell r="F31">
            <v>0.2959</v>
          </cell>
          <cell r="G31">
            <v>0.67459999999999998</v>
          </cell>
          <cell r="H31">
            <v>1</v>
          </cell>
          <cell r="I31">
            <v>60</v>
          </cell>
          <cell r="J31">
            <v>3.99</v>
          </cell>
          <cell r="K31">
            <v>455</v>
          </cell>
          <cell r="L31">
            <v>2</v>
          </cell>
          <cell r="M31">
            <v>60</v>
          </cell>
          <cell r="N31">
            <v>-0.39700000000000002</v>
          </cell>
          <cell r="O31">
            <v>-618</v>
          </cell>
        </row>
        <row r="32">
          <cell r="A32">
            <v>31</v>
          </cell>
          <cell r="B32">
            <v>6000</v>
          </cell>
          <cell r="C32">
            <v>80</v>
          </cell>
          <cell r="D32">
            <v>180</v>
          </cell>
          <cell r="E32">
            <v>0.26319999999999999</v>
          </cell>
          <cell r="F32">
            <v>0.29520000000000002</v>
          </cell>
          <cell r="G32">
            <v>0.55840000000000001</v>
          </cell>
          <cell r="H32">
            <v>1</v>
          </cell>
          <cell r="I32">
            <v>80</v>
          </cell>
          <cell r="J32">
            <v>3.3</v>
          </cell>
          <cell r="K32">
            <v>374</v>
          </cell>
          <cell r="L32">
            <v>2</v>
          </cell>
          <cell r="M32">
            <v>80</v>
          </cell>
          <cell r="N32">
            <v>-0.28199999999999997</v>
          </cell>
          <cell r="O32">
            <v>-438</v>
          </cell>
        </row>
        <row r="33">
          <cell r="A33">
            <v>32</v>
          </cell>
          <cell r="B33">
            <v>6000</v>
          </cell>
          <cell r="C33">
            <v>100</v>
          </cell>
          <cell r="D33">
            <v>180</v>
          </cell>
          <cell r="E33">
            <v>0.19020000000000004</v>
          </cell>
          <cell r="F33">
            <v>0.28389999999999999</v>
          </cell>
          <cell r="G33">
            <v>0.47410000000000002</v>
          </cell>
          <cell r="H33">
            <v>1</v>
          </cell>
          <cell r="I33">
            <v>100</v>
          </cell>
          <cell r="J33">
            <v>2.71</v>
          </cell>
          <cell r="K33">
            <v>306</v>
          </cell>
          <cell r="L33">
            <v>2</v>
          </cell>
          <cell r="M33">
            <v>100</v>
          </cell>
          <cell r="N33">
            <v>-0.20899999999999999</v>
          </cell>
          <cell r="O33">
            <v>-325</v>
          </cell>
        </row>
        <row r="34">
          <cell r="A34">
            <v>33</v>
          </cell>
          <cell r="B34">
            <v>6000</v>
          </cell>
          <cell r="C34">
            <v>120</v>
          </cell>
          <cell r="D34">
            <v>180</v>
          </cell>
          <cell r="E34">
            <v>0.14319999999999999</v>
          </cell>
          <cell r="F34">
            <v>0.26829999999999998</v>
          </cell>
          <cell r="G34">
            <v>0.41149999999999998</v>
          </cell>
          <cell r="H34">
            <v>1</v>
          </cell>
          <cell r="I34">
            <v>120</v>
          </cell>
          <cell r="J34">
            <v>2.25</v>
          </cell>
          <cell r="K34">
            <v>253</v>
          </cell>
          <cell r="L34">
            <v>2</v>
          </cell>
          <cell r="M34">
            <v>120</v>
          </cell>
          <cell r="N34">
            <v>-0.161</v>
          </cell>
          <cell r="O34">
            <v>-250</v>
          </cell>
        </row>
        <row r="35">
          <cell r="A35">
            <v>34</v>
          </cell>
          <cell r="B35">
            <v>6000</v>
          </cell>
          <cell r="C35">
            <v>140</v>
          </cell>
          <cell r="D35">
            <v>180</v>
          </cell>
          <cell r="E35">
            <v>0.11180000000000001</v>
          </cell>
          <cell r="F35">
            <v>0.25169999999999998</v>
          </cell>
          <cell r="G35">
            <v>0.36349999999999999</v>
          </cell>
          <cell r="H35">
            <v>1</v>
          </cell>
          <cell r="I35">
            <v>140</v>
          </cell>
          <cell r="J35">
            <v>1.89</v>
          </cell>
          <cell r="K35">
            <v>212</v>
          </cell>
          <cell r="L35">
            <v>2</v>
          </cell>
          <cell r="M35">
            <v>140</v>
          </cell>
          <cell r="N35">
            <v>-0.128</v>
          </cell>
          <cell r="O35">
            <v>-198</v>
          </cell>
        </row>
        <row r="36">
          <cell r="A36">
            <v>35</v>
          </cell>
          <cell r="B36">
            <v>6000</v>
          </cell>
          <cell r="C36">
            <v>160</v>
          </cell>
          <cell r="D36">
            <v>180</v>
          </cell>
          <cell r="E36">
            <v>9.0400000000000036E-2</v>
          </cell>
          <cell r="F36">
            <v>0.23549999999999999</v>
          </cell>
          <cell r="G36">
            <v>0.32590000000000002</v>
          </cell>
          <cell r="H36">
            <v>1</v>
          </cell>
          <cell r="I36">
            <v>160</v>
          </cell>
          <cell r="J36">
            <v>1.61</v>
          </cell>
          <cell r="K36">
            <v>180</v>
          </cell>
          <cell r="L36">
            <v>2</v>
          </cell>
          <cell r="M36">
            <v>160</v>
          </cell>
          <cell r="N36">
            <v>-0.104</v>
          </cell>
          <cell r="O36">
            <v>-161</v>
          </cell>
        </row>
        <row r="37">
          <cell r="A37">
            <v>36</v>
          </cell>
          <cell r="B37">
            <v>6000</v>
          </cell>
          <cell r="C37">
            <v>180</v>
          </cell>
          <cell r="D37">
            <v>180</v>
          </cell>
          <cell r="E37">
            <v>7.5099999999999972E-2</v>
          </cell>
          <cell r="F37">
            <v>0.2205</v>
          </cell>
          <cell r="G37">
            <v>0.29559999999999997</v>
          </cell>
          <cell r="H37">
            <v>1</v>
          </cell>
          <cell r="I37">
            <v>180</v>
          </cell>
          <cell r="J37">
            <v>1.38</v>
          </cell>
          <cell r="K37">
            <v>155</v>
          </cell>
          <cell r="L37">
            <v>2</v>
          </cell>
          <cell r="M37">
            <v>180</v>
          </cell>
          <cell r="N37">
            <v>-8.5900000000000004E-2</v>
          </cell>
          <cell r="O37">
            <v>-134</v>
          </cell>
        </row>
        <row r="38">
          <cell r="A38">
            <v>37</v>
          </cell>
          <cell r="B38">
            <v>6000</v>
          </cell>
          <cell r="C38">
            <v>200</v>
          </cell>
          <cell r="D38">
            <v>180</v>
          </cell>
          <cell r="E38">
            <v>6.409999999999999E-2</v>
          </cell>
          <cell r="F38">
            <v>0.20669999999999999</v>
          </cell>
          <cell r="G38">
            <v>0.27079999999999999</v>
          </cell>
          <cell r="H38">
            <v>1</v>
          </cell>
          <cell r="I38">
            <v>200</v>
          </cell>
          <cell r="J38">
            <v>1.2</v>
          </cell>
          <cell r="K38">
            <v>134</v>
          </cell>
          <cell r="L38">
            <v>2</v>
          </cell>
          <cell r="M38">
            <v>200</v>
          </cell>
          <cell r="N38">
            <v>-7.22E-2</v>
          </cell>
          <cell r="O38">
            <v>-112</v>
          </cell>
        </row>
        <row r="39">
          <cell r="A39">
            <v>38</v>
          </cell>
          <cell r="B39">
            <v>6000</v>
          </cell>
          <cell r="C39">
            <v>220</v>
          </cell>
          <cell r="D39">
            <v>180</v>
          </cell>
          <cell r="E39">
            <v>5.5899999999999977E-2</v>
          </cell>
          <cell r="F39">
            <v>0.1943</v>
          </cell>
          <cell r="G39">
            <v>0.25019999999999998</v>
          </cell>
          <cell r="H39">
            <v>1</v>
          </cell>
          <cell r="I39">
            <v>220</v>
          </cell>
          <cell r="J39">
            <v>1.04</v>
          </cell>
          <cell r="K39">
            <v>117</v>
          </cell>
          <cell r="L39">
            <v>2</v>
          </cell>
          <cell r="M39">
            <v>220</v>
          </cell>
          <cell r="N39">
            <v>-6.1600000000000002E-2</v>
          </cell>
          <cell r="O39">
            <v>-95.8</v>
          </cell>
        </row>
        <row r="40">
          <cell r="A40">
            <v>39</v>
          </cell>
          <cell r="B40">
            <v>6000</v>
          </cell>
          <cell r="C40">
            <v>240</v>
          </cell>
          <cell r="D40">
            <v>180</v>
          </cell>
          <cell r="E40">
            <v>4.9800000000000011E-2</v>
          </cell>
          <cell r="F40">
            <v>0.183</v>
          </cell>
          <cell r="G40">
            <v>0.23280000000000001</v>
          </cell>
          <cell r="H40">
            <v>1</v>
          </cell>
          <cell r="I40">
            <v>240</v>
          </cell>
          <cell r="J40">
            <v>0.91700000000000004</v>
          </cell>
          <cell r="K40">
            <v>102</v>
          </cell>
          <cell r="L40">
            <v>2</v>
          </cell>
          <cell r="M40">
            <v>240</v>
          </cell>
          <cell r="N40">
            <v>-5.3100000000000001E-2</v>
          </cell>
          <cell r="O40">
            <v>-82.6</v>
          </cell>
        </row>
        <row r="41">
          <cell r="A41">
            <v>40</v>
          </cell>
          <cell r="B41">
            <v>6000</v>
          </cell>
          <cell r="C41">
            <v>260</v>
          </cell>
          <cell r="D41">
            <v>180</v>
          </cell>
          <cell r="E41">
            <v>4.5100000000000001E-2</v>
          </cell>
          <cell r="F41">
            <v>0.17280000000000001</v>
          </cell>
          <cell r="G41">
            <v>0.21790000000000001</v>
          </cell>
          <cell r="H41">
            <v>1</v>
          </cell>
          <cell r="I41">
            <v>260</v>
          </cell>
          <cell r="J41">
            <v>0.81100000000000005</v>
          </cell>
          <cell r="K41">
            <v>90.5</v>
          </cell>
          <cell r="L41">
            <v>2</v>
          </cell>
          <cell r="M41">
            <v>260</v>
          </cell>
          <cell r="N41">
            <v>-4.6199999999999998E-2</v>
          </cell>
          <cell r="O41">
            <v>-71.900000000000006</v>
          </cell>
        </row>
        <row r="42">
          <cell r="A42">
            <v>41</v>
          </cell>
          <cell r="B42">
            <v>6000</v>
          </cell>
          <cell r="C42">
            <v>280</v>
          </cell>
          <cell r="D42">
            <v>180</v>
          </cell>
          <cell r="E42">
            <v>4.1299999999999976E-2</v>
          </cell>
          <cell r="F42">
            <v>0.16370000000000001</v>
          </cell>
          <cell r="G42">
            <v>0.20499999999999999</v>
          </cell>
          <cell r="H42">
            <v>1</v>
          </cell>
          <cell r="I42">
            <v>280</v>
          </cell>
          <cell r="J42">
            <v>0.72099999999999997</v>
          </cell>
          <cell r="K42">
            <v>80.5</v>
          </cell>
          <cell r="L42">
            <v>2</v>
          </cell>
          <cell r="M42">
            <v>280</v>
          </cell>
          <cell r="N42">
            <v>-4.0500000000000001E-2</v>
          </cell>
          <cell r="O42">
            <v>-63.1</v>
          </cell>
        </row>
        <row r="43">
          <cell r="A43">
            <v>42</v>
          </cell>
          <cell r="B43">
            <v>6000</v>
          </cell>
          <cell r="C43">
            <v>300</v>
          </cell>
          <cell r="D43">
            <v>180</v>
          </cell>
          <cell r="E43">
            <v>3.8300000000000001E-2</v>
          </cell>
          <cell r="F43">
            <v>0.15540000000000001</v>
          </cell>
          <cell r="G43">
            <v>0.19370000000000001</v>
          </cell>
          <cell r="H43">
            <v>1</v>
          </cell>
          <cell r="I43">
            <v>300</v>
          </cell>
          <cell r="J43">
            <v>0.64500000000000002</v>
          </cell>
          <cell r="K43">
            <v>71.900000000000006</v>
          </cell>
          <cell r="L43">
            <v>2</v>
          </cell>
          <cell r="M43">
            <v>300</v>
          </cell>
          <cell r="N43">
            <v>-3.5799999999999998E-2</v>
          </cell>
          <cell r="O43">
            <v>-55.8</v>
          </cell>
        </row>
        <row r="44">
          <cell r="A44">
            <v>43</v>
          </cell>
          <cell r="B44">
            <v>6000</v>
          </cell>
          <cell r="C44">
            <v>40</v>
          </cell>
          <cell r="D44">
            <v>190</v>
          </cell>
          <cell r="E44">
            <v>0.53080000000000005</v>
          </cell>
          <cell r="F44">
            <v>0.26319999999999999</v>
          </cell>
          <cell r="G44">
            <v>0.79400000000000004</v>
          </cell>
          <cell r="H44">
            <v>1</v>
          </cell>
          <cell r="I44">
            <v>40</v>
          </cell>
          <cell r="J44">
            <v>4.22</v>
          </cell>
          <cell r="K44">
            <v>492</v>
          </cell>
          <cell r="L44">
            <v>2</v>
          </cell>
          <cell r="M44">
            <v>40</v>
          </cell>
          <cell r="N44">
            <v>-0.58699999999999997</v>
          </cell>
          <cell r="O44">
            <v>-865</v>
          </cell>
        </row>
        <row r="45">
          <cell r="A45">
            <v>44</v>
          </cell>
          <cell r="B45">
            <v>6000</v>
          </cell>
          <cell r="C45">
            <v>60</v>
          </cell>
          <cell r="D45">
            <v>190</v>
          </cell>
          <cell r="E45">
            <v>0.36680000000000007</v>
          </cell>
          <cell r="F45">
            <v>0.27989999999999998</v>
          </cell>
          <cell r="G45">
            <v>0.64670000000000005</v>
          </cell>
          <cell r="H45">
            <v>1</v>
          </cell>
          <cell r="I45">
            <v>60</v>
          </cell>
          <cell r="J45">
            <v>3.88</v>
          </cell>
          <cell r="K45">
            <v>444</v>
          </cell>
          <cell r="L45">
            <v>2</v>
          </cell>
          <cell r="M45">
            <v>60</v>
          </cell>
          <cell r="N45">
            <v>-0.40600000000000003</v>
          </cell>
          <cell r="O45">
            <v>-598</v>
          </cell>
        </row>
        <row r="46">
          <cell r="A46">
            <v>45</v>
          </cell>
          <cell r="B46">
            <v>6000</v>
          </cell>
          <cell r="C46">
            <v>80</v>
          </cell>
          <cell r="D46">
            <v>190</v>
          </cell>
          <cell r="E46">
            <v>0.25639999999999996</v>
          </cell>
          <cell r="F46">
            <v>0.28010000000000002</v>
          </cell>
          <cell r="G46">
            <v>0.53649999999999998</v>
          </cell>
          <cell r="H46">
            <v>1</v>
          </cell>
          <cell r="I46">
            <v>80</v>
          </cell>
          <cell r="J46">
            <v>3.22</v>
          </cell>
          <cell r="K46">
            <v>366</v>
          </cell>
          <cell r="L46">
            <v>2</v>
          </cell>
          <cell r="M46">
            <v>80</v>
          </cell>
          <cell r="N46">
            <v>-0.28899999999999998</v>
          </cell>
          <cell r="O46">
            <v>-426</v>
          </cell>
        </row>
        <row r="47">
          <cell r="A47">
            <v>46</v>
          </cell>
          <cell r="B47">
            <v>6000</v>
          </cell>
          <cell r="C47">
            <v>100</v>
          </cell>
          <cell r="D47">
            <v>190</v>
          </cell>
          <cell r="E47">
            <v>0.186</v>
          </cell>
          <cell r="F47">
            <v>0.2702</v>
          </cell>
          <cell r="G47">
            <v>0.45619999999999999</v>
          </cell>
          <cell r="H47">
            <v>1</v>
          </cell>
          <cell r="I47">
            <v>100</v>
          </cell>
          <cell r="J47">
            <v>2.66</v>
          </cell>
          <cell r="K47">
            <v>301</v>
          </cell>
          <cell r="L47">
            <v>2</v>
          </cell>
          <cell r="M47">
            <v>100</v>
          </cell>
          <cell r="N47">
            <v>-0.215</v>
          </cell>
          <cell r="O47">
            <v>-316</v>
          </cell>
        </row>
        <row r="48">
          <cell r="A48">
            <v>47</v>
          </cell>
          <cell r="B48">
            <v>6000</v>
          </cell>
          <cell r="C48">
            <v>120</v>
          </cell>
          <cell r="D48">
            <v>190</v>
          </cell>
          <cell r="E48">
            <v>0.14049999999999996</v>
          </cell>
          <cell r="F48">
            <v>0.25590000000000002</v>
          </cell>
          <cell r="G48">
            <v>0.39639999999999997</v>
          </cell>
          <cell r="H48">
            <v>1</v>
          </cell>
          <cell r="I48">
            <v>120</v>
          </cell>
          <cell r="J48">
            <v>2.21</v>
          </cell>
          <cell r="K48">
            <v>249</v>
          </cell>
          <cell r="L48">
            <v>2</v>
          </cell>
          <cell r="M48">
            <v>120</v>
          </cell>
          <cell r="N48">
            <v>-0.16500000000000001</v>
          </cell>
          <cell r="O48">
            <v>-244</v>
          </cell>
        </row>
        <row r="49">
          <cell r="A49">
            <v>48</v>
          </cell>
          <cell r="B49">
            <v>6000</v>
          </cell>
          <cell r="C49">
            <v>140</v>
          </cell>
          <cell r="D49">
            <v>190</v>
          </cell>
          <cell r="E49">
            <v>0.11009999999999998</v>
          </cell>
          <cell r="F49">
            <v>0.2404</v>
          </cell>
          <cell r="G49">
            <v>0.35049999999999998</v>
          </cell>
          <cell r="H49">
            <v>1</v>
          </cell>
          <cell r="I49">
            <v>140</v>
          </cell>
          <cell r="J49">
            <v>1.86</v>
          </cell>
          <cell r="K49">
            <v>210</v>
          </cell>
          <cell r="L49">
            <v>2</v>
          </cell>
          <cell r="M49">
            <v>140</v>
          </cell>
          <cell r="N49">
            <v>-0.13200000000000001</v>
          </cell>
          <cell r="O49">
            <v>-194</v>
          </cell>
        </row>
        <row r="50">
          <cell r="A50">
            <v>49</v>
          </cell>
          <cell r="B50">
            <v>6000</v>
          </cell>
          <cell r="C50">
            <v>160</v>
          </cell>
          <cell r="D50">
            <v>190</v>
          </cell>
          <cell r="E50">
            <v>8.9100000000000013E-2</v>
          </cell>
          <cell r="F50">
            <v>0.2253</v>
          </cell>
          <cell r="G50">
            <v>0.31440000000000001</v>
          </cell>
          <cell r="H50">
            <v>1</v>
          </cell>
          <cell r="I50">
            <v>160</v>
          </cell>
          <cell r="J50">
            <v>1.59</v>
          </cell>
          <cell r="K50">
            <v>178</v>
          </cell>
          <cell r="L50">
            <v>2</v>
          </cell>
          <cell r="M50">
            <v>160</v>
          </cell>
          <cell r="N50">
            <v>-0.107</v>
          </cell>
          <cell r="O50">
            <v>-158</v>
          </cell>
        </row>
        <row r="51">
          <cell r="A51">
            <v>50</v>
          </cell>
          <cell r="B51">
            <v>6000</v>
          </cell>
          <cell r="C51">
            <v>180</v>
          </cell>
          <cell r="D51">
            <v>190</v>
          </cell>
          <cell r="E51">
            <v>7.4199999999999988E-2</v>
          </cell>
          <cell r="F51">
            <v>0.2112</v>
          </cell>
          <cell r="G51">
            <v>0.28539999999999999</v>
          </cell>
          <cell r="H51">
            <v>1</v>
          </cell>
          <cell r="I51">
            <v>180</v>
          </cell>
          <cell r="J51">
            <v>1.36</v>
          </cell>
          <cell r="K51">
            <v>153</v>
          </cell>
          <cell r="L51">
            <v>2</v>
          </cell>
          <cell r="M51">
            <v>180</v>
          </cell>
          <cell r="N51">
            <v>-8.8700000000000001E-2</v>
          </cell>
          <cell r="O51">
            <v>-131</v>
          </cell>
        </row>
        <row r="52">
          <cell r="A52">
            <v>51</v>
          </cell>
          <cell r="B52">
            <v>6000</v>
          </cell>
          <cell r="C52">
            <v>200</v>
          </cell>
          <cell r="D52">
            <v>190</v>
          </cell>
          <cell r="E52">
            <v>6.3400000000000012E-2</v>
          </cell>
          <cell r="F52">
            <v>0.19819999999999999</v>
          </cell>
          <cell r="G52">
            <v>0.2616</v>
          </cell>
          <cell r="H52">
            <v>1</v>
          </cell>
          <cell r="I52">
            <v>200</v>
          </cell>
          <cell r="J52">
            <v>1.18</v>
          </cell>
          <cell r="K52">
            <v>132</v>
          </cell>
          <cell r="L52">
            <v>2</v>
          </cell>
          <cell r="M52">
            <v>200</v>
          </cell>
          <cell r="N52">
            <v>-7.4700000000000003E-2</v>
          </cell>
          <cell r="O52">
            <v>-110</v>
          </cell>
        </row>
        <row r="53">
          <cell r="A53">
            <v>52</v>
          </cell>
          <cell r="B53">
            <v>6000</v>
          </cell>
          <cell r="C53">
            <v>220</v>
          </cell>
          <cell r="D53">
            <v>190</v>
          </cell>
          <cell r="E53">
            <v>5.5399999999999977E-2</v>
          </cell>
          <cell r="F53">
            <v>0.18640000000000001</v>
          </cell>
          <cell r="G53">
            <v>0.24179999999999999</v>
          </cell>
          <cell r="H53">
            <v>1</v>
          </cell>
          <cell r="I53">
            <v>220</v>
          </cell>
          <cell r="J53">
            <v>1.03</v>
          </cell>
          <cell r="K53">
            <v>115</v>
          </cell>
          <cell r="L53">
            <v>2</v>
          </cell>
          <cell r="M53">
            <v>220</v>
          </cell>
          <cell r="N53">
            <v>-6.3700000000000007E-2</v>
          </cell>
          <cell r="O53">
            <v>-93.8</v>
          </cell>
        </row>
        <row r="54">
          <cell r="A54">
            <v>53</v>
          </cell>
          <cell r="B54">
            <v>6000</v>
          </cell>
          <cell r="C54">
            <v>240</v>
          </cell>
          <cell r="D54">
            <v>190</v>
          </cell>
          <cell r="E54">
            <v>4.9399999999999999E-2</v>
          </cell>
          <cell r="F54">
            <v>0.1757</v>
          </cell>
          <cell r="G54">
            <v>0.22509999999999999</v>
          </cell>
          <cell r="H54">
            <v>1</v>
          </cell>
          <cell r="I54">
            <v>240</v>
          </cell>
          <cell r="J54">
            <v>0.90600000000000003</v>
          </cell>
          <cell r="K54">
            <v>101</v>
          </cell>
          <cell r="L54">
            <v>2</v>
          </cell>
          <cell r="M54">
            <v>240</v>
          </cell>
          <cell r="N54">
            <v>-5.4899999999999997E-2</v>
          </cell>
          <cell r="O54">
            <v>-80.900000000000006</v>
          </cell>
        </row>
        <row r="55">
          <cell r="A55">
            <v>54</v>
          </cell>
          <cell r="B55">
            <v>6000</v>
          </cell>
          <cell r="C55">
            <v>260</v>
          </cell>
          <cell r="D55">
            <v>190</v>
          </cell>
          <cell r="E55">
            <v>4.4600000000000001E-2</v>
          </cell>
          <cell r="F55">
            <v>0.1661</v>
          </cell>
          <cell r="G55">
            <v>0.2107</v>
          </cell>
          <cell r="H55">
            <v>1</v>
          </cell>
          <cell r="I55">
            <v>260</v>
          </cell>
          <cell r="J55">
            <v>0.80200000000000005</v>
          </cell>
          <cell r="K55">
            <v>89.6</v>
          </cell>
          <cell r="L55">
            <v>2</v>
          </cell>
          <cell r="M55">
            <v>260</v>
          </cell>
          <cell r="N55">
            <v>-4.7800000000000002E-2</v>
          </cell>
          <cell r="O55">
            <v>-70.400000000000006</v>
          </cell>
        </row>
        <row r="56">
          <cell r="A56">
            <v>55</v>
          </cell>
          <cell r="B56">
            <v>6000</v>
          </cell>
          <cell r="C56">
            <v>280</v>
          </cell>
          <cell r="D56">
            <v>190</v>
          </cell>
          <cell r="E56">
            <v>4.1000000000000009E-2</v>
          </cell>
          <cell r="F56">
            <v>0.1573</v>
          </cell>
          <cell r="G56">
            <v>0.1983</v>
          </cell>
          <cell r="H56">
            <v>1</v>
          </cell>
          <cell r="I56">
            <v>280</v>
          </cell>
          <cell r="J56">
            <v>0.71299999999999997</v>
          </cell>
          <cell r="K56">
            <v>79.7</v>
          </cell>
          <cell r="L56">
            <v>2</v>
          </cell>
          <cell r="M56">
            <v>280</v>
          </cell>
          <cell r="N56">
            <v>-4.2000000000000003E-2</v>
          </cell>
          <cell r="O56">
            <v>-61.8</v>
          </cell>
        </row>
        <row r="57">
          <cell r="A57">
            <v>56</v>
          </cell>
          <cell r="B57">
            <v>6000</v>
          </cell>
          <cell r="C57">
            <v>300</v>
          </cell>
          <cell r="D57">
            <v>190</v>
          </cell>
          <cell r="E57">
            <v>3.8099999999999995E-2</v>
          </cell>
          <cell r="F57">
            <v>0.14940000000000001</v>
          </cell>
          <cell r="G57">
            <v>0.1875</v>
          </cell>
          <cell r="H57">
            <v>1</v>
          </cell>
          <cell r="I57">
            <v>300</v>
          </cell>
          <cell r="J57">
            <v>0.63800000000000001</v>
          </cell>
          <cell r="K57">
            <v>71.2</v>
          </cell>
          <cell r="L57">
            <v>2</v>
          </cell>
          <cell r="M57">
            <v>300</v>
          </cell>
          <cell r="N57">
            <v>-3.7100000000000001E-2</v>
          </cell>
          <cell r="O57">
            <v>-54.7</v>
          </cell>
        </row>
        <row r="58">
          <cell r="A58">
            <v>57</v>
          </cell>
          <cell r="B58">
            <v>6000</v>
          </cell>
          <cell r="C58">
            <v>40</v>
          </cell>
          <cell r="D58">
            <v>200</v>
          </cell>
          <cell r="E58">
            <v>0.51060000000000005</v>
          </cell>
          <cell r="F58">
            <v>0.24929999999999999</v>
          </cell>
          <cell r="G58">
            <v>0.75990000000000002</v>
          </cell>
          <cell r="H58">
            <v>1</v>
          </cell>
          <cell r="I58">
            <v>40</v>
          </cell>
          <cell r="J58">
            <v>4.07</v>
          </cell>
          <cell r="K58">
            <v>475</v>
          </cell>
          <cell r="L58">
            <v>2</v>
          </cell>
          <cell r="M58">
            <v>40</v>
          </cell>
          <cell r="N58">
            <v>-0.59399999999999997</v>
          </cell>
          <cell r="O58">
            <v>-832</v>
          </cell>
        </row>
        <row r="59">
          <cell r="A59">
            <v>58</v>
          </cell>
          <cell r="B59">
            <v>6000</v>
          </cell>
          <cell r="C59">
            <v>60</v>
          </cell>
          <cell r="D59">
            <v>200</v>
          </cell>
          <cell r="E59">
            <v>0.35579999999999995</v>
          </cell>
          <cell r="F59">
            <v>0.26540000000000002</v>
          </cell>
          <cell r="G59">
            <v>0.62119999999999997</v>
          </cell>
          <cell r="H59">
            <v>1</v>
          </cell>
          <cell r="I59">
            <v>60</v>
          </cell>
          <cell r="J59">
            <v>3.77</v>
          </cell>
          <cell r="K59">
            <v>433</v>
          </cell>
          <cell r="L59">
            <v>2</v>
          </cell>
          <cell r="M59">
            <v>60</v>
          </cell>
          <cell r="N59">
            <v>-0.41399999999999998</v>
          </cell>
          <cell r="O59">
            <v>-579</v>
          </cell>
        </row>
        <row r="60">
          <cell r="A60">
            <v>59</v>
          </cell>
          <cell r="B60">
            <v>6000</v>
          </cell>
          <cell r="C60">
            <v>80</v>
          </cell>
          <cell r="D60">
            <v>200</v>
          </cell>
          <cell r="E60">
            <v>0.24999999999999994</v>
          </cell>
          <cell r="F60">
            <v>0.26650000000000001</v>
          </cell>
          <cell r="G60">
            <v>0.51649999999999996</v>
          </cell>
          <cell r="H60">
            <v>1</v>
          </cell>
          <cell r="I60">
            <v>80</v>
          </cell>
          <cell r="J60">
            <v>3.15</v>
          </cell>
          <cell r="K60">
            <v>359</v>
          </cell>
          <cell r="L60">
            <v>2</v>
          </cell>
          <cell r="M60">
            <v>80</v>
          </cell>
          <cell r="N60">
            <v>-0.29599999999999999</v>
          </cell>
          <cell r="O60">
            <v>-414</v>
          </cell>
        </row>
        <row r="61">
          <cell r="A61">
            <v>60</v>
          </cell>
          <cell r="B61">
            <v>6000</v>
          </cell>
          <cell r="C61">
            <v>100</v>
          </cell>
          <cell r="D61">
            <v>200</v>
          </cell>
          <cell r="E61">
            <v>0.18220000000000003</v>
          </cell>
          <cell r="F61">
            <v>0.25769999999999998</v>
          </cell>
          <cell r="G61">
            <v>0.43990000000000001</v>
          </cell>
          <cell r="H61">
            <v>1</v>
          </cell>
          <cell r="I61">
            <v>100</v>
          </cell>
          <cell r="J61">
            <v>2.61</v>
          </cell>
          <cell r="K61">
            <v>296</v>
          </cell>
          <cell r="L61">
            <v>2</v>
          </cell>
          <cell r="M61">
            <v>100</v>
          </cell>
          <cell r="N61">
            <v>-0.22</v>
          </cell>
          <cell r="O61">
            <v>-308</v>
          </cell>
        </row>
        <row r="62">
          <cell r="A62">
            <v>61</v>
          </cell>
          <cell r="B62">
            <v>6000</v>
          </cell>
          <cell r="C62">
            <v>120</v>
          </cell>
          <cell r="D62">
            <v>200</v>
          </cell>
          <cell r="E62">
            <v>0.13789999999999999</v>
          </cell>
          <cell r="F62">
            <v>0.24460000000000001</v>
          </cell>
          <cell r="G62">
            <v>0.38250000000000001</v>
          </cell>
          <cell r="H62">
            <v>1</v>
          </cell>
          <cell r="I62">
            <v>120</v>
          </cell>
          <cell r="J62">
            <v>2.1800000000000002</v>
          </cell>
          <cell r="K62">
            <v>246</v>
          </cell>
          <cell r="L62">
            <v>2</v>
          </cell>
          <cell r="M62">
            <v>120</v>
          </cell>
          <cell r="N62">
            <v>-0.17</v>
          </cell>
          <cell r="O62">
            <v>-238</v>
          </cell>
        </row>
        <row r="63">
          <cell r="A63">
            <v>62</v>
          </cell>
          <cell r="B63">
            <v>6000</v>
          </cell>
          <cell r="C63">
            <v>140</v>
          </cell>
          <cell r="D63">
            <v>200</v>
          </cell>
          <cell r="E63">
            <v>0.10830000000000004</v>
          </cell>
          <cell r="F63">
            <v>0.23019999999999999</v>
          </cell>
          <cell r="G63">
            <v>0.33850000000000002</v>
          </cell>
          <cell r="H63">
            <v>1</v>
          </cell>
          <cell r="I63">
            <v>140</v>
          </cell>
          <cell r="J63">
            <v>1.84</v>
          </cell>
          <cell r="K63">
            <v>207</v>
          </cell>
          <cell r="L63">
            <v>2</v>
          </cell>
          <cell r="M63">
            <v>140</v>
          </cell>
          <cell r="N63">
            <v>-0.13500000000000001</v>
          </cell>
          <cell r="O63">
            <v>-189</v>
          </cell>
        </row>
        <row r="64">
          <cell r="A64">
            <v>63</v>
          </cell>
          <cell r="B64">
            <v>6000</v>
          </cell>
          <cell r="C64">
            <v>160</v>
          </cell>
          <cell r="D64">
            <v>200</v>
          </cell>
          <cell r="E64">
            <v>8.7900000000000006E-2</v>
          </cell>
          <cell r="F64">
            <v>0.216</v>
          </cell>
          <cell r="G64">
            <v>0.3039</v>
          </cell>
          <cell r="H64">
            <v>1</v>
          </cell>
          <cell r="I64">
            <v>160</v>
          </cell>
          <cell r="J64">
            <v>1.56</v>
          </cell>
          <cell r="K64">
            <v>176</v>
          </cell>
          <cell r="L64">
            <v>2</v>
          </cell>
          <cell r="M64">
            <v>160</v>
          </cell>
          <cell r="N64">
            <v>-0.11</v>
          </cell>
          <cell r="O64">
            <v>-154</v>
          </cell>
        </row>
        <row r="65">
          <cell r="A65">
            <v>64</v>
          </cell>
          <cell r="B65">
            <v>6000</v>
          </cell>
          <cell r="C65">
            <v>180</v>
          </cell>
          <cell r="D65">
            <v>200</v>
          </cell>
          <cell r="E65">
            <v>7.3300000000000032E-2</v>
          </cell>
          <cell r="F65">
            <v>0.20269999999999999</v>
          </cell>
          <cell r="G65">
            <v>0.27600000000000002</v>
          </cell>
          <cell r="H65">
            <v>1</v>
          </cell>
          <cell r="I65">
            <v>180</v>
          </cell>
          <cell r="J65">
            <v>1.35</v>
          </cell>
          <cell r="K65">
            <v>151</v>
          </cell>
          <cell r="L65">
            <v>2</v>
          </cell>
          <cell r="M65">
            <v>180</v>
          </cell>
          <cell r="N65">
            <v>-9.1399999999999995E-2</v>
          </cell>
          <cell r="O65">
            <v>-128</v>
          </cell>
        </row>
        <row r="66">
          <cell r="A66">
            <v>65</v>
          </cell>
          <cell r="B66">
            <v>6000</v>
          </cell>
          <cell r="C66">
            <v>200</v>
          </cell>
          <cell r="D66">
            <v>200</v>
          </cell>
          <cell r="E66">
            <v>6.2799999999999967E-2</v>
          </cell>
          <cell r="F66">
            <v>0.19040000000000001</v>
          </cell>
          <cell r="G66">
            <v>0.25319999999999998</v>
          </cell>
          <cell r="H66">
            <v>1</v>
          </cell>
          <cell r="I66">
            <v>200</v>
          </cell>
          <cell r="J66">
            <v>1.17</v>
          </cell>
          <cell r="K66">
            <v>131</v>
          </cell>
          <cell r="L66">
            <v>2</v>
          </cell>
          <cell r="M66">
            <v>200</v>
          </cell>
          <cell r="N66">
            <v>-7.6999999999999999E-2</v>
          </cell>
          <cell r="O66">
            <v>-108</v>
          </cell>
        </row>
        <row r="67">
          <cell r="A67">
            <v>66</v>
          </cell>
          <cell r="B67">
            <v>6000</v>
          </cell>
          <cell r="C67">
            <v>220</v>
          </cell>
          <cell r="D67">
            <v>200</v>
          </cell>
          <cell r="E67">
            <v>5.4900000000000004E-2</v>
          </cell>
          <cell r="F67">
            <v>0.1792</v>
          </cell>
          <cell r="G67">
            <v>0.2341</v>
          </cell>
          <cell r="H67">
            <v>1</v>
          </cell>
          <cell r="I67">
            <v>220</v>
          </cell>
          <cell r="J67">
            <v>1.02</v>
          </cell>
          <cell r="K67">
            <v>114</v>
          </cell>
          <cell r="L67">
            <v>2</v>
          </cell>
          <cell r="M67">
            <v>220</v>
          </cell>
          <cell r="N67">
            <v>-6.5699999999999995E-2</v>
          </cell>
          <cell r="O67">
            <v>-92</v>
          </cell>
        </row>
        <row r="68">
          <cell r="A68">
            <v>67</v>
          </cell>
          <cell r="B68">
            <v>6000</v>
          </cell>
          <cell r="C68">
            <v>240</v>
          </cell>
          <cell r="D68">
            <v>200</v>
          </cell>
          <cell r="E68">
            <v>4.8899999999999999E-2</v>
          </cell>
          <cell r="F68">
            <v>0.1691</v>
          </cell>
          <cell r="G68">
            <v>0.218</v>
          </cell>
          <cell r="H68">
            <v>1</v>
          </cell>
          <cell r="I68">
            <v>240</v>
          </cell>
          <cell r="J68">
            <v>0.89600000000000002</v>
          </cell>
          <cell r="K68">
            <v>100</v>
          </cell>
          <cell r="L68">
            <v>2</v>
          </cell>
          <cell r="M68">
            <v>240</v>
          </cell>
          <cell r="N68">
            <v>-5.67E-2</v>
          </cell>
          <cell r="O68">
            <v>-79.400000000000006</v>
          </cell>
        </row>
        <row r="69">
          <cell r="A69">
            <v>68</v>
          </cell>
          <cell r="B69">
            <v>6000</v>
          </cell>
          <cell r="C69">
            <v>260</v>
          </cell>
          <cell r="D69">
            <v>200</v>
          </cell>
          <cell r="E69">
            <v>4.4300000000000006E-2</v>
          </cell>
          <cell r="F69">
            <v>0.15989999999999999</v>
          </cell>
          <cell r="G69">
            <v>0.20419999999999999</v>
          </cell>
          <cell r="H69">
            <v>1</v>
          </cell>
          <cell r="I69">
            <v>260</v>
          </cell>
          <cell r="J69">
            <v>0.79300000000000004</v>
          </cell>
          <cell r="K69">
            <v>88.7</v>
          </cell>
          <cell r="L69">
            <v>2</v>
          </cell>
          <cell r="M69">
            <v>260</v>
          </cell>
          <cell r="N69">
            <v>-4.9399999999999999E-2</v>
          </cell>
          <cell r="O69">
            <v>-69.099999999999994</v>
          </cell>
        </row>
        <row r="70">
          <cell r="A70">
            <v>69</v>
          </cell>
          <cell r="B70">
            <v>6000</v>
          </cell>
          <cell r="C70">
            <v>280</v>
          </cell>
          <cell r="D70">
            <v>200</v>
          </cell>
          <cell r="E70">
            <v>4.0800000000000003E-2</v>
          </cell>
          <cell r="F70">
            <v>0.1515</v>
          </cell>
          <cell r="G70">
            <v>0.1923</v>
          </cell>
          <cell r="H70">
            <v>1</v>
          </cell>
          <cell r="I70">
            <v>280</v>
          </cell>
          <cell r="J70">
            <v>0.70499999999999996</v>
          </cell>
          <cell r="K70">
            <v>78.900000000000006</v>
          </cell>
          <cell r="L70">
            <v>2</v>
          </cell>
          <cell r="M70">
            <v>280</v>
          </cell>
          <cell r="N70">
            <v>-4.3400000000000001E-2</v>
          </cell>
          <cell r="O70">
            <v>-60.7</v>
          </cell>
        </row>
        <row r="71">
          <cell r="A71">
            <v>70</v>
          </cell>
          <cell r="B71">
            <v>6000</v>
          </cell>
          <cell r="C71">
            <v>300</v>
          </cell>
          <cell r="D71">
            <v>200</v>
          </cell>
          <cell r="E71">
            <v>3.7899999999999989E-2</v>
          </cell>
          <cell r="F71">
            <v>0.1439</v>
          </cell>
          <cell r="G71">
            <v>0.18179999999999999</v>
          </cell>
          <cell r="H71">
            <v>1</v>
          </cell>
          <cell r="I71">
            <v>300</v>
          </cell>
          <cell r="J71">
            <v>0.63100000000000001</v>
          </cell>
          <cell r="K71">
            <v>70.599999999999994</v>
          </cell>
          <cell r="L71">
            <v>2</v>
          </cell>
          <cell r="M71">
            <v>300</v>
          </cell>
          <cell r="N71">
            <v>-3.8399999999999997E-2</v>
          </cell>
          <cell r="O71">
            <v>-53.7</v>
          </cell>
        </row>
        <row r="72">
          <cell r="A72">
            <v>71</v>
          </cell>
          <cell r="B72">
            <v>6000</v>
          </cell>
          <cell r="C72">
            <v>40</v>
          </cell>
          <cell r="D72">
            <v>220</v>
          </cell>
          <cell r="E72">
            <v>0.47479999999999994</v>
          </cell>
          <cell r="F72">
            <v>0.2253</v>
          </cell>
          <cell r="G72">
            <v>0.70009999999999994</v>
          </cell>
          <cell r="H72">
            <v>1</v>
          </cell>
          <cell r="I72">
            <v>40</v>
          </cell>
          <cell r="J72">
            <v>3.79</v>
          </cell>
          <cell r="K72">
            <v>446</v>
          </cell>
          <cell r="L72">
            <v>2</v>
          </cell>
          <cell r="M72">
            <v>40</v>
          </cell>
          <cell r="N72">
            <v>-0.60699999999999998</v>
          </cell>
          <cell r="O72">
            <v>-773</v>
          </cell>
        </row>
        <row r="73">
          <cell r="A73">
            <v>72</v>
          </cell>
          <cell r="B73">
            <v>6000</v>
          </cell>
          <cell r="C73">
            <v>60</v>
          </cell>
          <cell r="D73">
            <v>220</v>
          </cell>
          <cell r="E73">
            <v>0.33580000000000004</v>
          </cell>
          <cell r="F73">
            <v>0.24049999999999999</v>
          </cell>
          <cell r="G73">
            <v>0.57630000000000003</v>
          </cell>
          <cell r="H73">
            <v>1</v>
          </cell>
          <cell r="I73">
            <v>60</v>
          </cell>
          <cell r="J73">
            <v>3.58</v>
          </cell>
          <cell r="K73">
            <v>413</v>
          </cell>
          <cell r="L73">
            <v>2</v>
          </cell>
          <cell r="M73">
            <v>60</v>
          </cell>
          <cell r="N73">
            <v>-0.42799999999999999</v>
          </cell>
          <cell r="O73">
            <v>-545</v>
          </cell>
        </row>
        <row r="74">
          <cell r="A74">
            <v>73</v>
          </cell>
          <cell r="B74">
            <v>6000</v>
          </cell>
          <cell r="C74">
            <v>80</v>
          </cell>
          <cell r="D74">
            <v>220</v>
          </cell>
          <cell r="E74">
            <v>0.23850000000000002</v>
          </cell>
          <cell r="F74">
            <v>0.2427</v>
          </cell>
          <cell r="G74">
            <v>0.48120000000000002</v>
          </cell>
          <cell r="H74">
            <v>1</v>
          </cell>
          <cell r="I74">
            <v>80</v>
          </cell>
          <cell r="J74">
            <v>3.03</v>
          </cell>
          <cell r="K74">
            <v>346</v>
          </cell>
          <cell r="L74">
            <v>2</v>
          </cell>
          <cell r="M74">
            <v>80</v>
          </cell>
          <cell r="N74">
            <v>-0.308</v>
          </cell>
          <cell r="O74">
            <v>-392</v>
          </cell>
        </row>
        <row r="75">
          <cell r="A75">
            <v>74</v>
          </cell>
          <cell r="B75">
            <v>6000</v>
          </cell>
          <cell r="C75">
            <v>100</v>
          </cell>
          <cell r="D75">
            <v>220</v>
          </cell>
          <cell r="E75">
            <v>0.17499999999999999</v>
          </cell>
          <cell r="F75">
            <v>0.2359</v>
          </cell>
          <cell r="G75">
            <v>0.41089999999999999</v>
          </cell>
          <cell r="H75">
            <v>1</v>
          </cell>
          <cell r="I75">
            <v>100</v>
          </cell>
          <cell r="J75">
            <v>2.52</v>
          </cell>
          <cell r="K75">
            <v>286</v>
          </cell>
          <cell r="L75">
            <v>2</v>
          </cell>
          <cell r="M75">
            <v>100</v>
          </cell>
          <cell r="N75">
            <v>-0.23100000000000001</v>
          </cell>
          <cell r="O75">
            <v>-294</v>
          </cell>
        </row>
        <row r="76">
          <cell r="A76">
            <v>75</v>
          </cell>
          <cell r="B76">
            <v>6000</v>
          </cell>
          <cell r="C76">
            <v>120</v>
          </cell>
          <cell r="D76">
            <v>220</v>
          </cell>
          <cell r="E76">
            <v>0.13329999999999997</v>
          </cell>
          <cell r="F76">
            <v>0.2248</v>
          </cell>
          <cell r="G76">
            <v>0.35809999999999997</v>
          </cell>
          <cell r="H76">
            <v>1</v>
          </cell>
          <cell r="I76">
            <v>120</v>
          </cell>
          <cell r="J76">
            <v>2.11</v>
          </cell>
          <cell r="K76">
            <v>239</v>
          </cell>
          <cell r="L76">
            <v>2</v>
          </cell>
          <cell r="M76">
            <v>120</v>
          </cell>
          <cell r="N76">
            <v>-0.17899999999999999</v>
          </cell>
          <cell r="O76">
            <v>-228</v>
          </cell>
        </row>
        <row r="77">
          <cell r="A77">
            <v>76</v>
          </cell>
          <cell r="B77">
            <v>6000</v>
          </cell>
          <cell r="C77">
            <v>140</v>
          </cell>
          <cell r="D77">
            <v>220</v>
          </cell>
          <cell r="E77">
            <v>0.10520000000000002</v>
          </cell>
          <cell r="F77">
            <v>0.2122</v>
          </cell>
          <cell r="G77">
            <v>0.31740000000000002</v>
          </cell>
          <cell r="H77">
            <v>1</v>
          </cell>
          <cell r="I77">
            <v>140</v>
          </cell>
          <cell r="J77">
            <v>1.78</v>
          </cell>
          <cell r="K77">
            <v>202</v>
          </cell>
          <cell r="L77">
            <v>2</v>
          </cell>
          <cell r="M77">
            <v>140</v>
          </cell>
          <cell r="N77">
            <v>-0.14299999999999999</v>
          </cell>
          <cell r="O77">
            <v>-182</v>
          </cell>
        </row>
        <row r="78">
          <cell r="A78">
            <v>77</v>
          </cell>
          <cell r="B78">
            <v>6000</v>
          </cell>
          <cell r="C78">
            <v>160</v>
          </cell>
          <cell r="D78">
            <v>220</v>
          </cell>
          <cell r="E78">
            <v>8.5600000000000009E-2</v>
          </cell>
          <cell r="F78">
            <v>0.19969999999999999</v>
          </cell>
          <cell r="G78">
            <v>0.2853</v>
          </cell>
          <cell r="H78">
            <v>1</v>
          </cell>
          <cell r="I78">
            <v>160</v>
          </cell>
          <cell r="J78">
            <v>1.52</v>
          </cell>
          <cell r="K78">
            <v>172</v>
          </cell>
          <cell r="L78">
            <v>2</v>
          </cell>
          <cell r="M78">
            <v>160</v>
          </cell>
          <cell r="N78">
            <v>-0.11600000000000001</v>
          </cell>
          <cell r="O78">
            <v>-148</v>
          </cell>
        </row>
        <row r="79">
          <cell r="A79">
            <v>78</v>
          </cell>
          <cell r="B79">
            <v>6000</v>
          </cell>
          <cell r="C79">
            <v>180</v>
          </cell>
          <cell r="D79">
            <v>220</v>
          </cell>
          <cell r="E79">
            <v>7.1600000000000025E-2</v>
          </cell>
          <cell r="F79">
            <v>0.18779999999999999</v>
          </cell>
          <cell r="G79">
            <v>0.25940000000000002</v>
          </cell>
          <cell r="H79">
            <v>1</v>
          </cell>
          <cell r="I79">
            <v>180</v>
          </cell>
          <cell r="J79">
            <v>1.31</v>
          </cell>
          <cell r="K79">
            <v>148</v>
          </cell>
          <cell r="L79">
            <v>2</v>
          </cell>
          <cell r="M79">
            <v>180</v>
          </cell>
          <cell r="N79">
            <v>-9.6799999999999997E-2</v>
          </cell>
          <cell r="O79">
            <v>-123</v>
          </cell>
        </row>
        <row r="80">
          <cell r="A80">
            <v>79</v>
          </cell>
          <cell r="B80">
            <v>6000</v>
          </cell>
          <cell r="C80">
            <v>200</v>
          </cell>
          <cell r="D80">
            <v>220</v>
          </cell>
          <cell r="E80">
            <v>6.1499999999999999E-2</v>
          </cell>
          <cell r="F80">
            <v>0.1767</v>
          </cell>
          <cell r="G80">
            <v>0.2382</v>
          </cell>
          <cell r="H80">
            <v>1</v>
          </cell>
          <cell r="I80">
            <v>200</v>
          </cell>
          <cell r="J80">
            <v>1.1399999999999999</v>
          </cell>
          <cell r="K80">
            <v>128</v>
          </cell>
          <cell r="L80">
            <v>2</v>
          </cell>
          <cell r="M80">
            <v>200</v>
          </cell>
          <cell r="N80">
            <v>-8.1600000000000006E-2</v>
          </cell>
          <cell r="O80">
            <v>-104</v>
          </cell>
        </row>
        <row r="81">
          <cell r="A81">
            <v>80</v>
          </cell>
          <cell r="B81">
            <v>6000</v>
          </cell>
          <cell r="C81">
            <v>220</v>
          </cell>
          <cell r="D81">
            <v>220</v>
          </cell>
          <cell r="E81">
            <v>5.3999999999999992E-2</v>
          </cell>
          <cell r="F81">
            <v>0.16650000000000001</v>
          </cell>
          <cell r="G81">
            <v>0.2205</v>
          </cell>
          <cell r="H81">
            <v>1</v>
          </cell>
          <cell r="I81">
            <v>220</v>
          </cell>
          <cell r="J81">
            <v>0.996</v>
          </cell>
          <cell r="K81">
            <v>112</v>
          </cell>
          <cell r="L81">
            <v>2</v>
          </cell>
          <cell r="M81">
            <v>220</v>
          </cell>
          <cell r="N81">
            <v>-6.9699999999999998E-2</v>
          </cell>
          <cell r="O81">
            <v>-88.7</v>
          </cell>
        </row>
        <row r="82">
          <cell r="A82">
            <v>81</v>
          </cell>
          <cell r="B82">
            <v>6000</v>
          </cell>
          <cell r="C82">
            <v>240</v>
          </cell>
          <cell r="D82">
            <v>220</v>
          </cell>
          <cell r="E82">
            <v>4.8199999999999993E-2</v>
          </cell>
          <cell r="F82">
            <v>0.1573</v>
          </cell>
          <cell r="G82">
            <v>0.20549999999999999</v>
          </cell>
          <cell r="H82">
            <v>1</v>
          </cell>
          <cell r="I82">
            <v>240</v>
          </cell>
          <cell r="J82">
            <v>0.877</v>
          </cell>
          <cell r="K82">
            <v>98.5</v>
          </cell>
          <cell r="L82">
            <v>2</v>
          </cell>
          <cell r="M82">
            <v>240</v>
          </cell>
          <cell r="N82">
            <v>-6.0199999999999997E-2</v>
          </cell>
          <cell r="O82">
            <v>-76.599999999999994</v>
          </cell>
        </row>
        <row r="83">
          <cell r="A83">
            <v>82</v>
          </cell>
          <cell r="B83">
            <v>6000</v>
          </cell>
          <cell r="C83">
            <v>260</v>
          </cell>
          <cell r="D83">
            <v>220</v>
          </cell>
          <cell r="E83">
            <v>4.3699999999999989E-2</v>
          </cell>
          <cell r="F83">
            <v>0.1489</v>
          </cell>
          <cell r="G83">
            <v>0.19259999999999999</v>
          </cell>
          <cell r="H83">
            <v>1</v>
          </cell>
          <cell r="I83">
            <v>260</v>
          </cell>
          <cell r="J83">
            <v>0.77600000000000002</v>
          </cell>
          <cell r="K83">
            <v>87.1</v>
          </cell>
          <cell r="L83">
            <v>2</v>
          </cell>
          <cell r="M83">
            <v>260</v>
          </cell>
          <cell r="N83">
            <v>-5.2400000000000002E-2</v>
          </cell>
          <cell r="O83">
            <v>-66.7</v>
          </cell>
        </row>
        <row r="84">
          <cell r="A84">
            <v>83</v>
          </cell>
          <cell r="B84">
            <v>6000</v>
          </cell>
          <cell r="C84">
            <v>280</v>
          </cell>
          <cell r="D84">
            <v>220</v>
          </cell>
          <cell r="E84">
            <v>4.0300000000000002E-2</v>
          </cell>
          <cell r="F84">
            <v>0.14119999999999999</v>
          </cell>
          <cell r="G84">
            <v>0.18149999999999999</v>
          </cell>
          <cell r="H84">
            <v>1</v>
          </cell>
          <cell r="I84">
            <v>280</v>
          </cell>
          <cell r="J84">
            <v>0.69099999999999995</v>
          </cell>
          <cell r="K84">
            <v>77.5</v>
          </cell>
          <cell r="L84">
            <v>2</v>
          </cell>
          <cell r="M84">
            <v>280</v>
          </cell>
          <cell r="N84">
            <v>-4.6100000000000002E-2</v>
          </cell>
          <cell r="O84">
            <v>-58.6</v>
          </cell>
        </row>
        <row r="85">
          <cell r="A85">
            <v>84</v>
          </cell>
          <cell r="B85">
            <v>6000</v>
          </cell>
          <cell r="C85">
            <v>300</v>
          </cell>
          <cell r="D85">
            <v>220</v>
          </cell>
          <cell r="E85">
            <v>3.7500000000000006E-2</v>
          </cell>
          <cell r="F85">
            <v>0.1343</v>
          </cell>
          <cell r="G85">
            <v>0.17180000000000001</v>
          </cell>
          <cell r="H85">
            <v>1</v>
          </cell>
          <cell r="I85">
            <v>300</v>
          </cell>
          <cell r="J85">
            <v>0.61799999999999999</v>
          </cell>
          <cell r="K85">
            <v>69.3</v>
          </cell>
          <cell r="L85">
            <v>2</v>
          </cell>
          <cell r="M85">
            <v>300</v>
          </cell>
          <cell r="N85">
            <v>-4.0800000000000003E-2</v>
          </cell>
          <cell r="O85">
            <v>-51.9</v>
          </cell>
        </row>
        <row r="86">
          <cell r="A86">
            <v>85</v>
          </cell>
          <cell r="B86">
            <v>6000</v>
          </cell>
          <cell r="C86">
            <v>40</v>
          </cell>
          <cell r="D86">
            <v>240</v>
          </cell>
          <cell r="E86">
            <v>0.44369999999999998</v>
          </cell>
          <cell r="F86">
            <v>0.20549999999999999</v>
          </cell>
          <cell r="G86">
            <v>0.6492</v>
          </cell>
          <cell r="H86">
            <v>1</v>
          </cell>
          <cell r="I86">
            <v>40</v>
          </cell>
          <cell r="J86">
            <v>3.54</v>
          </cell>
          <cell r="K86">
            <v>420</v>
          </cell>
          <cell r="L86">
            <v>2</v>
          </cell>
          <cell r="M86">
            <v>40</v>
          </cell>
          <cell r="N86">
            <v>-0.61899999999999999</v>
          </cell>
          <cell r="O86">
            <v>-722</v>
          </cell>
        </row>
        <row r="87">
          <cell r="A87">
            <v>86</v>
          </cell>
          <cell r="B87">
            <v>6000</v>
          </cell>
          <cell r="C87">
            <v>60</v>
          </cell>
          <cell r="D87">
            <v>240</v>
          </cell>
          <cell r="E87">
            <v>0.31830000000000003</v>
          </cell>
          <cell r="F87">
            <v>0.21970000000000001</v>
          </cell>
          <cell r="G87">
            <v>0.53800000000000003</v>
          </cell>
          <cell r="H87">
            <v>1</v>
          </cell>
          <cell r="I87">
            <v>60</v>
          </cell>
          <cell r="J87">
            <v>3.41</v>
          </cell>
          <cell r="K87">
            <v>395</v>
          </cell>
          <cell r="L87">
            <v>2</v>
          </cell>
          <cell r="M87">
            <v>60</v>
          </cell>
          <cell r="N87">
            <v>-0.442</v>
          </cell>
          <cell r="O87">
            <v>-516</v>
          </cell>
        </row>
        <row r="88">
          <cell r="A88">
            <v>87</v>
          </cell>
          <cell r="B88">
            <v>6000</v>
          </cell>
          <cell r="C88">
            <v>80</v>
          </cell>
          <cell r="D88">
            <v>240</v>
          </cell>
          <cell r="E88">
            <v>0.2283</v>
          </cell>
          <cell r="F88">
            <v>0.22270000000000001</v>
          </cell>
          <cell r="G88">
            <v>0.45100000000000001</v>
          </cell>
          <cell r="H88">
            <v>1</v>
          </cell>
          <cell r="I88">
            <v>80</v>
          </cell>
          <cell r="J88">
            <v>2.91</v>
          </cell>
          <cell r="K88">
            <v>334</v>
          </cell>
          <cell r="L88">
            <v>2</v>
          </cell>
          <cell r="M88">
            <v>80</v>
          </cell>
          <cell r="N88">
            <v>-0.32</v>
          </cell>
          <cell r="O88">
            <v>-374</v>
          </cell>
        </row>
        <row r="89">
          <cell r="A89">
            <v>88</v>
          </cell>
          <cell r="B89">
            <v>6000</v>
          </cell>
          <cell r="C89">
            <v>100</v>
          </cell>
          <cell r="D89">
            <v>240</v>
          </cell>
          <cell r="E89">
            <v>0.16869999999999999</v>
          </cell>
          <cell r="F89">
            <v>0.21740000000000001</v>
          </cell>
          <cell r="G89">
            <v>0.3861</v>
          </cell>
          <cell r="H89">
            <v>1</v>
          </cell>
          <cell r="I89">
            <v>100</v>
          </cell>
          <cell r="J89">
            <v>2.44</v>
          </cell>
          <cell r="K89">
            <v>278</v>
          </cell>
          <cell r="L89">
            <v>2</v>
          </cell>
          <cell r="M89">
            <v>100</v>
          </cell>
          <cell r="N89">
            <v>-0.24099999999999999</v>
          </cell>
          <cell r="O89">
            <v>-281</v>
          </cell>
        </row>
        <row r="90">
          <cell r="A90">
            <v>89</v>
          </cell>
          <cell r="B90">
            <v>6000</v>
          </cell>
          <cell r="C90">
            <v>120</v>
          </cell>
          <cell r="D90">
            <v>240</v>
          </cell>
          <cell r="E90">
            <v>0.12910000000000002</v>
          </cell>
          <cell r="F90">
            <v>0.20799999999999999</v>
          </cell>
          <cell r="G90">
            <v>0.33710000000000001</v>
          </cell>
          <cell r="H90">
            <v>1</v>
          </cell>
          <cell r="I90">
            <v>120</v>
          </cell>
          <cell r="J90">
            <v>2.0499999999999998</v>
          </cell>
          <cell r="K90">
            <v>233</v>
          </cell>
          <cell r="L90">
            <v>2</v>
          </cell>
          <cell r="M90">
            <v>120</v>
          </cell>
          <cell r="N90">
            <v>-0.187</v>
          </cell>
          <cell r="O90">
            <v>-219</v>
          </cell>
        </row>
        <row r="91">
          <cell r="A91">
            <v>90</v>
          </cell>
          <cell r="B91">
            <v>6000</v>
          </cell>
          <cell r="C91">
            <v>140</v>
          </cell>
          <cell r="D91">
            <v>240</v>
          </cell>
          <cell r="E91">
            <v>0.1023</v>
          </cell>
          <cell r="F91">
            <v>0.19700000000000001</v>
          </cell>
          <cell r="G91">
            <v>0.29930000000000001</v>
          </cell>
          <cell r="H91">
            <v>1</v>
          </cell>
          <cell r="I91">
            <v>140</v>
          </cell>
          <cell r="J91">
            <v>1.74</v>
          </cell>
          <cell r="K91">
            <v>197</v>
          </cell>
          <cell r="L91">
            <v>2</v>
          </cell>
          <cell r="M91">
            <v>140</v>
          </cell>
          <cell r="N91">
            <v>-0.15</v>
          </cell>
          <cell r="O91">
            <v>-175</v>
          </cell>
        </row>
        <row r="92">
          <cell r="A92">
            <v>91</v>
          </cell>
          <cell r="B92">
            <v>6000</v>
          </cell>
          <cell r="C92">
            <v>160</v>
          </cell>
          <cell r="D92">
            <v>240</v>
          </cell>
          <cell r="E92">
            <v>8.3499999999999991E-2</v>
          </cell>
          <cell r="F92">
            <v>0.18579999999999999</v>
          </cell>
          <cell r="G92">
            <v>0.26929999999999998</v>
          </cell>
          <cell r="H92">
            <v>1</v>
          </cell>
          <cell r="I92">
            <v>160</v>
          </cell>
          <cell r="J92">
            <v>1.49</v>
          </cell>
          <cell r="K92">
            <v>168</v>
          </cell>
          <cell r="L92">
            <v>2</v>
          </cell>
          <cell r="M92">
            <v>160</v>
          </cell>
          <cell r="N92">
            <v>-0.122</v>
          </cell>
          <cell r="O92">
            <v>-143</v>
          </cell>
        </row>
        <row r="93">
          <cell r="A93">
            <v>92</v>
          </cell>
          <cell r="B93">
            <v>6000</v>
          </cell>
          <cell r="C93">
            <v>180</v>
          </cell>
          <cell r="D93">
            <v>240</v>
          </cell>
          <cell r="E93">
            <v>7.0200000000000012E-2</v>
          </cell>
          <cell r="F93">
            <v>0.17499999999999999</v>
          </cell>
          <cell r="G93">
            <v>0.2452</v>
          </cell>
          <cell r="H93">
            <v>1</v>
          </cell>
          <cell r="I93">
            <v>180</v>
          </cell>
          <cell r="J93">
            <v>1.28</v>
          </cell>
          <cell r="K93">
            <v>145</v>
          </cell>
          <cell r="L93">
            <v>2</v>
          </cell>
          <cell r="M93">
            <v>180</v>
          </cell>
          <cell r="N93">
            <v>-0.10199999999999999</v>
          </cell>
          <cell r="O93">
            <v>-119</v>
          </cell>
        </row>
        <row r="94">
          <cell r="A94">
            <v>93</v>
          </cell>
          <cell r="B94">
            <v>6000</v>
          </cell>
          <cell r="C94">
            <v>200</v>
          </cell>
          <cell r="D94">
            <v>240</v>
          </cell>
          <cell r="E94">
            <v>6.0400000000000009E-2</v>
          </cell>
          <cell r="F94">
            <v>0.16489999999999999</v>
          </cell>
          <cell r="G94">
            <v>0.2253</v>
          </cell>
          <cell r="H94">
            <v>1</v>
          </cell>
          <cell r="I94">
            <v>200</v>
          </cell>
          <cell r="J94">
            <v>1.1100000000000001</v>
          </cell>
          <cell r="K94">
            <v>126</v>
          </cell>
          <cell r="L94">
            <v>2</v>
          </cell>
          <cell r="M94">
            <v>200</v>
          </cell>
          <cell r="N94">
            <v>-8.5999999999999993E-2</v>
          </cell>
          <cell r="O94">
            <v>-100</v>
          </cell>
        </row>
        <row r="95">
          <cell r="A95">
            <v>94</v>
          </cell>
          <cell r="B95">
            <v>6000</v>
          </cell>
          <cell r="C95">
            <v>220</v>
          </cell>
          <cell r="D95">
            <v>240</v>
          </cell>
          <cell r="E95">
            <v>5.2999999999999992E-2</v>
          </cell>
          <cell r="F95">
            <v>0.15570000000000001</v>
          </cell>
          <cell r="G95">
            <v>0.2087</v>
          </cell>
          <cell r="H95">
            <v>1</v>
          </cell>
          <cell r="I95">
            <v>220</v>
          </cell>
          <cell r="J95">
            <v>0.97599999999999998</v>
          </cell>
          <cell r="K95">
            <v>110</v>
          </cell>
          <cell r="L95">
            <v>2</v>
          </cell>
          <cell r="M95">
            <v>220</v>
          </cell>
          <cell r="N95">
            <v>-7.3499999999999996E-2</v>
          </cell>
          <cell r="O95">
            <v>-85.8</v>
          </cell>
        </row>
        <row r="96">
          <cell r="A96">
            <v>95</v>
          </cell>
          <cell r="B96">
            <v>6000</v>
          </cell>
          <cell r="C96">
            <v>240</v>
          </cell>
          <cell r="D96">
            <v>240</v>
          </cell>
          <cell r="E96">
            <v>4.7500000000000014E-2</v>
          </cell>
          <cell r="F96">
            <v>0.1472</v>
          </cell>
          <cell r="G96">
            <v>0.19470000000000001</v>
          </cell>
          <cell r="H96">
            <v>1</v>
          </cell>
          <cell r="I96">
            <v>240</v>
          </cell>
          <cell r="J96">
            <v>0.85899999999999999</v>
          </cell>
          <cell r="K96">
            <v>96.8</v>
          </cell>
          <cell r="L96">
            <v>2</v>
          </cell>
          <cell r="M96">
            <v>240</v>
          </cell>
          <cell r="N96">
            <v>-6.3500000000000001E-2</v>
          </cell>
          <cell r="O96">
            <v>-74.099999999999994</v>
          </cell>
        </row>
        <row r="97">
          <cell r="A97">
            <v>96</v>
          </cell>
          <cell r="B97">
            <v>6000</v>
          </cell>
          <cell r="C97">
            <v>260</v>
          </cell>
          <cell r="D97">
            <v>240</v>
          </cell>
          <cell r="E97">
            <v>4.3199999999999988E-2</v>
          </cell>
          <cell r="F97">
            <v>0.13950000000000001</v>
          </cell>
          <cell r="G97">
            <v>0.1827</v>
          </cell>
          <cell r="H97">
            <v>1</v>
          </cell>
          <cell r="I97">
            <v>260</v>
          </cell>
          <cell r="J97">
            <v>0.76100000000000001</v>
          </cell>
          <cell r="K97">
            <v>85.7</v>
          </cell>
          <cell r="L97">
            <v>2</v>
          </cell>
          <cell r="M97">
            <v>260</v>
          </cell>
          <cell r="N97">
            <v>-5.5399999999999998E-2</v>
          </cell>
          <cell r="O97">
            <v>-64.599999999999994</v>
          </cell>
        </row>
        <row r="98">
          <cell r="A98">
            <v>97</v>
          </cell>
          <cell r="B98">
            <v>6000</v>
          </cell>
          <cell r="C98">
            <v>280</v>
          </cell>
          <cell r="D98">
            <v>240</v>
          </cell>
          <cell r="E98">
            <v>3.9900000000000019E-2</v>
          </cell>
          <cell r="F98">
            <v>0.13239999999999999</v>
          </cell>
          <cell r="G98">
            <v>0.17230000000000001</v>
          </cell>
          <cell r="H98">
            <v>1</v>
          </cell>
          <cell r="I98">
            <v>280</v>
          </cell>
          <cell r="J98">
            <v>0.67800000000000005</v>
          </cell>
          <cell r="K98">
            <v>76.2</v>
          </cell>
          <cell r="L98">
            <v>2</v>
          </cell>
          <cell r="M98">
            <v>280</v>
          </cell>
          <cell r="N98">
            <v>-4.87E-2</v>
          </cell>
          <cell r="O98">
            <v>-56.8</v>
          </cell>
        </row>
        <row r="99">
          <cell r="A99">
            <v>98</v>
          </cell>
          <cell r="B99">
            <v>6000</v>
          </cell>
          <cell r="C99">
            <v>300</v>
          </cell>
          <cell r="D99">
            <v>240</v>
          </cell>
          <cell r="E99">
            <v>3.7200000000000011E-2</v>
          </cell>
          <cell r="F99">
            <v>0.126</v>
          </cell>
          <cell r="G99">
            <v>0.16320000000000001</v>
          </cell>
          <cell r="H99">
            <v>1</v>
          </cell>
          <cell r="I99">
            <v>300</v>
          </cell>
          <cell r="J99">
            <v>0.60699999999999998</v>
          </cell>
          <cell r="K99">
            <v>68.2</v>
          </cell>
          <cell r="L99">
            <v>2</v>
          </cell>
          <cell r="M99">
            <v>300</v>
          </cell>
          <cell r="N99">
            <v>-4.3099999999999999E-2</v>
          </cell>
          <cell r="O99">
            <v>-50.3</v>
          </cell>
        </row>
        <row r="100">
          <cell r="A100">
            <v>99</v>
          </cell>
          <cell r="B100">
            <v>6000</v>
          </cell>
          <cell r="C100">
            <v>40</v>
          </cell>
          <cell r="D100">
            <v>260</v>
          </cell>
          <cell r="E100">
            <v>0.41670000000000007</v>
          </cell>
          <cell r="F100">
            <v>0.1888</v>
          </cell>
          <cell r="G100">
            <v>0.60550000000000004</v>
          </cell>
          <cell r="H100">
            <v>1</v>
          </cell>
          <cell r="I100">
            <v>40</v>
          </cell>
          <cell r="J100">
            <v>3.32</v>
          </cell>
          <cell r="K100">
            <v>397</v>
          </cell>
          <cell r="L100">
            <v>2</v>
          </cell>
          <cell r="M100">
            <v>40</v>
          </cell>
          <cell r="N100">
            <v>-0.629</v>
          </cell>
          <cell r="O100">
            <v>-677</v>
          </cell>
        </row>
        <row r="101">
          <cell r="A101">
            <v>100</v>
          </cell>
          <cell r="B101">
            <v>6000</v>
          </cell>
          <cell r="C101">
            <v>60</v>
          </cell>
          <cell r="D101">
            <v>260</v>
          </cell>
          <cell r="E101">
            <v>0.30270000000000002</v>
          </cell>
          <cell r="F101">
            <v>0.2021</v>
          </cell>
          <cell r="G101">
            <v>0.50480000000000003</v>
          </cell>
          <cell r="H101">
            <v>1</v>
          </cell>
          <cell r="I101">
            <v>60</v>
          </cell>
          <cell r="J101">
            <v>3.26</v>
          </cell>
          <cell r="K101">
            <v>380</v>
          </cell>
          <cell r="L101">
            <v>2</v>
          </cell>
          <cell r="M101">
            <v>60</v>
          </cell>
          <cell r="N101">
            <v>-0.45400000000000001</v>
          </cell>
          <cell r="O101">
            <v>-489</v>
          </cell>
        </row>
        <row r="102">
          <cell r="A102">
            <v>101</v>
          </cell>
          <cell r="B102">
            <v>6000</v>
          </cell>
          <cell r="C102">
            <v>80</v>
          </cell>
          <cell r="D102">
            <v>260</v>
          </cell>
          <cell r="E102">
            <v>0.21900000000000003</v>
          </cell>
          <cell r="F102">
            <v>0.20569999999999999</v>
          </cell>
          <cell r="G102">
            <v>0.42470000000000002</v>
          </cell>
          <cell r="H102">
            <v>1</v>
          </cell>
          <cell r="I102">
            <v>80</v>
          </cell>
          <cell r="J102">
            <v>2.8</v>
          </cell>
          <cell r="K102">
            <v>323</v>
          </cell>
          <cell r="L102">
            <v>2</v>
          </cell>
          <cell r="M102">
            <v>80</v>
          </cell>
          <cell r="N102">
            <v>-0.33200000000000002</v>
          </cell>
          <cell r="O102">
            <v>-357</v>
          </cell>
        </row>
        <row r="103">
          <cell r="A103">
            <v>102</v>
          </cell>
          <cell r="B103">
            <v>6000</v>
          </cell>
          <cell r="C103">
            <v>100</v>
          </cell>
          <cell r="D103">
            <v>260</v>
          </cell>
          <cell r="E103">
            <v>0.16289999999999999</v>
          </cell>
          <cell r="F103">
            <v>0.2016</v>
          </cell>
          <cell r="G103">
            <v>0.36449999999999999</v>
          </cell>
          <cell r="H103">
            <v>1</v>
          </cell>
          <cell r="I103">
            <v>100</v>
          </cell>
          <cell r="J103">
            <v>2.36</v>
          </cell>
          <cell r="K103">
            <v>270</v>
          </cell>
          <cell r="L103">
            <v>2</v>
          </cell>
          <cell r="M103">
            <v>100</v>
          </cell>
          <cell r="N103">
            <v>-0.25</v>
          </cell>
          <cell r="O103">
            <v>-270</v>
          </cell>
        </row>
        <row r="104">
          <cell r="A104">
            <v>103</v>
          </cell>
          <cell r="B104">
            <v>6000</v>
          </cell>
          <cell r="C104">
            <v>120</v>
          </cell>
          <cell r="D104">
            <v>260</v>
          </cell>
          <cell r="E104">
            <v>0.12540000000000001</v>
          </cell>
          <cell r="F104">
            <v>0.19350000000000001</v>
          </cell>
          <cell r="G104">
            <v>0.31890000000000002</v>
          </cell>
          <cell r="H104">
            <v>1</v>
          </cell>
          <cell r="I104">
            <v>120</v>
          </cell>
          <cell r="J104">
            <v>1.99</v>
          </cell>
          <cell r="K104">
            <v>227</v>
          </cell>
          <cell r="L104">
            <v>2</v>
          </cell>
          <cell r="M104">
            <v>120</v>
          </cell>
          <cell r="N104">
            <v>-0.19500000000000001</v>
          </cell>
          <cell r="O104">
            <v>-210</v>
          </cell>
        </row>
        <row r="105">
          <cell r="A105">
            <v>104</v>
          </cell>
          <cell r="B105">
            <v>6000</v>
          </cell>
          <cell r="C105">
            <v>140</v>
          </cell>
          <cell r="D105">
            <v>260</v>
          </cell>
          <cell r="E105">
            <v>9.9699999999999983E-2</v>
          </cell>
          <cell r="F105">
            <v>0.18379999999999999</v>
          </cell>
          <cell r="G105">
            <v>0.28349999999999997</v>
          </cell>
          <cell r="H105">
            <v>1</v>
          </cell>
          <cell r="I105">
            <v>140</v>
          </cell>
          <cell r="J105">
            <v>1.69</v>
          </cell>
          <cell r="K105">
            <v>193</v>
          </cell>
          <cell r="L105">
            <v>2</v>
          </cell>
          <cell r="M105">
            <v>140</v>
          </cell>
          <cell r="N105">
            <v>-0.157</v>
          </cell>
          <cell r="O105">
            <v>-169</v>
          </cell>
        </row>
        <row r="106">
          <cell r="A106">
            <v>105</v>
          </cell>
          <cell r="B106">
            <v>6000</v>
          </cell>
          <cell r="C106">
            <v>160</v>
          </cell>
          <cell r="D106">
            <v>260</v>
          </cell>
          <cell r="E106">
            <v>8.1700000000000023E-2</v>
          </cell>
          <cell r="F106">
            <v>0.17369999999999999</v>
          </cell>
          <cell r="G106">
            <v>0.25540000000000002</v>
          </cell>
          <cell r="H106">
            <v>1</v>
          </cell>
          <cell r="I106">
            <v>160</v>
          </cell>
          <cell r="J106">
            <v>1.45</v>
          </cell>
          <cell r="K106">
            <v>165</v>
          </cell>
          <cell r="L106">
            <v>2</v>
          </cell>
          <cell r="M106">
            <v>160</v>
          </cell>
          <cell r="N106">
            <v>-0.128</v>
          </cell>
          <cell r="O106">
            <v>-138</v>
          </cell>
        </row>
        <row r="107">
          <cell r="A107">
            <v>106</v>
          </cell>
          <cell r="B107">
            <v>6000</v>
          </cell>
          <cell r="C107">
            <v>180</v>
          </cell>
          <cell r="D107">
            <v>260</v>
          </cell>
          <cell r="E107">
            <v>6.88E-2</v>
          </cell>
          <cell r="F107">
            <v>0.16400000000000001</v>
          </cell>
          <cell r="G107">
            <v>0.23280000000000001</v>
          </cell>
          <cell r="H107">
            <v>1</v>
          </cell>
          <cell r="I107">
            <v>180</v>
          </cell>
          <cell r="J107">
            <v>1.25</v>
          </cell>
          <cell r="K107">
            <v>142</v>
          </cell>
          <cell r="L107">
            <v>2</v>
          </cell>
          <cell r="M107">
            <v>180</v>
          </cell>
          <cell r="N107">
            <v>-0.107</v>
          </cell>
          <cell r="O107">
            <v>-115</v>
          </cell>
        </row>
        <row r="108">
          <cell r="A108">
            <v>107</v>
          </cell>
          <cell r="B108">
            <v>6000</v>
          </cell>
          <cell r="C108">
            <v>200</v>
          </cell>
          <cell r="D108">
            <v>260</v>
          </cell>
          <cell r="E108">
            <v>5.9300000000000019E-2</v>
          </cell>
          <cell r="F108">
            <v>0.15479999999999999</v>
          </cell>
          <cell r="G108">
            <v>0.21410000000000001</v>
          </cell>
          <cell r="H108">
            <v>1</v>
          </cell>
          <cell r="I108">
            <v>200</v>
          </cell>
          <cell r="J108">
            <v>1.0900000000000001</v>
          </cell>
          <cell r="K108">
            <v>124</v>
          </cell>
          <cell r="L108">
            <v>2</v>
          </cell>
          <cell r="M108">
            <v>200</v>
          </cell>
          <cell r="N108">
            <v>-9.0200000000000002E-2</v>
          </cell>
          <cell r="O108">
            <v>-97.2</v>
          </cell>
        </row>
        <row r="109">
          <cell r="A109">
            <v>108</v>
          </cell>
          <cell r="B109">
            <v>6000</v>
          </cell>
          <cell r="C109">
            <v>220</v>
          </cell>
          <cell r="D109">
            <v>260</v>
          </cell>
          <cell r="E109">
            <v>5.2199999999999996E-2</v>
          </cell>
          <cell r="F109">
            <v>0.14630000000000001</v>
          </cell>
          <cell r="G109">
            <v>0.19850000000000001</v>
          </cell>
          <cell r="H109">
            <v>1</v>
          </cell>
          <cell r="I109">
            <v>220</v>
          </cell>
          <cell r="J109">
            <v>0.95599999999999996</v>
          </cell>
          <cell r="K109">
            <v>108</v>
          </cell>
          <cell r="L109">
            <v>2</v>
          </cell>
          <cell r="M109">
            <v>220</v>
          </cell>
          <cell r="N109">
            <v>-7.7200000000000005E-2</v>
          </cell>
          <cell r="O109">
            <v>-83.1</v>
          </cell>
        </row>
        <row r="110">
          <cell r="A110">
            <v>109</v>
          </cell>
          <cell r="B110">
            <v>6000</v>
          </cell>
          <cell r="C110">
            <v>240</v>
          </cell>
          <cell r="D110">
            <v>260</v>
          </cell>
          <cell r="E110">
            <v>4.6799999999999981E-2</v>
          </cell>
          <cell r="F110">
            <v>0.13850000000000001</v>
          </cell>
          <cell r="G110">
            <v>0.18529999999999999</v>
          </cell>
          <cell r="H110">
            <v>1</v>
          </cell>
          <cell r="I110">
            <v>240</v>
          </cell>
          <cell r="J110">
            <v>0.84299999999999997</v>
          </cell>
          <cell r="K110">
            <v>95.2</v>
          </cell>
          <cell r="L110">
            <v>2</v>
          </cell>
          <cell r="M110">
            <v>240</v>
          </cell>
          <cell r="N110">
            <v>-6.6699999999999995E-2</v>
          </cell>
          <cell r="O110">
            <v>-71.900000000000006</v>
          </cell>
        </row>
        <row r="111">
          <cell r="A111">
            <v>110</v>
          </cell>
          <cell r="B111">
            <v>6000</v>
          </cell>
          <cell r="C111">
            <v>260</v>
          </cell>
          <cell r="D111">
            <v>260</v>
          </cell>
          <cell r="E111">
            <v>4.2699999999999988E-2</v>
          </cell>
          <cell r="F111">
            <v>0.1313</v>
          </cell>
          <cell r="G111">
            <v>0.17399999999999999</v>
          </cell>
          <cell r="H111">
            <v>1</v>
          </cell>
          <cell r="I111">
            <v>260</v>
          </cell>
          <cell r="J111">
            <v>0.747</v>
          </cell>
          <cell r="K111">
            <v>84.3</v>
          </cell>
          <cell r="L111">
            <v>2</v>
          </cell>
          <cell r="M111">
            <v>260</v>
          </cell>
          <cell r="N111">
            <v>-5.8200000000000002E-2</v>
          </cell>
          <cell r="O111">
            <v>-62.7</v>
          </cell>
        </row>
        <row r="112">
          <cell r="A112">
            <v>111</v>
          </cell>
          <cell r="B112">
            <v>6000</v>
          </cell>
          <cell r="C112">
            <v>280</v>
          </cell>
          <cell r="D112">
            <v>260</v>
          </cell>
          <cell r="E112">
            <v>3.9400000000000018E-2</v>
          </cell>
          <cell r="F112">
            <v>0.12479999999999999</v>
          </cell>
          <cell r="G112">
            <v>0.16420000000000001</v>
          </cell>
          <cell r="H112">
            <v>1</v>
          </cell>
          <cell r="I112">
            <v>280</v>
          </cell>
          <cell r="J112">
            <v>0.66500000000000004</v>
          </cell>
          <cell r="K112">
            <v>75.099999999999994</v>
          </cell>
          <cell r="L112">
            <v>2</v>
          </cell>
          <cell r="M112">
            <v>280</v>
          </cell>
          <cell r="N112">
            <v>-5.1200000000000002E-2</v>
          </cell>
          <cell r="O112">
            <v>-55.1</v>
          </cell>
        </row>
        <row r="113">
          <cell r="A113">
            <v>112</v>
          </cell>
          <cell r="B113">
            <v>6000</v>
          </cell>
          <cell r="C113">
            <v>300</v>
          </cell>
          <cell r="D113">
            <v>260</v>
          </cell>
          <cell r="E113">
            <v>3.6799999999999986E-2</v>
          </cell>
          <cell r="F113">
            <v>0.1188</v>
          </cell>
          <cell r="G113">
            <v>0.15559999999999999</v>
          </cell>
          <cell r="H113">
            <v>1</v>
          </cell>
          <cell r="I113">
            <v>300</v>
          </cell>
          <cell r="J113">
            <v>0.59599999999999997</v>
          </cell>
          <cell r="K113">
            <v>67.2</v>
          </cell>
          <cell r="L113">
            <v>2</v>
          </cell>
          <cell r="M113">
            <v>300</v>
          </cell>
          <cell r="N113">
            <v>-4.5400000000000003E-2</v>
          </cell>
          <cell r="O113">
            <v>-48.8</v>
          </cell>
        </row>
        <row r="114">
          <cell r="A114">
            <v>113</v>
          </cell>
          <cell r="B114">
            <v>6000</v>
          </cell>
          <cell r="C114">
            <v>40</v>
          </cell>
          <cell r="D114">
            <v>280</v>
          </cell>
          <cell r="E114">
            <v>0.39290000000000003</v>
          </cell>
          <cell r="F114">
            <v>0.17449999999999999</v>
          </cell>
          <cell r="G114">
            <v>0.56740000000000002</v>
          </cell>
          <cell r="H114">
            <v>1</v>
          </cell>
          <cell r="I114">
            <v>40</v>
          </cell>
          <cell r="J114">
            <v>3.13</v>
          </cell>
          <cell r="K114">
            <v>376</v>
          </cell>
          <cell r="L114">
            <v>2</v>
          </cell>
          <cell r="M114">
            <v>40</v>
          </cell>
          <cell r="N114">
            <v>-0.63800000000000001</v>
          </cell>
          <cell r="O114">
            <v>-638</v>
          </cell>
        </row>
        <row r="115">
          <cell r="A115">
            <v>114</v>
          </cell>
          <cell r="B115">
            <v>6000</v>
          </cell>
          <cell r="C115">
            <v>60</v>
          </cell>
          <cell r="D115">
            <v>280</v>
          </cell>
          <cell r="E115">
            <v>0.2888</v>
          </cell>
          <cell r="F115">
            <v>0.187</v>
          </cell>
          <cell r="G115">
            <v>0.4758</v>
          </cell>
          <cell r="H115">
            <v>1</v>
          </cell>
          <cell r="I115">
            <v>60</v>
          </cell>
          <cell r="J115">
            <v>3.12</v>
          </cell>
          <cell r="K115">
            <v>365</v>
          </cell>
          <cell r="L115">
            <v>2</v>
          </cell>
          <cell r="M115">
            <v>60</v>
          </cell>
          <cell r="N115">
            <v>-0.46600000000000003</v>
          </cell>
          <cell r="O115">
            <v>-466</v>
          </cell>
        </row>
        <row r="116">
          <cell r="A116">
            <v>115</v>
          </cell>
          <cell r="B116">
            <v>6000</v>
          </cell>
          <cell r="C116">
            <v>80</v>
          </cell>
          <cell r="D116">
            <v>280</v>
          </cell>
          <cell r="E116">
            <v>0.2107</v>
          </cell>
          <cell r="F116">
            <v>0.191</v>
          </cell>
          <cell r="G116">
            <v>0.4017</v>
          </cell>
          <cell r="H116">
            <v>1</v>
          </cell>
          <cell r="I116">
            <v>80</v>
          </cell>
          <cell r="J116">
            <v>2.71</v>
          </cell>
          <cell r="K116">
            <v>313</v>
          </cell>
          <cell r="L116">
            <v>2</v>
          </cell>
          <cell r="M116">
            <v>80</v>
          </cell>
          <cell r="N116">
            <v>-0.34200000000000003</v>
          </cell>
          <cell r="O116">
            <v>-342</v>
          </cell>
        </row>
        <row r="117">
          <cell r="A117">
            <v>116</v>
          </cell>
          <cell r="B117">
            <v>6000</v>
          </cell>
          <cell r="C117">
            <v>100</v>
          </cell>
          <cell r="D117">
            <v>280</v>
          </cell>
          <cell r="E117">
            <v>0.15770000000000001</v>
          </cell>
          <cell r="F117">
            <v>0.18790000000000001</v>
          </cell>
          <cell r="G117">
            <v>0.34560000000000002</v>
          </cell>
          <cell r="H117">
            <v>1</v>
          </cell>
          <cell r="I117">
            <v>100</v>
          </cell>
          <cell r="J117">
            <v>2.29</v>
          </cell>
          <cell r="K117">
            <v>263</v>
          </cell>
          <cell r="L117">
            <v>2</v>
          </cell>
          <cell r="M117">
            <v>100</v>
          </cell>
          <cell r="N117">
            <v>-0.25900000000000001</v>
          </cell>
          <cell r="O117">
            <v>-259</v>
          </cell>
        </row>
        <row r="118">
          <cell r="A118">
            <v>117</v>
          </cell>
          <cell r="B118">
            <v>6000</v>
          </cell>
          <cell r="C118">
            <v>120</v>
          </cell>
          <cell r="D118">
            <v>280</v>
          </cell>
          <cell r="E118">
            <v>0.12190000000000001</v>
          </cell>
          <cell r="F118">
            <v>0.18090000000000001</v>
          </cell>
          <cell r="G118">
            <v>0.30280000000000001</v>
          </cell>
          <cell r="H118">
            <v>1</v>
          </cell>
          <cell r="I118">
            <v>120</v>
          </cell>
          <cell r="J118">
            <v>1.94</v>
          </cell>
          <cell r="K118">
            <v>222</v>
          </cell>
          <cell r="L118">
            <v>2</v>
          </cell>
          <cell r="M118">
            <v>120</v>
          </cell>
          <cell r="N118">
            <v>-0.20300000000000001</v>
          </cell>
          <cell r="O118">
            <v>-203</v>
          </cell>
        </row>
        <row r="119">
          <cell r="A119">
            <v>118</v>
          </cell>
          <cell r="B119">
            <v>6000</v>
          </cell>
          <cell r="C119">
            <v>140</v>
          </cell>
          <cell r="D119">
            <v>280</v>
          </cell>
          <cell r="E119">
            <v>9.7299999999999998E-2</v>
          </cell>
          <cell r="F119">
            <v>0.17230000000000001</v>
          </cell>
          <cell r="G119">
            <v>0.26960000000000001</v>
          </cell>
          <cell r="H119">
            <v>1</v>
          </cell>
          <cell r="I119">
            <v>140</v>
          </cell>
          <cell r="J119">
            <v>1.65</v>
          </cell>
          <cell r="K119">
            <v>189</v>
          </cell>
          <cell r="L119">
            <v>2</v>
          </cell>
          <cell r="M119">
            <v>140</v>
          </cell>
          <cell r="N119">
            <v>-0.16300000000000001</v>
          </cell>
          <cell r="O119">
            <v>-163</v>
          </cell>
        </row>
        <row r="120">
          <cell r="A120">
            <v>119</v>
          </cell>
          <cell r="B120">
            <v>6000</v>
          </cell>
          <cell r="C120">
            <v>160</v>
          </cell>
          <cell r="D120">
            <v>280</v>
          </cell>
          <cell r="E120">
            <v>7.9999999999999988E-2</v>
          </cell>
          <cell r="F120">
            <v>0.16320000000000001</v>
          </cell>
          <cell r="G120">
            <v>0.2432</v>
          </cell>
          <cell r="H120">
            <v>1</v>
          </cell>
          <cell r="I120">
            <v>160</v>
          </cell>
          <cell r="J120">
            <v>1.42</v>
          </cell>
          <cell r="K120">
            <v>162</v>
          </cell>
          <cell r="L120">
            <v>2</v>
          </cell>
          <cell r="M120">
            <v>160</v>
          </cell>
          <cell r="N120">
            <v>-0.13400000000000001</v>
          </cell>
          <cell r="O120">
            <v>-134</v>
          </cell>
        </row>
        <row r="121">
          <cell r="A121">
            <v>120</v>
          </cell>
          <cell r="B121">
            <v>6000</v>
          </cell>
          <cell r="C121">
            <v>180</v>
          </cell>
          <cell r="D121">
            <v>280</v>
          </cell>
          <cell r="E121">
            <v>6.7599999999999993E-2</v>
          </cell>
          <cell r="F121">
            <v>0.15429999999999999</v>
          </cell>
          <cell r="G121">
            <v>0.22189999999999999</v>
          </cell>
          <cell r="H121">
            <v>1</v>
          </cell>
          <cell r="I121">
            <v>180</v>
          </cell>
          <cell r="J121">
            <v>1.23</v>
          </cell>
          <cell r="K121">
            <v>140</v>
          </cell>
          <cell r="L121">
            <v>2</v>
          </cell>
          <cell r="M121">
            <v>180</v>
          </cell>
          <cell r="N121">
            <v>-0.111</v>
          </cell>
          <cell r="O121">
            <v>-111</v>
          </cell>
        </row>
        <row r="122">
          <cell r="A122">
            <v>121</v>
          </cell>
          <cell r="B122">
            <v>6000</v>
          </cell>
          <cell r="C122">
            <v>200</v>
          </cell>
          <cell r="D122">
            <v>280</v>
          </cell>
          <cell r="E122">
            <v>5.8400000000000007E-2</v>
          </cell>
          <cell r="F122">
            <v>0.1459</v>
          </cell>
          <cell r="G122">
            <v>0.20430000000000001</v>
          </cell>
          <cell r="H122">
            <v>1</v>
          </cell>
          <cell r="I122">
            <v>200</v>
          </cell>
          <cell r="J122">
            <v>1.07</v>
          </cell>
          <cell r="K122">
            <v>122</v>
          </cell>
          <cell r="L122">
            <v>2</v>
          </cell>
          <cell r="M122">
            <v>200</v>
          </cell>
          <cell r="N122">
            <v>-9.4299999999999995E-2</v>
          </cell>
          <cell r="O122">
            <v>-94.3</v>
          </cell>
        </row>
        <row r="123">
          <cell r="A123">
            <v>122</v>
          </cell>
          <cell r="B123">
            <v>6000</v>
          </cell>
          <cell r="C123">
            <v>220</v>
          </cell>
          <cell r="D123">
            <v>280</v>
          </cell>
          <cell r="E123">
            <v>5.149999999999999E-2</v>
          </cell>
          <cell r="F123">
            <v>0.13800000000000001</v>
          </cell>
          <cell r="G123">
            <v>0.1895</v>
          </cell>
          <cell r="H123">
            <v>1</v>
          </cell>
          <cell r="I123">
            <v>220</v>
          </cell>
          <cell r="J123">
            <v>0.93899999999999995</v>
          </cell>
          <cell r="K123">
            <v>106</v>
          </cell>
          <cell r="L123">
            <v>2</v>
          </cell>
          <cell r="M123">
            <v>220</v>
          </cell>
          <cell r="N123">
            <v>-8.0799999999999997E-2</v>
          </cell>
          <cell r="O123">
            <v>-80.8</v>
          </cell>
        </row>
        <row r="124">
          <cell r="A124">
            <v>123</v>
          </cell>
          <cell r="B124">
            <v>6000</v>
          </cell>
          <cell r="C124">
            <v>240</v>
          </cell>
          <cell r="D124">
            <v>280</v>
          </cell>
          <cell r="E124">
            <v>4.6300000000000008E-2</v>
          </cell>
          <cell r="F124">
            <v>0.1308</v>
          </cell>
          <cell r="G124">
            <v>0.17710000000000001</v>
          </cell>
          <cell r="H124">
            <v>1</v>
          </cell>
          <cell r="I124">
            <v>240</v>
          </cell>
          <cell r="J124">
            <v>0.82799999999999996</v>
          </cell>
          <cell r="K124">
            <v>93.7</v>
          </cell>
          <cell r="L124">
            <v>2</v>
          </cell>
          <cell r="M124">
            <v>240</v>
          </cell>
          <cell r="N124">
            <v>-6.9900000000000004E-2</v>
          </cell>
          <cell r="O124">
            <v>-69.900000000000006</v>
          </cell>
        </row>
        <row r="125">
          <cell r="A125">
            <v>124</v>
          </cell>
          <cell r="B125">
            <v>6000</v>
          </cell>
          <cell r="C125">
            <v>260</v>
          </cell>
          <cell r="D125">
            <v>280</v>
          </cell>
          <cell r="E125">
            <v>4.2199999999999988E-2</v>
          </cell>
          <cell r="F125">
            <v>0.1242</v>
          </cell>
          <cell r="G125">
            <v>0.16639999999999999</v>
          </cell>
          <cell r="H125">
            <v>1</v>
          </cell>
          <cell r="I125">
            <v>260</v>
          </cell>
          <cell r="J125">
            <v>0.73399999999999999</v>
          </cell>
          <cell r="K125">
            <v>83.1</v>
          </cell>
          <cell r="L125">
            <v>2</v>
          </cell>
          <cell r="M125">
            <v>260</v>
          </cell>
          <cell r="N125">
            <v>-6.0999999999999999E-2</v>
          </cell>
          <cell r="O125">
            <v>-61</v>
          </cell>
        </row>
        <row r="126">
          <cell r="A126">
            <v>125</v>
          </cell>
          <cell r="B126">
            <v>6000</v>
          </cell>
          <cell r="C126">
            <v>280</v>
          </cell>
          <cell r="D126">
            <v>280</v>
          </cell>
          <cell r="E126">
            <v>3.8999999999999993E-2</v>
          </cell>
          <cell r="F126">
            <v>0.1181</v>
          </cell>
          <cell r="G126">
            <v>0.15709999999999999</v>
          </cell>
          <cell r="H126">
            <v>1</v>
          </cell>
          <cell r="I126">
            <v>280</v>
          </cell>
          <cell r="J126">
            <v>0.65400000000000003</v>
          </cell>
          <cell r="K126">
            <v>74</v>
          </cell>
          <cell r="L126">
            <v>2</v>
          </cell>
          <cell r="M126">
            <v>280</v>
          </cell>
          <cell r="N126">
            <v>-5.3600000000000002E-2</v>
          </cell>
          <cell r="O126">
            <v>-53.6</v>
          </cell>
        </row>
        <row r="127">
          <cell r="A127">
            <v>126</v>
          </cell>
          <cell r="B127">
            <v>6000</v>
          </cell>
          <cell r="C127">
            <v>300</v>
          </cell>
          <cell r="D127">
            <v>280</v>
          </cell>
          <cell r="E127">
            <v>3.6499999999999991E-2</v>
          </cell>
          <cell r="F127">
            <v>0.1125</v>
          </cell>
          <cell r="G127">
            <v>0.14899999999999999</v>
          </cell>
          <cell r="H127">
            <v>1</v>
          </cell>
          <cell r="I127">
            <v>300</v>
          </cell>
          <cell r="J127">
            <v>0.58599999999999997</v>
          </cell>
          <cell r="K127">
            <v>66.3</v>
          </cell>
          <cell r="L127">
            <v>2</v>
          </cell>
          <cell r="M127">
            <v>300</v>
          </cell>
          <cell r="N127">
            <v>-4.7500000000000001E-2</v>
          </cell>
          <cell r="O127">
            <v>-47.5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grafikon1"/>
      <sheetName val="adatok"/>
      <sheetName val="vizsgálat"/>
      <sheetName val="mérés"/>
      <sheetName val="új"/>
      <sheetName val="utolsó"/>
      <sheetName val="T-6-1 Fejér (B-T)"/>
      <sheetName val="T-6-2 Tolna (IMI)"/>
      <sheetName val="még"/>
    </sheetNames>
    <sheetDataSet>
      <sheetData sheetId="0"/>
      <sheetData sheetId="1">
        <row r="3">
          <cell r="D3">
            <v>18000</v>
          </cell>
        </row>
        <row r="4">
          <cell r="D4">
            <v>139943</v>
          </cell>
        </row>
        <row r="6">
          <cell r="E6">
            <v>11</v>
          </cell>
          <cell r="F6">
            <v>5</v>
          </cell>
          <cell r="G6">
            <v>4</v>
          </cell>
          <cell r="H6">
            <v>50</v>
          </cell>
          <cell r="I6">
            <v>9</v>
          </cell>
          <cell r="J6">
            <v>46</v>
          </cell>
        </row>
        <row r="8">
          <cell r="B8">
            <v>0</v>
          </cell>
          <cell r="C8">
            <v>0</v>
          </cell>
        </row>
        <row r="9">
          <cell r="B9">
            <v>30000</v>
          </cell>
          <cell r="C9">
            <v>0</v>
          </cell>
        </row>
        <row r="10">
          <cell r="B10">
            <v>100000</v>
          </cell>
          <cell r="C10">
            <v>0</v>
          </cell>
        </row>
        <row r="11">
          <cell r="B11">
            <v>300000</v>
          </cell>
          <cell r="C11">
            <v>0</v>
          </cell>
        </row>
        <row r="12">
          <cell r="B12">
            <v>1000000</v>
          </cell>
          <cell r="C12">
            <v>1</v>
          </cell>
        </row>
        <row r="13">
          <cell r="B13">
            <v>3000000</v>
          </cell>
          <cell r="C13">
            <v>3</v>
          </cell>
        </row>
        <row r="14">
          <cell r="B14">
            <v>10000000</v>
          </cell>
          <cell r="C14">
            <v>5</v>
          </cell>
        </row>
        <row r="15">
          <cell r="B15">
            <v>30000000</v>
          </cell>
          <cell r="C15">
            <v>7</v>
          </cell>
        </row>
        <row r="17">
          <cell r="B17">
            <v>18012</v>
          </cell>
        </row>
        <row r="18">
          <cell r="B18">
            <v>139943</v>
          </cell>
        </row>
        <row r="19">
          <cell r="B19">
            <v>81950</v>
          </cell>
        </row>
      </sheetData>
      <sheetData sheetId="2">
        <row r="3">
          <cell r="B3">
            <v>18500</v>
          </cell>
          <cell r="E3">
            <v>-17.2</v>
          </cell>
          <cell r="F3">
            <v>9.5</v>
          </cell>
          <cell r="G3">
            <v>-51</v>
          </cell>
          <cell r="H3">
            <v>6.5</v>
          </cell>
          <cell r="J3">
            <v>18000</v>
          </cell>
          <cell r="L3" t="str">
            <v>@@</v>
          </cell>
          <cell r="M3" t="str">
            <v>@@</v>
          </cell>
          <cell r="N3" t="str">
            <v>@@</v>
          </cell>
          <cell r="O3" t="str">
            <v>@@</v>
          </cell>
          <cell r="P3" t="str">
            <v>@@</v>
          </cell>
          <cell r="Q3" t="str">
            <v>@@</v>
          </cell>
          <cell r="R3" t="str">
            <v>@@</v>
          </cell>
          <cell r="S3" t="str">
            <v>@@</v>
          </cell>
          <cell r="AB3" t="str">
            <v>@@</v>
          </cell>
          <cell r="AC3" t="str">
            <v>@@</v>
          </cell>
          <cell r="AD3" t="str">
            <v>@@</v>
          </cell>
          <cell r="AI3">
            <v>0</v>
          </cell>
          <cell r="AL3" t="str">
            <v>@@</v>
          </cell>
        </row>
        <row r="4">
          <cell r="B4">
            <v>19500</v>
          </cell>
          <cell r="E4">
            <v>-13.428571428571429</v>
          </cell>
          <cell r="F4">
            <v>3.8</v>
          </cell>
          <cell r="G4">
            <v>-7.5</v>
          </cell>
          <cell r="H4">
            <v>4.5</v>
          </cell>
          <cell r="J4">
            <v>18100</v>
          </cell>
          <cell r="L4" t="str">
            <v>@@</v>
          </cell>
          <cell r="M4" t="str">
            <v>@@</v>
          </cell>
          <cell r="N4" t="str">
            <v>@@</v>
          </cell>
          <cell r="O4" t="str">
            <v>@@</v>
          </cell>
          <cell r="P4" t="str">
            <v>@@</v>
          </cell>
          <cell r="Q4" t="str">
            <v>@@</v>
          </cell>
          <cell r="R4" t="str">
            <v>@@</v>
          </cell>
          <cell r="S4" t="str">
            <v>@@</v>
          </cell>
          <cell r="AB4" t="str">
            <v>@@</v>
          </cell>
          <cell r="AC4" t="str">
            <v>@@</v>
          </cell>
          <cell r="AD4" t="str">
            <v>@@</v>
          </cell>
          <cell r="AL4" t="str">
            <v>@@</v>
          </cell>
        </row>
        <row r="5">
          <cell r="B5">
            <v>20500</v>
          </cell>
          <cell r="E5">
            <v>-11.8</v>
          </cell>
          <cell r="F5">
            <v>5.5</v>
          </cell>
          <cell r="G5">
            <v>-8.6</v>
          </cell>
          <cell r="H5">
            <v>5.5</v>
          </cell>
          <cell r="J5">
            <v>18200</v>
          </cell>
          <cell r="L5" t="str">
            <v>@@</v>
          </cell>
          <cell r="M5" t="str">
            <v>@@</v>
          </cell>
          <cell r="N5" t="str">
            <v>@@</v>
          </cell>
          <cell r="O5" t="str">
            <v>@@</v>
          </cell>
          <cell r="P5" t="str">
            <v>@@</v>
          </cell>
          <cell r="Q5" t="str">
            <v>@@</v>
          </cell>
          <cell r="R5" t="str">
            <v>@@</v>
          </cell>
          <cell r="S5" t="str">
            <v>@@</v>
          </cell>
          <cell r="AB5" t="str">
            <v>@@</v>
          </cell>
          <cell r="AC5" t="str">
            <v>@@</v>
          </cell>
          <cell r="AD5" t="str">
            <v>@@</v>
          </cell>
          <cell r="AL5" t="str">
            <v>@@</v>
          </cell>
        </row>
        <row r="6">
          <cell r="B6">
            <v>21500</v>
          </cell>
          <cell r="E6">
            <v>-6</v>
          </cell>
          <cell r="F6">
            <v>6.1</v>
          </cell>
          <cell r="G6">
            <v>-9</v>
          </cell>
          <cell r="H6">
            <v>4.5999999999999996</v>
          </cell>
          <cell r="J6">
            <v>18300</v>
          </cell>
          <cell r="L6" t="str">
            <v>@@</v>
          </cell>
          <cell r="M6" t="str">
            <v>@@</v>
          </cell>
          <cell r="N6" t="str">
            <v>@@</v>
          </cell>
          <cell r="O6" t="str">
            <v>@@</v>
          </cell>
          <cell r="P6" t="str">
            <v>@@</v>
          </cell>
          <cell r="Q6" t="str">
            <v>@@</v>
          </cell>
          <cell r="R6" t="str">
            <v>@@</v>
          </cell>
          <cell r="S6" t="str">
            <v>@@</v>
          </cell>
          <cell r="AB6" t="str">
            <v>@@</v>
          </cell>
          <cell r="AC6" t="str">
            <v>@@</v>
          </cell>
          <cell r="AD6" t="str">
            <v>@@</v>
          </cell>
          <cell r="AL6" t="str">
            <v>@@</v>
          </cell>
        </row>
        <row r="7">
          <cell r="B7">
            <v>22500</v>
          </cell>
          <cell r="E7">
            <v>-28.8</v>
          </cell>
          <cell r="F7">
            <v>6.6</v>
          </cell>
          <cell r="G7">
            <v>-9.3333333333333339</v>
          </cell>
          <cell r="H7">
            <v>4.5</v>
          </cell>
          <cell r="J7">
            <v>18400</v>
          </cell>
          <cell r="L7" t="str">
            <v>@@</v>
          </cell>
          <cell r="M7" t="str">
            <v>@@</v>
          </cell>
          <cell r="N7" t="str">
            <v>@@</v>
          </cell>
          <cell r="O7" t="str">
            <v>@@</v>
          </cell>
          <cell r="P7" t="str">
            <v>@@</v>
          </cell>
          <cell r="Q7" t="str">
            <v>@@</v>
          </cell>
          <cell r="R7" t="str">
            <v>@@</v>
          </cell>
          <cell r="S7" t="str">
            <v>@@</v>
          </cell>
          <cell r="AB7" t="str">
            <v>@@</v>
          </cell>
          <cell r="AC7">
            <v>0</v>
          </cell>
          <cell r="AD7">
            <v>0</v>
          </cell>
          <cell r="AL7" t="str">
            <v>@@</v>
          </cell>
        </row>
        <row r="8">
          <cell r="B8">
            <v>23500</v>
          </cell>
          <cell r="E8">
            <v>-27</v>
          </cell>
          <cell r="F8">
            <v>7.7</v>
          </cell>
          <cell r="G8">
            <v>-31.111111111111111</v>
          </cell>
          <cell r="H8">
            <v>5.3</v>
          </cell>
          <cell r="J8">
            <v>18500</v>
          </cell>
          <cell r="L8">
            <v>18500</v>
          </cell>
          <cell r="M8">
            <v>0</v>
          </cell>
          <cell r="N8">
            <v>0</v>
          </cell>
          <cell r="O8">
            <v>-17.2</v>
          </cell>
          <cell r="P8">
            <v>9.5</v>
          </cell>
          <cell r="Q8">
            <v>-51</v>
          </cell>
          <cell r="R8">
            <v>6.5</v>
          </cell>
          <cell r="S8">
            <v>1</v>
          </cell>
          <cell r="T8">
            <v>18500</v>
          </cell>
          <cell r="W8">
            <v>-17.2</v>
          </cell>
          <cell r="X8">
            <v>9.5</v>
          </cell>
          <cell r="Y8">
            <v>-51</v>
          </cell>
          <cell r="Z8">
            <v>6.5</v>
          </cell>
          <cell r="AA8">
            <v>1</v>
          </cell>
          <cell r="AB8">
            <v>18500</v>
          </cell>
          <cell r="AC8">
            <v>-17.2</v>
          </cell>
          <cell r="AD8">
            <v>9.5</v>
          </cell>
          <cell r="AE8">
            <v>18500</v>
          </cell>
          <cell r="AF8">
            <v>-17.2</v>
          </cell>
          <cell r="AG8">
            <v>9.5</v>
          </cell>
          <cell r="AL8">
            <v>16</v>
          </cell>
          <cell r="AM8">
            <v>16</v>
          </cell>
        </row>
        <row r="9">
          <cell r="B9">
            <v>24500</v>
          </cell>
          <cell r="F9">
            <v>3.5</v>
          </cell>
          <cell r="G9">
            <v>-20.2</v>
          </cell>
          <cell r="H9">
            <v>8.4</v>
          </cell>
          <cell r="J9">
            <v>18600</v>
          </cell>
          <cell r="L9" t="str">
            <v>@@</v>
          </cell>
          <cell r="M9" t="str">
            <v>@@</v>
          </cell>
          <cell r="N9" t="str">
            <v>@@</v>
          </cell>
          <cell r="O9" t="str">
            <v>@@</v>
          </cell>
          <cell r="P9" t="str">
            <v>@@</v>
          </cell>
          <cell r="Q9" t="str">
            <v>@@</v>
          </cell>
          <cell r="R9" t="str">
            <v>@@</v>
          </cell>
          <cell r="S9" t="str">
            <v>@@</v>
          </cell>
          <cell r="AB9" t="str">
            <v>@@</v>
          </cell>
          <cell r="AC9">
            <v>-51</v>
          </cell>
          <cell r="AD9">
            <v>6.5</v>
          </cell>
          <cell r="AF9">
            <v>-51</v>
          </cell>
          <cell r="AG9">
            <v>6.5</v>
          </cell>
          <cell r="AL9" t="str">
            <v>@@</v>
          </cell>
        </row>
        <row r="10">
          <cell r="B10">
            <v>25500</v>
          </cell>
          <cell r="C10">
            <v>-27.4</v>
          </cell>
          <cell r="D10">
            <v>5.8</v>
          </cell>
          <cell r="E10">
            <v>-18.8</v>
          </cell>
          <cell r="F10">
            <v>5.7</v>
          </cell>
          <cell r="G10">
            <v>-9.8000000000000007</v>
          </cell>
          <cell r="H10">
            <v>5.7</v>
          </cell>
          <cell r="J10">
            <v>18700</v>
          </cell>
          <cell r="L10" t="str">
            <v>@@</v>
          </cell>
          <cell r="M10" t="str">
            <v>@@</v>
          </cell>
          <cell r="N10" t="str">
            <v>@@</v>
          </cell>
          <cell r="O10" t="str">
            <v>@@</v>
          </cell>
          <cell r="P10" t="str">
            <v>@@</v>
          </cell>
          <cell r="Q10" t="str">
            <v>@@</v>
          </cell>
          <cell r="R10" t="str">
            <v>@@</v>
          </cell>
          <cell r="S10" t="str">
            <v>@@</v>
          </cell>
          <cell r="AB10" t="str">
            <v>@@</v>
          </cell>
          <cell r="AC10" t="str">
            <v>@@</v>
          </cell>
          <cell r="AD10" t="str">
            <v>@@</v>
          </cell>
          <cell r="AL10" t="str">
            <v>@@</v>
          </cell>
        </row>
        <row r="11">
          <cell r="B11">
            <v>26500</v>
          </cell>
          <cell r="C11">
            <v>-54.4</v>
          </cell>
          <cell r="D11">
            <v>5.7</v>
          </cell>
          <cell r="E11">
            <v>-16.333333333333336</v>
          </cell>
          <cell r="F11">
            <v>3</v>
          </cell>
          <cell r="G11">
            <v>-11.666666666666666</v>
          </cell>
          <cell r="H11">
            <v>3</v>
          </cell>
          <cell r="J11">
            <v>18800</v>
          </cell>
          <cell r="L11" t="str">
            <v>@@</v>
          </cell>
          <cell r="M11" t="str">
            <v>@@</v>
          </cell>
          <cell r="N11" t="str">
            <v>@@</v>
          </cell>
          <cell r="O11" t="str">
            <v>@@</v>
          </cell>
          <cell r="P11" t="str">
            <v>@@</v>
          </cell>
          <cell r="Q11" t="str">
            <v>@@</v>
          </cell>
          <cell r="R11" t="str">
            <v>@@</v>
          </cell>
          <cell r="S11" t="str">
            <v>@@</v>
          </cell>
          <cell r="AB11" t="str">
            <v>@@</v>
          </cell>
          <cell r="AC11" t="str">
            <v>@@</v>
          </cell>
          <cell r="AD11" t="str">
            <v>@@</v>
          </cell>
          <cell r="AL11" t="str">
            <v>@@</v>
          </cell>
        </row>
        <row r="12">
          <cell r="B12">
            <v>27500</v>
          </cell>
          <cell r="C12">
            <v>-64.5</v>
          </cell>
          <cell r="D12">
            <v>4.3</v>
          </cell>
          <cell r="E12">
            <v>-59</v>
          </cell>
          <cell r="F12">
            <v>4</v>
          </cell>
          <cell r="G12">
            <v>-13.75</v>
          </cell>
          <cell r="H12">
            <v>4</v>
          </cell>
          <cell r="J12">
            <v>18900</v>
          </cell>
          <cell r="L12" t="str">
            <v>@@</v>
          </cell>
          <cell r="M12" t="str">
            <v>@@</v>
          </cell>
          <cell r="N12" t="str">
            <v>@@</v>
          </cell>
          <cell r="O12" t="str">
            <v>@@</v>
          </cell>
          <cell r="P12" t="str">
            <v>@@</v>
          </cell>
          <cell r="Q12" t="str">
            <v>@@</v>
          </cell>
          <cell r="R12" t="str">
            <v>@@</v>
          </cell>
          <cell r="S12" t="str">
            <v>@@</v>
          </cell>
          <cell r="AB12" t="str">
            <v>@@</v>
          </cell>
          <cell r="AC12" t="str">
            <v>@@</v>
          </cell>
          <cell r="AD12" t="str">
            <v>@@</v>
          </cell>
          <cell r="AL12" t="str">
            <v>@@</v>
          </cell>
        </row>
        <row r="13">
          <cell r="B13">
            <v>28500</v>
          </cell>
          <cell r="C13">
            <v>-52.8</v>
          </cell>
          <cell r="D13">
            <v>5.0999999999999996</v>
          </cell>
          <cell r="E13">
            <v>-32.200000000000003</v>
          </cell>
          <cell r="F13">
            <v>6.9</v>
          </cell>
          <cell r="G13">
            <v>-13.8</v>
          </cell>
          <cell r="H13">
            <v>5.2</v>
          </cell>
          <cell r="J13">
            <v>19000</v>
          </cell>
          <cell r="L13" t="str">
            <v>@@</v>
          </cell>
          <cell r="M13" t="str">
            <v>@@</v>
          </cell>
          <cell r="N13" t="str">
            <v>@@</v>
          </cell>
          <cell r="O13" t="str">
            <v>@@</v>
          </cell>
          <cell r="P13" t="str">
            <v>@@</v>
          </cell>
          <cell r="Q13" t="str">
            <v>@@</v>
          </cell>
          <cell r="R13" t="str">
            <v>@@</v>
          </cell>
          <cell r="S13" t="str">
            <v>@@</v>
          </cell>
          <cell r="AB13" t="str">
            <v>@@</v>
          </cell>
          <cell r="AC13" t="str">
            <v>@@</v>
          </cell>
          <cell r="AD13" t="str">
            <v>@@</v>
          </cell>
          <cell r="AL13" t="str">
            <v>@@</v>
          </cell>
        </row>
        <row r="14">
          <cell r="B14">
            <v>29500</v>
          </cell>
          <cell r="C14">
            <v>-11</v>
          </cell>
          <cell r="D14">
            <v>4.5</v>
          </cell>
          <cell r="E14">
            <v>-8</v>
          </cell>
          <cell r="F14">
            <v>4</v>
          </cell>
          <cell r="G14">
            <v>-18.399999999999999</v>
          </cell>
          <cell r="H14">
            <v>8.3000000000000007</v>
          </cell>
          <cell r="J14">
            <v>19100</v>
          </cell>
          <cell r="L14" t="str">
            <v>@@</v>
          </cell>
          <cell r="M14" t="str">
            <v>@@</v>
          </cell>
          <cell r="N14" t="str">
            <v>@@</v>
          </cell>
          <cell r="O14" t="str">
            <v>@@</v>
          </cell>
          <cell r="P14" t="str">
            <v>@@</v>
          </cell>
          <cell r="Q14" t="str">
            <v>@@</v>
          </cell>
          <cell r="R14" t="str">
            <v>@@</v>
          </cell>
          <cell r="S14" t="str">
            <v>@@</v>
          </cell>
          <cell r="AB14" t="str">
            <v>@@</v>
          </cell>
          <cell r="AC14" t="str">
            <v>@@</v>
          </cell>
          <cell r="AD14" t="str">
            <v>@@</v>
          </cell>
          <cell r="AL14" t="str">
            <v>@@</v>
          </cell>
        </row>
        <row r="15">
          <cell r="B15">
            <v>30500</v>
          </cell>
          <cell r="C15">
            <v>-9.4</v>
          </cell>
          <cell r="D15">
            <v>6.2</v>
          </cell>
          <cell r="E15">
            <v>-13.75</v>
          </cell>
          <cell r="F15">
            <v>4.3</v>
          </cell>
          <cell r="G15">
            <v>-12.2</v>
          </cell>
          <cell r="H15">
            <v>7.3</v>
          </cell>
          <cell r="J15">
            <v>19200</v>
          </cell>
          <cell r="L15" t="str">
            <v>@@</v>
          </cell>
          <cell r="M15" t="str">
            <v>@@</v>
          </cell>
          <cell r="N15" t="str">
            <v>@@</v>
          </cell>
          <cell r="O15" t="str">
            <v>@@</v>
          </cell>
          <cell r="P15" t="str">
            <v>@@</v>
          </cell>
          <cell r="Q15" t="str">
            <v>@@</v>
          </cell>
          <cell r="R15" t="str">
            <v>@@</v>
          </cell>
          <cell r="S15" t="str">
            <v>@@</v>
          </cell>
          <cell r="AB15" t="str">
            <v>@@</v>
          </cell>
          <cell r="AC15" t="str">
            <v>@@</v>
          </cell>
          <cell r="AD15" t="str">
            <v>@@</v>
          </cell>
          <cell r="AL15" t="str">
            <v>@@</v>
          </cell>
        </row>
        <row r="16">
          <cell r="B16">
            <v>35700</v>
          </cell>
          <cell r="G16">
            <v>-34.17</v>
          </cell>
          <cell r="H16">
            <v>4.0999999999999996</v>
          </cell>
          <cell r="J16">
            <v>19300</v>
          </cell>
          <cell r="L16" t="str">
            <v>@@</v>
          </cell>
          <cell r="M16" t="str">
            <v>@@</v>
          </cell>
          <cell r="N16" t="str">
            <v>@@</v>
          </cell>
          <cell r="O16" t="str">
            <v>@@</v>
          </cell>
          <cell r="P16" t="str">
            <v>@@</v>
          </cell>
          <cell r="Q16" t="str">
            <v>@@</v>
          </cell>
          <cell r="R16" t="str">
            <v>@@</v>
          </cell>
          <cell r="S16" t="str">
            <v>@@</v>
          </cell>
          <cell r="AB16" t="str">
            <v>@@</v>
          </cell>
          <cell r="AC16" t="str">
            <v>@@</v>
          </cell>
          <cell r="AD16" t="str">
            <v>@@</v>
          </cell>
          <cell r="AL16" t="str">
            <v>@@</v>
          </cell>
        </row>
        <row r="17">
          <cell r="B17">
            <v>36500</v>
          </cell>
          <cell r="C17">
            <v>-13.83</v>
          </cell>
          <cell r="D17">
            <v>5.4</v>
          </cell>
          <cell r="E17">
            <v>-36.61</v>
          </cell>
          <cell r="F17">
            <v>7.9</v>
          </cell>
          <cell r="G17">
            <v>-4.3499999999999996</v>
          </cell>
          <cell r="H17">
            <v>5.0999999999999996</v>
          </cell>
          <cell r="J17">
            <v>19400</v>
          </cell>
          <cell r="L17" t="str">
            <v>@@</v>
          </cell>
          <cell r="M17" t="str">
            <v>@@</v>
          </cell>
          <cell r="N17" t="str">
            <v>@@</v>
          </cell>
          <cell r="O17" t="str">
            <v>@@</v>
          </cell>
          <cell r="P17" t="str">
            <v>@@</v>
          </cell>
          <cell r="Q17" t="str">
            <v>@@</v>
          </cell>
          <cell r="R17" t="str">
            <v>@@</v>
          </cell>
          <cell r="S17" t="str">
            <v>@@</v>
          </cell>
          <cell r="AB17" t="str">
            <v>@@</v>
          </cell>
          <cell r="AC17">
            <v>0</v>
          </cell>
          <cell r="AD17">
            <v>0</v>
          </cell>
          <cell r="AL17" t="str">
            <v>@@</v>
          </cell>
        </row>
        <row r="18">
          <cell r="B18">
            <v>37500</v>
          </cell>
          <cell r="C18">
            <v>-3.65</v>
          </cell>
          <cell r="D18">
            <v>6.4</v>
          </cell>
          <cell r="E18">
            <v>-11.15</v>
          </cell>
          <cell r="F18">
            <v>6.2</v>
          </cell>
          <cell r="G18">
            <v>-11.4</v>
          </cell>
          <cell r="H18">
            <v>5.7</v>
          </cell>
          <cell r="J18">
            <v>19500</v>
          </cell>
          <cell r="L18">
            <v>19500</v>
          </cell>
          <cell r="M18">
            <v>0</v>
          </cell>
          <cell r="N18">
            <v>0</v>
          </cell>
          <cell r="O18">
            <v>-13.428571428571429</v>
          </cell>
          <cell r="P18">
            <v>3.8</v>
          </cell>
          <cell r="Q18">
            <v>-7.5</v>
          </cell>
          <cell r="R18">
            <v>4.5</v>
          </cell>
          <cell r="S18">
            <v>1</v>
          </cell>
          <cell r="T18">
            <v>19500</v>
          </cell>
          <cell r="W18">
            <v>-13.428571428571429</v>
          </cell>
          <cell r="X18">
            <v>3.8</v>
          </cell>
          <cell r="Y18">
            <v>-7.5</v>
          </cell>
          <cell r="Z18">
            <v>4.5</v>
          </cell>
          <cell r="AA18">
            <v>1</v>
          </cell>
          <cell r="AB18">
            <v>19500</v>
          </cell>
          <cell r="AC18">
            <v>-13.428571428571429</v>
          </cell>
          <cell r="AD18">
            <v>3.8</v>
          </cell>
          <cell r="AE18">
            <v>19500</v>
          </cell>
          <cell r="AF18">
            <v>-13.428571428571429</v>
          </cell>
          <cell r="AG18">
            <v>3.8</v>
          </cell>
          <cell r="AL18">
            <v>8.3000000000000007</v>
          </cell>
          <cell r="AM18">
            <v>8.3000000000000007</v>
          </cell>
        </row>
        <row r="19">
          <cell r="B19">
            <v>38400</v>
          </cell>
          <cell r="C19">
            <v>-9.74</v>
          </cell>
          <cell r="D19">
            <v>4</v>
          </cell>
          <cell r="E19">
            <v>-13.6</v>
          </cell>
          <cell r="F19">
            <v>3.1</v>
          </cell>
          <cell r="G19">
            <v>-26.05</v>
          </cell>
          <cell r="H19">
            <v>4</v>
          </cell>
          <cell r="J19">
            <v>19600</v>
          </cell>
          <cell r="L19" t="str">
            <v>@@</v>
          </cell>
          <cell r="M19" t="str">
            <v>@@</v>
          </cell>
          <cell r="N19" t="str">
            <v>@@</v>
          </cell>
          <cell r="O19" t="str">
            <v>@@</v>
          </cell>
          <cell r="P19" t="str">
            <v>@@</v>
          </cell>
          <cell r="Q19" t="str">
            <v>@@</v>
          </cell>
          <cell r="R19" t="str">
            <v>@@</v>
          </cell>
          <cell r="S19" t="str">
            <v>@@</v>
          </cell>
          <cell r="AB19" t="str">
            <v>@@</v>
          </cell>
          <cell r="AC19">
            <v>-7.5</v>
          </cell>
          <cell r="AD19">
            <v>4.5</v>
          </cell>
          <cell r="AF19">
            <v>-7.5</v>
          </cell>
          <cell r="AG19">
            <v>4.5</v>
          </cell>
          <cell r="AL19" t="str">
            <v>@@</v>
          </cell>
        </row>
        <row r="20">
          <cell r="B20">
            <v>42900</v>
          </cell>
          <cell r="C20">
            <v>-9.9600000000000009</v>
          </cell>
          <cell r="D20">
            <v>3.3</v>
          </cell>
          <cell r="E20">
            <v>-33.950000000000003</v>
          </cell>
          <cell r="F20">
            <v>4.3</v>
          </cell>
          <cell r="G20">
            <v>-48.26</v>
          </cell>
          <cell r="H20">
            <v>2.9</v>
          </cell>
          <cell r="J20">
            <v>19700</v>
          </cell>
          <cell r="L20" t="str">
            <v>@@</v>
          </cell>
          <cell r="M20" t="str">
            <v>@@</v>
          </cell>
          <cell r="N20" t="str">
            <v>@@</v>
          </cell>
          <cell r="O20" t="str">
            <v>@@</v>
          </cell>
          <cell r="P20" t="str">
            <v>@@</v>
          </cell>
          <cell r="Q20" t="str">
            <v>@@</v>
          </cell>
          <cell r="R20" t="str">
            <v>@@</v>
          </cell>
          <cell r="S20" t="str">
            <v>@@</v>
          </cell>
          <cell r="AB20" t="str">
            <v>@@</v>
          </cell>
          <cell r="AC20" t="str">
            <v>@@</v>
          </cell>
          <cell r="AD20" t="str">
            <v>@@</v>
          </cell>
          <cell r="AL20" t="str">
            <v>@@</v>
          </cell>
        </row>
        <row r="21">
          <cell r="B21">
            <v>43900</v>
          </cell>
          <cell r="C21">
            <v>-3.26</v>
          </cell>
          <cell r="D21">
            <v>3.7</v>
          </cell>
          <cell r="E21">
            <v>-13.19</v>
          </cell>
          <cell r="F21">
            <v>5</v>
          </cell>
          <cell r="G21">
            <v>-48.89</v>
          </cell>
          <cell r="H21">
            <v>3.4</v>
          </cell>
          <cell r="J21">
            <v>19800</v>
          </cell>
          <cell r="L21" t="str">
            <v>@@</v>
          </cell>
          <cell r="M21" t="str">
            <v>@@</v>
          </cell>
          <cell r="N21" t="str">
            <v>@@</v>
          </cell>
          <cell r="O21" t="str">
            <v>@@</v>
          </cell>
          <cell r="P21" t="str">
            <v>@@</v>
          </cell>
          <cell r="Q21" t="str">
            <v>@@</v>
          </cell>
          <cell r="R21" t="str">
            <v>@@</v>
          </cell>
          <cell r="S21" t="str">
            <v>@@</v>
          </cell>
          <cell r="AB21" t="str">
            <v>@@</v>
          </cell>
          <cell r="AC21" t="str">
            <v>@@</v>
          </cell>
          <cell r="AD21" t="str">
            <v>@@</v>
          </cell>
          <cell r="AL21" t="str">
            <v>@@</v>
          </cell>
        </row>
        <row r="22">
          <cell r="B22">
            <v>44900</v>
          </cell>
          <cell r="C22">
            <v>-18.5</v>
          </cell>
          <cell r="D22">
            <v>4.0999999999999996</v>
          </cell>
          <cell r="E22">
            <v>-40.67</v>
          </cell>
          <cell r="F22">
            <v>3.8</v>
          </cell>
          <cell r="G22">
            <v>-51.14</v>
          </cell>
          <cell r="H22">
            <v>4.2</v>
          </cell>
          <cell r="J22">
            <v>19900</v>
          </cell>
          <cell r="L22" t="str">
            <v>@@</v>
          </cell>
          <cell r="M22" t="str">
            <v>@@</v>
          </cell>
          <cell r="N22" t="str">
            <v>@@</v>
          </cell>
          <cell r="O22" t="str">
            <v>@@</v>
          </cell>
          <cell r="P22" t="str">
            <v>@@</v>
          </cell>
          <cell r="Q22" t="str">
            <v>@@</v>
          </cell>
          <cell r="R22" t="str">
            <v>@@</v>
          </cell>
          <cell r="S22" t="str">
            <v>@@</v>
          </cell>
          <cell r="AB22" t="str">
            <v>@@</v>
          </cell>
          <cell r="AC22" t="str">
            <v>@@</v>
          </cell>
          <cell r="AD22" t="str">
            <v>@@</v>
          </cell>
          <cell r="AL22" t="str">
            <v>@@</v>
          </cell>
        </row>
        <row r="23">
          <cell r="B23">
            <v>45900</v>
          </cell>
          <cell r="C23">
            <v>-14.15</v>
          </cell>
          <cell r="D23">
            <v>4.5</v>
          </cell>
          <cell r="E23">
            <v>-34.17</v>
          </cell>
          <cell r="F23">
            <v>3.3</v>
          </cell>
          <cell r="G23">
            <v>-35.42</v>
          </cell>
          <cell r="H23">
            <v>7.3</v>
          </cell>
          <cell r="J23">
            <v>20000</v>
          </cell>
          <cell r="L23" t="str">
            <v>@@</v>
          </cell>
          <cell r="M23" t="str">
            <v>@@</v>
          </cell>
          <cell r="N23" t="str">
            <v>@@</v>
          </cell>
          <cell r="O23" t="str">
            <v>@@</v>
          </cell>
          <cell r="P23" t="str">
            <v>@@</v>
          </cell>
          <cell r="Q23" t="str">
            <v>@@</v>
          </cell>
          <cell r="R23" t="str">
            <v>@@</v>
          </cell>
          <cell r="S23" t="str">
            <v>@@</v>
          </cell>
          <cell r="AB23" t="str">
            <v>@@</v>
          </cell>
          <cell r="AC23" t="str">
            <v>@@</v>
          </cell>
          <cell r="AD23" t="str">
            <v>@@</v>
          </cell>
          <cell r="AL23" t="str">
            <v>@@</v>
          </cell>
        </row>
        <row r="24">
          <cell r="B24">
            <v>46900</v>
          </cell>
          <cell r="C24">
            <v>-4.4400000000000004</v>
          </cell>
          <cell r="D24">
            <v>7.1</v>
          </cell>
          <cell r="E24">
            <v>-44.78</v>
          </cell>
          <cell r="F24">
            <v>5</v>
          </cell>
          <cell r="G24">
            <v>-5</v>
          </cell>
          <cell r="H24">
            <v>2.4</v>
          </cell>
          <cell r="J24">
            <v>20100</v>
          </cell>
          <cell r="L24" t="str">
            <v>@@</v>
          </cell>
          <cell r="M24" t="str">
            <v>@@</v>
          </cell>
          <cell r="N24" t="str">
            <v>@@</v>
          </cell>
          <cell r="O24" t="str">
            <v>@@</v>
          </cell>
          <cell r="P24" t="str">
            <v>@@</v>
          </cell>
          <cell r="Q24" t="str">
            <v>@@</v>
          </cell>
          <cell r="R24" t="str">
            <v>@@</v>
          </cell>
          <cell r="S24" t="str">
            <v>@@</v>
          </cell>
          <cell r="AB24" t="str">
            <v>@@</v>
          </cell>
          <cell r="AC24" t="str">
            <v>@@</v>
          </cell>
          <cell r="AD24" t="str">
            <v>@@</v>
          </cell>
          <cell r="AL24" t="str">
            <v>@@</v>
          </cell>
        </row>
        <row r="25">
          <cell r="B25">
            <v>47900</v>
          </cell>
          <cell r="C25">
            <v>-35.840000000000003</v>
          </cell>
          <cell r="D25">
            <v>3.2</v>
          </cell>
          <cell r="E25">
            <v>-51.11</v>
          </cell>
          <cell r="F25">
            <v>4.8</v>
          </cell>
          <cell r="G25">
            <v>-8.36</v>
          </cell>
          <cell r="H25">
            <v>6.4</v>
          </cell>
          <cell r="J25">
            <v>20200</v>
          </cell>
          <cell r="L25" t="str">
            <v>@@</v>
          </cell>
          <cell r="M25" t="str">
            <v>@@</v>
          </cell>
          <cell r="N25" t="str">
            <v>@@</v>
          </cell>
          <cell r="O25" t="str">
            <v>@@</v>
          </cell>
          <cell r="P25" t="str">
            <v>@@</v>
          </cell>
          <cell r="Q25" t="str">
            <v>@@</v>
          </cell>
          <cell r="R25" t="str">
            <v>@@</v>
          </cell>
          <cell r="S25" t="str">
            <v>@@</v>
          </cell>
          <cell r="AB25" t="str">
            <v>@@</v>
          </cell>
          <cell r="AC25" t="str">
            <v>@@</v>
          </cell>
          <cell r="AD25" t="str">
            <v>@@</v>
          </cell>
          <cell r="AL25" t="str">
            <v>@@</v>
          </cell>
        </row>
        <row r="26">
          <cell r="B26">
            <v>48900</v>
          </cell>
          <cell r="C26">
            <v>-17.829999999999998</v>
          </cell>
          <cell r="D26">
            <v>8</v>
          </cell>
          <cell r="E26">
            <v>-14.84</v>
          </cell>
          <cell r="F26">
            <v>6.1</v>
          </cell>
          <cell r="G26">
            <v>-40.36</v>
          </cell>
          <cell r="H26">
            <v>6</v>
          </cell>
          <cell r="J26">
            <v>20300</v>
          </cell>
          <cell r="L26" t="str">
            <v>@@</v>
          </cell>
          <cell r="M26" t="str">
            <v>@@</v>
          </cell>
          <cell r="N26" t="str">
            <v>@@</v>
          </cell>
          <cell r="O26" t="str">
            <v>@@</v>
          </cell>
          <cell r="P26" t="str">
            <v>@@</v>
          </cell>
          <cell r="Q26" t="str">
            <v>@@</v>
          </cell>
          <cell r="R26" t="str">
            <v>@@</v>
          </cell>
          <cell r="S26" t="str">
            <v>@@</v>
          </cell>
          <cell r="AB26" t="str">
            <v>@@</v>
          </cell>
          <cell r="AC26" t="str">
            <v>@@</v>
          </cell>
          <cell r="AD26" t="str">
            <v>@@</v>
          </cell>
          <cell r="AL26" t="str">
            <v>@@</v>
          </cell>
        </row>
        <row r="27">
          <cell r="B27">
            <v>49900</v>
          </cell>
          <cell r="C27">
            <v>-11.57</v>
          </cell>
          <cell r="D27">
            <v>10.5</v>
          </cell>
          <cell r="E27">
            <v>-20.43</v>
          </cell>
          <cell r="F27">
            <v>4.5</v>
          </cell>
          <cell r="G27">
            <v>-49.57</v>
          </cell>
          <cell r="H27">
            <v>5.0999999999999996</v>
          </cell>
          <cell r="J27">
            <v>20400</v>
          </cell>
          <cell r="L27" t="str">
            <v>@@</v>
          </cell>
          <cell r="M27" t="str">
            <v>@@</v>
          </cell>
          <cell r="N27" t="str">
            <v>@@</v>
          </cell>
          <cell r="O27" t="str">
            <v>@@</v>
          </cell>
          <cell r="P27" t="str">
            <v>@@</v>
          </cell>
          <cell r="Q27" t="str">
            <v>@@</v>
          </cell>
          <cell r="R27" t="str">
            <v>@@</v>
          </cell>
          <cell r="S27" t="str">
            <v>@@</v>
          </cell>
          <cell r="AB27" t="str">
            <v>@@</v>
          </cell>
          <cell r="AC27">
            <v>0</v>
          </cell>
          <cell r="AD27">
            <v>0</v>
          </cell>
          <cell r="AL27" t="str">
            <v>@@</v>
          </cell>
        </row>
        <row r="28">
          <cell r="B28">
            <v>50800</v>
          </cell>
          <cell r="C28">
            <v>-25.92</v>
          </cell>
          <cell r="D28">
            <v>6</v>
          </cell>
          <cell r="E28">
            <v>-9.69</v>
          </cell>
          <cell r="F28">
            <v>6.6</v>
          </cell>
          <cell r="G28">
            <v>-16.21</v>
          </cell>
          <cell r="H28">
            <v>6.4</v>
          </cell>
          <cell r="J28">
            <v>20500</v>
          </cell>
          <cell r="L28">
            <v>20500</v>
          </cell>
          <cell r="M28">
            <v>0</v>
          </cell>
          <cell r="N28">
            <v>0</v>
          </cell>
          <cell r="O28">
            <v>-11.8</v>
          </cell>
          <cell r="P28">
            <v>5.5</v>
          </cell>
          <cell r="Q28">
            <v>-8.6</v>
          </cell>
          <cell r="R28">
            <v>5.5</v>
          </cell>
          <cell r="S28">
            <v>1</v>
          </cell>
          <cell r="T28">
            <v>20500</v>
          </cell>
          <cell r="W28">
            <v>-11.8</v>
          </cell>
          <cell r="X28">
            <v>5.5</v>
          </cell>
          <cell r="Y28">
            <v>-8.6</v>
          </cell>
          <cell r="Z28">
            <v>5.5</v>
          </cell>
          <cell r="AA28">
            <v>1</v>
          </cell>
          <cell r="AB28">
            <v>20500</v>
          </cell>
          <cell r="AC28">
            <v>-11.8</v>
          </cell>
          <cell r="AD28">
            <v>5.5</v>
          </cell>
          <cell r="AE28">
            <v>20500</v>
          </cell>
          <cell r="AF28">
            <v>-11.8</v>
          </cell>
          <cell r="AG28">
            <v>5.5</v>
          </cell>
          <cell r="AL28">
            <v>11</v>
          </cell>
          <cell r="AM28">
            <v>11</v>
          </cell>
        </row>
        <row r="29">
          <cell r="B29">
            <v>56200</v>
          </cell>
          <cell r="C29">
            <v>-5.31</v>
          </cell>
          <cell r="D29">
            <v>5.6</v>
          </cell>
          <cell r="E29">
            <v>-22.08</v>
          </cell>
          <cell r="F29">
            <v>5.5</v>
          </cell>
          <cell r="G29">
            <v>-20.59</v>
          </cell>
          <cell r="H29">
            <v>5.0999999999999996</v>
          </cell>
          <cell r="J29">
            <v>20600</v>
          </cell>
          <cell r="L29" t="str">
            <v>@@</v>
          </cell>
          <cell r="M29" t="str">
            <v>@@</v>
          </cell>
          <cell r="N29" t="str">
            <v>@@</v>
          </cell>
          <cell r="O29" t="str">
            <v>@@</v>
          </cell>
          <cell r="P29" t="str">
            <v>@@</v>
          </cell>
          <cell r="Q29" t="str">
            <v>@@</v>
          </cell>
          <cell r="R29" t="str">
            <v>@@</v>
          </cell>
          <cell r="S29" t="str">
            <v>@@</v>
          </cell>
          <cell r="AB29" t="str">
            <v>@@</v>
          </cell>
          <cell r="AC29">
            <v>-8.6</v>
          </cell>
          <cell r="AD29">
            <v>5.5</v>
          </cell>
          <cell r="AF29">
            <v>-8.6</v>
          </cell>
          <cell r="AG29">
            <v>5.5</v>
          </cell>
          <cell r="AL29" t="str">
            <v>@@</v>
          </cell>
        </row>
        <row r="30">
          <cell r="B30">
            <v>67400</v>
          </cell>
          <cell r="C30">
            <v>-13.06</v>
          </cell>
          <cell r="D30">
            <v>5.3</v>
          </cell>
          <cell r="E30">
            <v>-6.52</v>
          </cell>
          <cell r="F30">
            <v>2.7</v>
          </cell>
          <cell r="G30">
            <v>-64.55</v>
          </cell>
          <cell r="H30">
            <v>2.5</v>
          </cell>
          <cell r="J30">
            <v>20700</v>
          </cell>
          <cell r="L30" t="str">
            <v>@@</v>
          </cell>
          <cell r="M30" t="str">
            <v>@@</v>
          </cell>
          <cell r="N30" t="str">
            <v>@@</v>
          </cell>
          <cell r="O30" t="str">
            <v>@@</v>
          </cell>
          <cell r="P30" t="str">
            <v>@@</v>
          </cell>
          <cell r="Q30" t="str">
            <v>@@</v>
          </cell>
          <cell r="R30" t="str">
            <v>@@</v>
          </cell>
          <cell r="S30" t="str">
            <v>@@</v>
          </cell>
          <cell r="AB30" t="str">
            <v>@@</v>
          </cell>
          <cell r="AC30" t="str">
            <v>@@</v>
          </cell>
          <cell r="AD30" t="str">
            <v>@@</v>
          </cell>
          <cell r="AL30" t="str">
            <v>@@</v>
          </cell>
        </row>
        <row r="31">
          <cell r="B31">
            <v>68400</v>
          </cell>
          <cell r="C31">
            <v>-32</v>
          </cell>
          <cell r="D31">
            <v>6.5</v>
          </cell>
          <cell r="E31">
            <v>-17.78</v>
          </cell>
          <cell r="F31">
            <v>3</v>
          </cell>
          <cell r="G31">
            <v>-35.380000000000003</v>
          </cell>
          <cell r="H31">
            <v>2.9</v>
          </cell>
          <cell r="J31">
            <v>20800</v>
          </cell>
          <cell r="L31" t="str">
            <v>@@</v>
          </cell>
          <cell r="M31" t="str">
            <v>@@</v>
          </cell>
          <cell r="N31" t="str">
            <v>@@</v>
          </cell>
          <cell r="O31" t="str">
            <v>@@</v>
          </cell>
          <cell r="P31" t="str">
            <v>@@</v>
          </cell>
          <cell r="Q31" t="str">
            <v>@@</v>
          </cell>
          <cell r="R31" t="str">
            <v>@@</v>
          </cell>
          <cell r="S31" t="str">
            <v>@@</v>
          </cell>
          <cell r="AB31" t="str">
            <v>@@</v>
          </cell>
          <cell r="AC31" t="str">
            <v>@@</v>
          </cell>
          <cell r="AD31" t="str">
            <v>@@</v>
          </cell>
          <cell r="AL31" t="str">
            <v>@@</v>
          </cell>
        </row>
        <row r="32">
          <cell r="B32">
            <v>69400</v>
          </cell>
          <cell r="C32">
            <v>-44.86</v>
          </cell>
          <cell r="D32">
            <v>4.5999999999999996</v>
          </cell>
          <cell r="E32">
            <v>-6.9</v>
          </cell>
          <cell r="F32">
            <v>5.0999999999999996</v>
          </cell>
          <cell r="G32">
            <v>-3.13</v>
          </cell>
          <cell r="H32">
            <v>3.5</v>
          </cell>
          <cell r="J32">
            <v>20900</v>
          </cell>
          <cell r="L32" t="str">
            <v>@@</v>
          </cell>
          <cell r="M32" t="str">
            <v>@@</v>
          </cell>
          <cell r="N32" t="str">
            <v>@@</v>
          </cell>
          <cell r="O32" t="str">
            <v>@@</v>
          </cell>
          <cell r="P32" t="str">
            <v>@@</v>
          </cell>
          <cell r="Q32" t="str">
            <v>@@</v>
          </cell>
          <cell r="R32" t="str">
            <v>@@</v>
          </cell>
          <cell r="S32" t="str">
            <v>@@</v>
          </cell>
          <cell r="AB32" t="str">
            <v>@@</v>
          </cell>
          <cell r="AC32" t="str">
            <v>@@</v>
          </cell>
          <cell r="AD32" t="str">
            <v>@@</v>
          </cell>
          <cell r="AL32" t="str">
            <v>@@</v>
          </cell>
        </row>
        <row r="33">
          <cell r="B33">
            <v>70400</v>
          </cell>
          <cell r="E33">
            <v>-4.58</v>
          </cell>
          <cell r="F33">
            <v>5</v>
          </cell>
          <cell r="G33">
            <v>-30.87</v>
          </cell>
          <cell r="H33">
            <v>5</v>
          </cell>
          <cell r="J33">
            <v>21000</v>
          </cell>
          <cell r="L33" t="str">
            <v>@@</v>
          </cell>
          <cell r="M33" t="str">
            <v>@@</v>
          </cell>
          <cell r="N33" t="str">
            <v>@@</v>
          </cell>
          <cell r="O33" t="str">
            <v>@@</v>
          </cell>
          <cell r="P33" t="str">
            <v>@@</v>
          </cell>
          <cell r="Q33" t="str">
            <v>@@</v>
          </cell>
          <cell r="R33" t="str">
            <v>@@</v>
          </cell>
          <cell r="S33" t="str">
            <v>@@</v>
          </cell>
          <cell r="AB33" t="str">
            <v>@@</v>
          </cell>
          <cell r="AC33" t="str">
            <v>@@</v>
          </cell>
          <cell r="AD33" t="str">
            <v>@@</v>
          </cell>
          <cell r="AL33" t="str">
            <v>@@</v>
          </cell>
        </row>
        <row r="34">
          <cell r="B34">
            <v>71400</v>
          </cell>
          <cell r="C34">
            <v>-3.63</v>
          </cell>
          <cell r="D34">
            <v>6.5</v>
          </cell>
          <cell r="E34">
            <v>-50</v>
          </cell>
          <cell r="F34">
            <v>4.5</v>
          </cell>
          <cell r="G34">
            <v>-46</v>
          </cell>
          <cell r="H34">
            <v>4</v>
          </cell>
          <cell r="J34">
            <v>21100</v>
          </cell>
          <cell r="L34" t="str">
            <v>@@</v>
          </cell>
          <cell r="M34" t="str">
            <v>@@</v>
          </cell>
          <cell r="N34" t="str">
            <v>@@</v>
          </cell>
          <cell r="O34" t="str">
            <v>@@</v>
          </cell>
          <cell r="P34" t="str">
            <v>@@</v>
          </cell>
          <cell r="Q34" t="str">
            <v>@@</v>
          </cell>
          <cell r="R34" t="str">
            <v>@@</v>
          </cell>
          <cell r="S34" t="str">
            <v>@@</v>
          </cell>
          <cell r="AB34" t="str">
            <v>@@</v>
          </cell>
          <cell r="AC34" t="str">
            <v>@@</v>
          </cell>
          <cell r="AD34" t="str">
            <v>@@</v>
          </cell>
          <cell r="AL34" t="str">
            <v>@@</v>
          </cell>
        </row>
        <row r="35">
          <cell r="B35">
            <v>72400</v>
          </cell>
          <cell r="E35">
            <v>-5.68</v>
          </cell>
          <cell r="F35">
            <v>4.7</v>
          </cell>
          <cell r="G35">
            <v>-52.61</v>
          </cell>
          <cell r="H35">
            <v>4.9000000000000004</v>
          </cell>
          <cell r="J35">
            <v>21200</v>
          </cell>
          <cell r="L35" t="str">
            <v>@@</v>
          </cell>
          <cell r="M35" t="str">
            <v>@@</v>
          </cell>
          <cell r="N35" t="str">
            <v>@@</v>
          </cell>
          <cell r="O35" t="str">
            <v>@@</v>
          </cell>
          <cell r="P35" t="str">
            <v>@@</v>
          </cell>
          <cell r="Q35" t="str">
            <v>@@</v>
          </cell>
          <cell r="R35" t="str">
            <v>@@</v>
          </cell>
          <cell r="S35" t="str">
            <v>@@</v>
          </cell>
          <cell r="AB35" t="str">
            <v>@@</v>
          </cell>
          <cell r="AC35" t="str">
            <v>@@</v>
          </cell>
          <cell r="AD35" t="str">
            <v>@@</v>
          </cell>
          <cell r="AL35" t="str">
            <v>@@</v>
          </cell>
        </row>
        <row r="36">
          <cell r="B36">
            <v>73400</v>
          </cell>
          <cell r="G36">
            <v>-45.96</v>
          </cell>
          <cell r="H36">
            <v>5.5</v>
          </cell>
          <cell r="J36">
            <v>21300</v>
          </cell>
          <cell r="L36" t="str">
            <v>@@</v>
          </cell>
          <cell r="M36" t="str">
            <v>@@</v>
          </cell>
          <cell r="N36" t="str">
            <v>@@</v>
          </cell>
          <cell r="O36" t="str">
            <v>@@</v>
          </cell>
          <cell r="P36" t="str">
            <v>@@</v>
          </cell>
          <cell r="Q36" t="str">
            <v>@@</v>
          </cell>
          <cell r="R36" t="str">
            <v>@@</v>
          </cell>
          <cell r="S36" t="str">
            <v>@@</v>
          </cell>
          <cell r="AB36" t="str">
            <v>@@</v>
          </cell>
          <cell r="AC36" t="str">
            <v>@@</v>
          </cell>
          <cell r="AD36" t="str">
            <v>@@</v>
          </cell>
          <cell r="AL36" t="str">
            <v>@@</v>
          </cell>
        </row>
        <row r="37">
          <cell r="B37">
            <v>74400</v>
          </cell>
          <cell r="C37">
            <v>-5.3</v>
          </cell>
          <cell r="D37">
            <v>5.3</v>
          </cell>
          <cell r="E37">
            <v>-41.58</v>
          </cell>
          <cell r="F37">
            <v>6.1</v>
          </cell>
          <cell r="G37">
            <v>-3.53</v>
          </cell>
          <cell r="H37">
            <v>5.0999999999999996</v>
          </cell>
          <cell r="J37">
            <v>21400</v>
          </cell>
          <cell r="L37" t="str">
            <v>@@</v>
          </cell>
          <cell r="M37" t="str">
            <v>@@</v>
          </cell>
          <cell r="N37" t="str">
            <v>@@</v>
          </cell>
          <cell r="O37" t="str">
            <v>@@</v>
          </cell>
          <cell r="P37" t="str">
            <v>@@</v>
          </cell>
          <cell r="Q37" t="str">
            <v>@@</v>
          </cell>
          <cell r="R37" t="str">
            <v>@@</v>
          </cell>
          <cell r="S37" t="str">
            <v>@@</v>
          </cell>
          <cell r="AB37" t="str">
            <v>@@</v>
          </cell>
          <cell r="AC37">
            <v>0</v>
          </cell>
          <cell r="AD37">
            <v>0</v>
          </cell>
          <cell r="AL37" t="str">
            <v>@@</v>
          </cell>
        </row>
        <row r="38">
          <cell r="B38">
            <v>75400</v>
          </cell>
          <cell r="C38">
            <v>-35.81</v>
          </cell>
          <cell r="D38">
            <v>6.8</v>
          </cell>
          <cell r="E38">
            <v>-11.25</v>
          </cell>
          <cell r="F38">
            <v>8.9</v>
          </cell>
          <cell r="G38">
            <v>-17.96</v>
          </cell>
          <cell r="H38">
            <v>5.2</v>
          </cell>
          <cell r="J38">
            <v>21500</v>
          </cell>
          <cell r="L38">
            <v>21500</v>
          </cell>
          <cell r="M38">
            <v>0</v>
          </cell>
          <cell r="N38">
            <v>0</v>
          </cell>
          <cell r="O38">
            <v>-6</v>
          </cell>
          <cell r="P38">
            <v>6.1</v>
          </cell>
          <cell r="Q38">
            <v>-9</v>
          </cell>
          <cell r="R38">
            <v>4.5999999999999996</v>
          </cell>
          <cell r="S38">
            <v>1</v>
          </cell>
          <cell r="T38">
            <v>21500</v>
          </cell>
          <cell r="W38">
            <v>-6</v>
          </cell>
          <cell r="X38">
            <v>6.1</v>
          </cell>
          <cell r="Y38">
            <v>-9</v>
          </cell>
          <cell r="Z38">
            <v>4.5999999999999996</v>
          </cell>
          <cell r="AA38">
            <v>1</v>
          </cell>
          <cell r="AB38">
            <v>21500</v>
          </cell>
          <cell r="AC38">
            <v>-6</v>
          </cell>
          <cell r="AD38">
            <v>6.1</v>
          </cell>
          <cell r="AE38">
            <v>21500</v>
          </cell>
          <cell r="AF38">
            <v>-6</v>
          </cell>
          <cell r="AG38">
            <v>6.1</v>
          </cell>
          <cell r="AL38">
            <v>10.7</v>
          </cell>
          <cell r="AM38">
            <v>10.7</v>
          </cell>
        </row>
        <row r="39">
          <cell r="B39">
            <v>76400</v>
          </cell>
          <cell r="C39">
            <v>-35.46</v>
          </cell>
          <cell r="D39">
            <v>4.9000000000000004</v>
          </cell>
          <cell r="E39">
            <v>-4.0999999999999996</v>
          </cell>
          <cell r="F39">
            <v>8.4</v>
          </cell>
          <cell r="G39">
            <v>-45.83</v>
          </cell>
          <cell r="H39">
            <v>3.8</v>
          </cell>
          <cell r="J39">
            <v>21600</v>
          </cell>
          <cell r="L39" t="str">
            <v>@@</v>
          </cell>
          <cell r="M39" t="str">
            <v>@@</v>
          </cell>
          <cell r="N39" t="str">
            <v>@@</v>
          </cell>
          <cell r="O39" t="str">
            <v>@@</v>
          </cell>
          <cell r="P39" t="str">
            <v>@@</v>
          </cell>
          <cell r="Q39" t="str">
            <v>@@</v>
          </cell>
          <cell r="R39" t="str">
            <v>@@</v>
          </cell>
          <cell r="S39" t="str">
            <v>@@</v>
          </cell>
          <cell r="AB39" t="str">
            <v>@@</v>
          </cell>
          <cell r="AC39">
            <v>-9</v>
          </cell>
          <cell r="AD39">
            <v>4.5999999999999996</v>
          </cell>
          <cell r="AF39">
            <v>-9</v>
          </cell>
          <cell r="AG39">
            <v>4.5999999999999996</v>
          </cell>
          <cell r="AL39" t="str">
            <v>@@</v>
          </cell>
        </row>
        <row r="40">
          <cell r="B40">
            <v>77400</v>
          </cell>
          <cell r="C40">
            <v>-14.73</v>
          </cell>
          <cell r="D40">
            <v>8.5</v>
          </cell>
          <cell r="E40">
            <v>-47.14</v>
          </cell>
          <cell r="F40">
            <v>3.3</v>
          </cell>
          <cell r="G40">
            <v>-6.76</v>
          </cell>
          <cell r="H40">
            <v>4</v>
          </cell>
          <cell r="J40">
            <v>21700</v>
          </cell>
          <cell r="L40" t="str">
            <v>@@</v>
          </cell>
          <cell r="M40" t="str">
            <v>@@</v>
          </cell>
          <cell r="N40" t="str">
            <v>@@</v>
          </cell>
          <cell r="O40" t="str">
            <v>@@</v>
          </cell>
          <cell r="P40" t="str">
            <v>@@</v>
          </cell>
          <cell r="Q40" t="str">
            <v>@@</v>
          </cell>
          <cell r="R40" t="str">
            <v>@@</v>
          </cell>
          <cell r="S40" t="str">
            <v>@@</v>
          </cell>
          <cell r="AB40" t="str">
            <v>@@</v>
          </cell>
          <cell r="AC40" t="str">
            <v>@@</v>
          </cell>
          <cell r="AD40" t="str">
            <v>@@</v>
          </cell>
          <cell r="AL40" t="str">
            <v>@@</v>
          </cell>
        </row>
        <row r="41">
          <cell r="B41">
            <v>78500</v>
          </cell>
          <cell r="C41">
            <v>-9.9700000000000006</v>
          </cell>
          <cell r="D41">
            <v>4</v>
          </cell>
          <cell r="E41">
            <v>-26.11</v>
          </cell>
          <cell r="F41">
            <v>3.9</v>
          </cell>
          <cell r="G41">
            <v>-56.9</v>
          </cell>
          <cell r="H41">
            <v>3.1</v>
          </cell>
          <cell r="J41">
            <v>21800</v>
          </cell>
          <cell r="L41" t="str">
            <v>@@</v>
          </cell>
          <cell r="M41" t="str">
            <v>@@</v>
          </cell>
          <cell r="N41" t="str">
            <v>@@</v>
          </cell>
          <cell r="O41" t="str">
            <v>@@</v>
          </cell>
          <cell r="P41" t="str">
            <v>@@</v>
          </cell>
          <cell r="Q41" t="str">
            <v>@@</v>
          </cell>
          <cell r="R41" t="str">
            <v>@@</v>
          </cell>
          <cell r="S41" t="str">
            <v>@@</v>
          </cell>
          <cell r="AB41" t="str">
            <v>@@</v>
          </cell>
          <cell r="AC41" t="str">
            <v>@@</v>
          </cell>
          <cell r="AD41" t="str">
            <v>@@</v>
          </cell>
          <cell r="AL41" t="str">
            <v>@@</v>
          </cell>
        </row>
        <row r="42">
          <cell r="B42">
            <v>79600</v>
          </cell>
          <cell r="E42">
            <v>-1.91</v>
          </cell>
          <cell r="F42">
            <v>4.3</v>
          </cell>
          <cell r="G42">
            <v>-28.29</v>
          </cell>
          <cell r="H42">
            <v>3.9</v>
          </cell>
          <cell r="J42">
            <v>21900</v>
          </cell>
          <cell r="L42" t="str">
            <v>@@</v>
          </cell>
          <cell r="M42" t="str">
            <v>@@</v>
          </cell>
          <cell r="N42" t="str">
            <v>@@</v>
          </cell>
          <cell r="O42" t="str">
            <v>@@</v>
          </cell>
          <cell r="P42" t="str">
            <v>@@</v>
          </cell>
          <cell r="Q42" t="str">
            <v>@@</v>
          </cell>
          <cell r="R42" t="str">
            <v>@@</v>
          </cell>
          <cell r="S42" t="str">
            <v>@@</v>
          </cell>
          <cell r="AB42" t="str">
            <v>@@</v>
          </cell>
          <cell r="AC42" t="str">
            <v>@@</v>
          </cell>
          <cell r="AD42" t="str">
            <v>@@</v>
          </cell>
          <cell r="AL42" t="str">
            <v>@@</v>
          </cell>
        </row>
        <row r="43">
          <cell r="B43">
            <v>80700</v>
          </cell>
          <cell r="E43">
            <v>-21.14</v>
          </cell>
          <cell r="F43">
            <v>4.5999999999999996</v>
          </cell>
          <cell r="G43">
            <v>-8.65</v>
          </cell>
          <cell r="H43">
            <v>3.5</v>
          </cell>
          <cell r="J43">
            <v>22000</v>
          </cell>
          <cell r="L43" t="str">
            <v>@@</v>
          </cell>
          <cell r="M43" t="str">
            <v>@@</v>
          </cell>
          <cell r="N43" t="str">
            <v>@@</v>
          </cell>
          <cell r="O43" t="str">
            <v>@@</v>
          </cell>
          <cell r="P43" t="str">
            <v>@@</v>
          </cell>
          <cell r="Q43" t="str">
            <v>@@</v>
          </cell>
          <cell r="R43" t="str">
            <v>@@</v>
          </cell>
          <cell r="S43" t="str">
            <v>@@</v>
          </cell>
          <cell r="AB43" t="str">
            <v>@@</v>
          </cell>
          <cell r="AC43" t="str">
            <v>@@</v>
          </cell>
          <cell r="AD43" t="str">
            <v>@@</v>
          </cell>
          <cell r="AL43" t="str">
            <v>@@</v>
          </cell>
        </row>
        <row r="44">
          <cell r="B44">
            <v>82500</v>
          </cell>
          <cell r="E44">
            <v>0</v>
          </cell>
          <cell r="F44">
            <v>3.5</v>
          </cell>
          <cell r="G44">
            <v>-17.600000000000001</v>
          </cell>
          <cell r="H44">
            <v>5.8</v>
          </cell>
          <cell r="J44">
            <v>22100</v>
          </cell>
          <cell r="L44" t="str">
            <v>@@</v>
          </cell>
          <cell r="M44" t="str">
            <v>@@</v>
          </cell>
          <cell r="N44" t="str">
            <v>@@</v>
          </cell>
          <cell r="O44" t="str">
            <v>@@</v>
          </cell>
          <cell r="P44" t="str">
            <v>@@</v>
          </cell>
          <cell r="Q44" t="str">
            <v>@@</v>
          </cell>
          <cell r="R44" t="str">
            <v>@@</v>
          </cell>
          <cell r="S44" t="str">
            <v>@@</v>
          </cell>
          <cell r="AB44" t="str">
            <v>@@</v>
          </cell>
          <cell r="AC44" t="str">
            <v>@@</v>
          </cell>
          <cell r="AD44" t="str">
            <v>@@</v>
          </cell>
          <cell r="AL44" t="str">
            <v>@@</v>
          </cell>
        </row>
        <row r="45">
          <cell r="B45">
            <v>83400</v>
          </cell>
          <cell r="E45">
            <v>-55.428571428571431</v>
          </cell>
          <cell r="F45">
            <v>4.0999999999999996</v>
          </cell>
          <cell r="G45">
            <v>-6.6</v>
          </cell>
          <cell r="H45">
            <v>5.3</v>
          </cell>
          <cell r="J45">
            <v>22200</v>
          </cell>
          <cell r="L45" t="str">
            <v>@@</v>
          </cell>
          <cell r="M45" t="str">
            <v>@@</v>
          </cell>
          <cell r="N45" t="str">
            <v>@@</v>
          </cell>
          <cell r="O45" t="str">
            <v>@@</v>
          </cell>
          <cell r="P45" t="str">
            <v>@@</v>
          </cell>
          <cell r="Q45" t="str">
            <v>@@</v>
          </cell>
          <cell r="R45" t="str">
            <v>@@</v>
          </cell>
          <cell r="S45" t="str">
            <v>@@</v>
          </cell>
          <cell r="AB45" t="str">
            <v>@@</v>
          </cell>
          <cell r="AC45" t="str">
            <v>@@</v>
          </cell>
          <cell r="AD45" t="str">
            <v>@@</v>
          </cell>
          <cell r="AL45" t="str">
            <v>@@</v>
          </cell>
        </row>
        <row r="46">
          <cell r="B46">
            <v>85000</v>
          </cell>
          <cell r="E46">
            <v>-4.4000000000000004</v>
          </cell>
          <cell r="F46">
            <v>5.6</v>
          </cell>
          <cell r="G46">
            <v>-7.333333333333333</v>
          </cell>
          <cell r="H46">
            <v>3</v>
          </cell>
          <cell r="J46">
            <v>22300</v>
          </cell>
          <cell r="L46" t="str">
            <v>@@</v>
          </cell>
          <cell r="M46" t="str">
            <v>@@</v>
          </cell>
          <cell r="N46" t="str">
            <v>@@</v>
          </cell>
          <cell r="O46" t="str">
            <v>@@</v>
          </cell>
          <cell r="P46" t="str">
            <v>@@</v>
          </cell>
          <cell r="Q46" t="str">
            <v>@@</v>
          </cell>
          <cell r="R46" t="str">
            <v>@@</v>
          </cell>
          <cell r="S46" t="str">
            <v>@@</v>
          </cell>
          <cell r="AB46" t="str">
            <v>@@</v>
          </cell>
          <cell r="AC46" t="str">
            <v>@@</v>
          </cell>
          <cell r="AD46" t="str">
            <v>@@</v>
          </cell>
          <cell r="AL46" t="str">
            <v>@@</v>
          </cell>
        </row>
        <row r="47">
          <cell r="B47">
            <v>87300</v>
          </cell>
          <cell r="E47">
            <v>0</v>
          </cell>
          <cell r="F47">
            <v>2.7</v>
          </cell>
          <cell r="G47">
            <v>-39.6</v>
          </cell>
          <cell r="H47">
            <v>7.1</v>
          </cell>
          <cell r="J47">
            <v>22400</v>
          </cell>
          <cell r="L47" t="str">
            <v>@@</v>
          </cell>
          <cell r="M47" t="str">
            <v>@@</v>
          </cell>
          <cell r="N47" t="str">
            <v>@@</v>
          </cell>
          <cell r="O47" t="str">
            <v>@@</v>
          </cell>
          <cell r="P47" t="str">
            <v>@@</v>
          </cell>
          <cell r="Q47" t="str">
            <v>@@</v>
          </cell>
          <cell r="R47" t="str">
            <v>@@</v>
          </cell>
          <cell r="S47" t="str">
            <v>@@</v>
          </cell>
          <cell r="AB47" t="str">
            <v>@@</v>
          </cell>
          <cell r="AC47">
            <v>0</v>
          </cell>
          <cell r="AD47">
            <v>0</v>
          </cell>
          <cell r="AL47" t="str">
            <v>@@</v>
          </cell>
        </row>
        <row r="48">
          <cell r="B48">
            <v>88400</v>
          </cell>
          <cell r="E48">
            <v>0</v>
          </cell>
          <cell r="F48">
            <v>3</v>
          </cell>
          <cell r="G48">
            <v>-6</v>
          </cell>
          <cell r="H48">
            <v>6.2</v>
          </cell>
          <cell r="J48">
            <v>22500</v>
          </cell>
          <cell r="L48">
            <v>22500</v>
          </cell>
          <cell r="M48">
            <v>0</v>
          </cell>
          <cell r="N48">
            <v>0</v>
          </cell>
          <cell r="O48">
            <v>-28.8</v>
          </cell>
          <cell r="P48">
            <v>6.6</v>
          </cell>
          <cell r="Q48">
            <v>-9.3333333333333339</v>
          </cell>
          <cell r="R48">
            <v>4.5</v>
          </cell>
          <cell r="S48">
            <v>1</v>
          </cell>
          <cell r="T48">
            <v>22500</v>
          </cell>
          <cell r="W48">
            <v>-28.8</v>
          </cell>
          <cell r="X48">
            <v>6.6</v>
          </cell>
          <cell r="Y48">
            <v>-9.3333333333333339</v>
          </cell>
          <cell r="Z48">
            <v>4.5</v>
          </cell>
          <cell r="AA48">
            <v>1</v>
          </cell>
          <cell r="AB48">
            <v>22500</v>
          </cell>
          <cell r="AC48">
            <v>-28.8</v>
          </cell>
          <cell r="AD48">
            <v>6.6</v>
          </cell>
          <cell r="AE48">
            <v>22500</v>
          </cell>
          <cell r="AF48">
            <v>-28.8</v>
          </cell>
          <cell r="AG48">
            <v>6.6</v>
          </cell>
          <cell r="AL48">
            <v>11.1</v>
          </cell>
          <cell r="AM48">
            <v>11.1</v>
          </cell>
        </row>
        <row r="49">
          <cell r="B49">
            <v>89500</v>
          </cell>
          <cell r="E49">
            <v>-36.799999999999997</v>
          </cell>
          <cell r="F49">
            <v>6.3</v>
          </cell>
          <cell r="G49">
            <v>-56.333333333333321</v>
          </cell>
          <cell r="H49">
            <v>3.5</v>
          </cell>
          <cell r="J49">
            <v>22600</v>
          </cell>
          <cell r="L49" t="str">
            <v>@@</v>
          </cell>
          <cell r="M49" t="str">
            <v>@@</v>
          </cell>
          <cell r="N49" t="str">
            <v>@@</v>
          </cell>
          <cell r="O49" t="str">
            <v>@@</v>
          </cell>
          <cell r="P49" t="str">
            <v>@@</v>
          </cell>
          <cell r="Q49" t="str">
            <v>@@</v>
          </cell>
          <cell r="R49" t="str">
            <v>@@</v>
          </cell>
          <cell r="S49" t="str">
            <v>@@</v>
          </cell>
          <cell r="AB49" t="str">
            <v>@@</v>
          </cell>
          <cell r="AC49">
            <v>-9.3333333333333339</v>
          </cell>
          <cell r="AD49">
            <v>4.5</v>
          </cell>
          <cell r="AF49">
            <v>-9.3333333333333339</v>
          </cell>
          <cell r="AG49">
            <v>4.5</v>
          </cell>
          <cell r="AL49" t="str">
            <v>@@</v>
          </cell>
        </row>
        <row r="50">
          <cell r="B50">
            <v>90600</v>
          </cell>
          <cell r="E50">
            <v>-69.2</v>
          </cell>
          <cell r="F50">
            <v>6.3</v>
          </cell>
          <cell r="G50">
            <v>-68.222222222222214</v>
          </cell>
          <cell r="H50">
            <v>4.8</v>
          </cell>
          <cell r="J50">
            <v>22700</v>
          </cell>
          <cell r="L50" t="str">
            <v>@@</v>
          </cell>
          <cell r="M50" t="str">
            <v>@@</v>
          </cell>
          <cell r="N50" t="str">
            <v>@@</v>
          </cell>
          <cell r="O50" t="str">
            <v>@@</v>
          </cell>
          <cell r="P50" t="str">
            <v>@@</v>
          </cell>
          <cell r="Q50" t="str">
            <v>@@</v>
          </cell>
          <cell r="R50" t="str">
            <v>@@</v>
          </cell>
          <cell r="S50" t="str">
            <v>@@</v>
          </cell>
          <cell r="AB50" t="str">
            <v>@@</v>
          </cell>
          <cell r="AC50" t="str">
            <v>@@</v>
          </cell>
          <cell r="AD50" t="str">
            <v>@@</v>
          </cell>
          <cell r="AL50" t="str">
            <v>@@</v>
          </cell>
        </row>
        <row r="51">
          <cell r="B51">
            <v>91500</v>
          </cell>
          <cell r="E51">
            <v>-39.25</v>
          </cell>
          <cell r="F51">
            <v>4.9000000000000004</v>
          </cell>
          <cell r="G51">
            <v>-63.25</v>
          </cell>
          <cell r="H51">
            <v>4.7</v>
          </cell>
          <cell r="J51">
            <v>22800</v>
          </cell>
          <cell r="L51" t="str">
            <v>@@</v>
          </cell>
          <cell r="M51" t="str">
            <v>@@</v>
          </cell>
          <cell r="N51" t="str">
            <v>@@</v>
          </cell>
          <cell r="O51" t="str">
            <v>@@</v>
          </cell>
          <cell r="P51" t="str">
            <v>@@</v>
          </cell>
          <cell r="Q51" t="str">
            <v>@@</v>
          </cell>
          <cell r="R51" t="str">
            <v>@@</v>
          </cell>
          <cell r="S51" t="str">
            <v>@@</v>
          </cell>
          <cell r="AB51" t="str">
            <v>@@</v>
          </cell>
          <cell r="AC51" t="str">
            <v>@@</v>
          </cell>
          <cell r="AD51" t="str">
            <v>@@</v>
          </cell>
          <cell r="AL51" t="str">
            <v>@@</v>
          </cell>
        </row>
        <row r="52">
          <cell r="B52">
            <v>92500</v>
          </cell>
          <cell r="E52">
            <v>-21.4</v>
          </cell>
          <cell r="F52">
            <v>6.2</v>
          </cell>
          <cell r="G52">
            <v>-45.25</v>
          </cell>
          <cell r="H52">
            <v>4</v>
          </cell>
          <cell r="J52">
            <v>22900</v>
          </cell>
          <cell r="L52" t="str">
            <v>@@</v>
          </cell>
          <cell r="M52" t="str">
            <v>@@</v>
          </cell>
          <cell r="N52" t="str">
            <v>@@</v>
          </cell>
          <cell r="O52" t="str">
            <v>@@</v>
          </cell>
          <cell r="P52" t="str">
            <v>@@</v>
          </cell>
          <cell r="Q52" t="str">
            <v>@@</v>
          </cell>
          <cell r="R52" t="str">
            <v>@@</v>
          </cell>
          <cell r="S52" t="str">
            <v>@@</v>
          </cell>
          <cell r="AB52" t="str">
            <v>@@</v>
          </cell>
          <cell r="AC52" t="str">
            <v>@@</v>
          </cell>
          <cell r="AD52" t="str">
            <v>@@</v>
          </cell>
          <cell r="AL52" t="str">
            <v>@@</v>
          </cell>
        </row>
        <row r="53">
          <cell r="B53">
            <v>93500</v>
          </cell>
          <cell r="E53">
            <v>-18.75</v>
          </cell>
          <cell r="F53">
            <v>4.0999999999999996</v>
          </cell>
          <cell r="G53">
            <v>-26.666666666666668</v>
          </cell>
          <cell r="H53">
            <v>4.5999999999999996</v>
          </cell>
          <cell r="J53">
            <v>23000</v>
          </cell>
          <cell r="L53" t="str">
            <v>@@</v>
          </cell>
          <cell r="M53" t="str">
            <v>@@</v>
          </cell>
          <cell r="N53" t="str">
            <v>@@</v>
          </cell>
          <cell r="O53" t="str">
            <v>@@</v>
          </cell>
          <cell r="P53" t="str">
            <v>@@</v>
          </cell>
          <cell r="Q53" t="str">
            <v>@@</v>
          </cell>
          <cell r="R53" t="str">
            <v>@@</v>
          </cell>
          <cell r="S53" t="str">
            <v>@@</v>
          </cell>
          <cell r="AB53" t="str">
            <v>@@</v>
          </cell>
          <cell r="AC53" t="str">
            <v>@@</v>
          </cell>
          <cell r="AD53" t="str">
            <v>@@</v>
          </cell>
          <cell r="AL53" t="str">
            <v>@@</v>
          </cell>
        </row>
        <row r="54">
          <cell r="B54">
            <v>94500</v>
          </cell>
          <cell r="E54">
            <v>-32.75</v>
          </cell>
          <cell r="F54">
            <v>4.0999999999999996</v>
          </cell>
          <cell r="G54">
            <v>-30.888888888888889</v>
          </cell>
          <cell r="H54">
            <v>4.5999999999999996</v>
          </cell>
          <cell r="J54">
            <v>23100</v>
          </cell>
          <cell r="L54" t="str">
            <v>@@</v>
          </cell>
          <cell r="M54" t="str">
            <v>@@</v>
          </cell>
          <cell r="N54" t="str">
            <v>@@</v>
          </cell>
          <cell r="O54" t="str">
            <v>@@</v>
          </cell>
          <cell r="P54" t="str">
            <v>@@</v>
          </cell>
          <cell r="Q54" t="str">
            <v>@@</v>
          </cell>
          <cell r="R54" t="str">
            <v>@@</v>
          </cell>
          <cell r="S54" t="str">
            <v>@@</v>
          </cell>
          <cell r="AB54" t="str">
            <v>@@</v>
          </cell>
          <cell r="AC54" t="str">
            <v>@@</v>
          </cell>
          <cell r="AD54" t="str">
            <v>@@</v>
          </cell>
          <cell r="AL54" t="str">
            <v>@@</v>
          </cell>
        </row>
        <row r="55">
          <cell r="B55">
            <v>95500</v>
          </cell>
          <cell r="E55">
            <v>-23.8</v>
          </cell>
          <cell r="F55">
            <v>6.3</v>
          </cell>
          <cell r="G55">
            <v>-32.666666666666671</v>
          </cell>
          <cell r="H55">
            <v>3</v>
          </cell>
          <cell r="J55">
            <v>23200</v>
          </cell>
          <cell r="L55" t="str">
            <v>@@</v>
          </cell>
          <cell r="M55" t="str">
            <v>@@</v>
          </cell>
          <cell r="N55" t="str">
            <v>@@</v>
          </cell>
          <cell r="O55" t="str">
            <v>@@</v>
          </cell>
          <cell r="P55" t="str">
            <v>@@</v>
          </cell>
          <cell r="Q55" t="str">
            <v>@@</v>
          </cell>
          <cell r="R55" t="str">
            <v>@@</v>
          </cell>
          <cell r="S55" t="str">
            <v>@@</v>
          </cell>
          <cell r="AB55" t="str">
            <v>@@</v>
          </cell>
          <cell r="AC55" t="str">
            <v>@@</v>
          </cell>
          <cell r="AD55" t="str">
            <v>@@</v>
          </cell>
          <cell r="AL55" t="str">
            <v>@@</v>
          </cell>
        </row>
        <row r="56">
          <cell r="B56">
            <v>96500</v>
          </cell>
          <cell r="E56">
            <v>-37.25</v>
          </cell>
          <cell r="F56">
            <v>5.4</v>
          </cell>
          <cell r="G56">
            <v>-48</v>
          </cell>
          <cell r="H56">
            <v>3.2</v>
          </cell>
          <cell r="J56">
            <v>23300</v>
          </cell>
          <cell r="L56" t="str">
            <v>@@</v>
          </cell>
          <cell r="M56" t="str">
            <v>@@</v>
          </cell>
          <cell r="N56" t="str">
            <v>@@</v>
          </cell>
          <cell r="O56" t="str">
            <v>@@</v>
          </cell>
          <cell r="P56" t="str">
            <v>@@</v>
          </cell>
          <cell r="Q56" t="str">
            <v>@@</v>
          </cell>
          <cell r="R56" t="str">
            <v>@@</v>
          </cell>
          <cell r="S56" t="str">
            <v>@@</v>
          </cell>
          <cell r="AB56" t="str">
            <v>@@</v>
          </cell>
          <cell r="AC56" t="str">
            <v>@@</v>
          </cell>
          <cell r="AD56" t="str">
            <v>@@</v>
          </cell>
          <cell r="AL56" t="str">
            <v>@@</v>
          </cell>
        </row>
        <row r="57">
          <cell r="B57">
            <v>97600</v>
          </cell>
          <cell r="E57">
            <v>-9.5</v>
          </cell>
          <cell r="F57">
            <v>4.0999999999999996</v>
          </cell>
          <cell r="G57">
            <v>-18.666666666666664</v>
          </cell>
          <cell r="H57">
            <v>3.2</v>
          </cell>
          <cell r="J57">
            <v>23400</v>
          </cell>
          <cell r="L57" t="str">
            <v>@@</v>
          </cell>
          <cell r="M57" t="str">
            <v>@@</v>
          </cell>
          <cell r="N57" t="str">
            <v>@@</v>
          </cell>
          <cell r="O57" t="str">
            <v>@@</v>
          </cell>
          <cell r="P57" t="str">
            <v>@@</v>
          </cell>
          <cell r="Q57" t="str">
            <v>@@</v>
          </cell>
          <cell r="R57" t="str">
            <v>@@</v>
          </cell>
          <cell r="S57" t="str">
            <v>@@</v>
          </cell>
          <cell r="AB57" t="str">
            <v>@@</v>
          </cell>
          <cell r="AC57">
            <v>0</v>
          </cell>
          <cell r="AD57">
            <v>0</v>
          </cell>
          <cell r="AL57" t="str">
            <v>@@</v>
          </cell>
        </row>
        <row r="58">
          <cell r="B58">
            <v>98500</v>
          </cell>
          <cell r="E58">
            <v>-15.5</v>
          </cell>
          <cell r="F58">
            <v>4.8</v>
          </cell>
          <cell r="G58">
            <v>-11</v>
          </cell>
          <cell r="H58">
            <v>3.2</v>
          </cell>
          <cell r="J58">
            <v>23500</v>
          </cell>
          <cell r="L58">
            <v>23500</v>
          </cell>
          <cell r="M58">
            <v>0</v>
          </cell>
          <cell r="N58">
            <v>0</v>
          </cell>
          <cell r="O58">
            <v>-27</v>
          </cell>
          <cell r="P58">
            <v>7.7</v>
          </cell>
          <cell r="Q58">
            <v>-31.111111111111111</v>
          </cell>
          <cell r="R58">
            <v>5.3</v>
          </cell>
          <cell r="S58">
            <v>1</v>
          </cell>
          <cell r="T58">
            <v>23500</v>
          </cell>
          <cell r="W58">
            <v>-27</v>
          </cell>
          <cell r="X58">
            <v>7.7</v>
          </cell>
          <cell r="Y58">
            <v>-31.111111111111111</v>
          </cell>
          <cell r="Z58">
            <v>5.3</v>
          </cell>
          <cell r="AA58">
            <v>1</v>
          </cell>
          <cell r="AB58">
            <v>23500</v>
          </cell>
          <cell r="AC58">
            <v>-27</v>
          </cell>
          <cell r="AD58">
            <v>7.7</v>
          </cell>
          <cell r="AE58">
            <v>23500</v>
          </cell>
          <cell r="AF58">
            <v>-27</v>
          </cell>
          <cell r="AG58">
            <v>7.7</v>
          </cell>
          <cell r="AL58">
            <v>13</v>
          </cell>
          <cell r="AM58">
            <v>13</v>
          </cell>
        </row>
        <row r="59">
          <cell r="B59">
            <v>99500</v>
          </cell>
          <cell r="E59">
            <v>-32</v>
          </cell>
          <cell r="F59">
            <v>4.5</v>
          </cell>
          <cell r="G59">
            <v>-19.333333333333332</v>
          </cell>
          <cell r="H59">
            <v>3</v>
          </cell>
          <cell r="J59">
            <v>23600</v>
          </cell>
          <cell r="L59" t="str">
            <v>@@</v>
          </cell>
          <cell r="M59" t="str">
            <v>@@</v>
          </cell>
          <cell r="N59" t="str">
            <v>@@</v>
          </cell>
          <cell r="O59" t="str">
            <v>@@</v>
          </cell>
          <cell r="P59" t="str">
            <v>@@</v>
          </cell>
          <cell r="Q59" t="str">
            <v>@@</v>
          </cell>
          <cell r="R59" t="str">
            <v>@@</v>
          </cell>
          <cell r="S59" t="str">
            <v>@@</v>
          </cell>
          <cell r="AB59" t="str">
            <v>@@</v>
          </cell>
          <cell r="AC59">
            <v>-31.111111111111111</v>
          </cell>
          <cell r="AD59">
            <v>5.3</v>
          </cell>
          <cell r="AF59">
            <v>-31.111111111111111</v>
          </cell>
          <cell r="AG59">
            <v>5.3</v>
          </cell>
          <cell r="AL59" t="str">
            <v>@@</v>
          </cell>
        </row>
        <row r="60">
          <cell r="B60">
            <v>100500</v>
          </cell>
          <cell r="C60">
            <v>-29.4</v>
          </cell>
          <cell r="D60">
            <v>7.3</v>
          </cell>
          <cell r="E60">
            <v>-10.8</v>
          </cell>
          <cell r="F60">
            <v>8.5</v>
          </cell>
          <cell r="G60">
            <v>-12</v>
          </cell>
          <cell r="H60">
            <v>3</v>
          </cell>
          <cell r="J60">
            <v>23700</v>
          </cell>
          <cell r="L60" t="str">
            <v>@@</v>
          </cell>
          <cell r="M60" t="str">
            <v>@@</v>
          </cell>
          <cell r="N60" t="str">
            <v>@@</v>
          </cell>
          <cell r="O60" t="str">
            <v>@@</v>
          </cell>
          <cell r="P60" t="str">
            <v>@@</v>
          </cell>
          <cell r="Q60" t="str">
            <v>@@</v>
          </cell>
          <cell r="R60" t="str">
            <v>@@</v>
          </cell>
          <cell r="S60" t="str">
            <v>@@</v>
          </cell>
          <cell r="AB60" t="str">
            <v>@@</v>
          </cell>
          <cell r="AC60" t="str">
            <v>@@</v>
          </cell>
          <cell r="AD60" t="str">
            <v>@@</v>
          </cell>
          <cell r="AL60" t="str">
            <v>@@</v>
          </cell>
        </row>
        <row r="61">
          <cell r="B61">
            <v>110000</v>
          </cell>
          <cell r="C61">
            <v>-21</v>
          </cell>
          <cell r="D61">
            <v>6.8</v>
          </cell>
          <cell r="E61">
            <v>-35.25</v>
          </cell>
          <cell r="F61">
            <v>4</v>
          </cell>
          <cell r="G61">
            <v>-9.8000000000000007</v>
          </cell>
          <cell r="H61">
            <v>5.8</v>
          </cell>
          <cell r="J61">
            <v>23800</v>
          </cell>
          <cell r="L61" t="str">
            <v>@@</v>
          </cell>
          <cell r="M61" t="str">
            <v>@@</v>
          </cell>
          <cell r="N61" t="str">
            <v>@@</v>
          </cell>
          <cell r="O61" t="str">
            <v>@@</v>
          </cell>
          <cell r="P61" t="str">
            <v>@@</v>
          </cell>
          <cell r="Q61" t="str">
            <v>@@</v>
          </cell>
          <cell r="R61" t="str">
            <v>@@</v>
          </cell>
          <cell r="S61" t="str">
            <v>@@</v>
          </cell>
          <cell r="AB61" t="str">
            <v>@@</v>
          </cell>
          <cell r="AC61" t="str">
            <v>@@</v>
          </cell>
          <cell r="AD61" t="str">
            <v>@@</v>
          </cell>
          <cell r="AL61" t="str">
            <v>@@</v>
          </cell>
        </row>
        <row r="62">
          <cell r="B62">
            <v>111000</v>
          </cell>
          <cell r="C62">
            <v>-36.4</v>
          </cell>
          <cell r="D62">
            <v>6.3</v>
          </cell>
          <cell r="E62">
            <v>-28.5</v>
          </cell>
          <cell r="F62">
            <v>4.5</v>
          </cell>
          <cell r="G62">
            <v>-19.555555555555557</v>
          </cell>
          <cell r="H62">
            <v>4.9000000000000004</v>
          </cell>
          <cell r="J62">
            <v>23900</v>
          </cell>
          <cell r="L62" t="str">
            <v>@@</v>
          </cell>
          <cell r="M62" t="str">
            <v>@@</v>
          </cell>
          <cell r="N62" t="str">
            <v>@@</v>
          </cell>
          <cell r="O62" t="str">
            <v>@@</v>
          </cell>
          <cell r="P62" t="str">
            <v>@@</v>
          </cell>
          <cell r="Q62" t="str">
            <v>@@</v>
          </cell>
          <cell r="R62" t="str">
            <v>@@</v>
          </cell>
          <cell r="S62" t="str">
            <v>@@</v>
          </cell>
          <cell r="AB62" t="str">
            <v>@@</v>
          </cell>
          <cell r="AC62" t="str">
            <v>@@</v>
          </cell>
          <cell r="AD62" t="str">
            <v>@@</v>
          </cell>
          <cell r="AL62" t="str">
            <v>@@</v>
          </cell>
        </row>
        <row r="63">
          <cell r="B63">
            <v>113000</v>
          </cell>
          <cell r="C63">
            <v>-13.6</v>
          </cell>
          <cell r="D63">
            <v>9.3000000000000007</v>
          </cell>
          <cell r="E63">
            <v>-25.333333333333329</v>
          </cell>
          <cell r="F63">
            <v>3.1</v>
          </cell>
          <cell r="G63">
            <v>-13.4</v>
          </cell>
          <cell r="H63">
            <v>6.7</v>
          </cell>
          <cell r="J63">
            <v>24000</v>
          </cell>
          <cell r="L63" t="str">
            <v>@@</v>
          </cell>
          <cell r="M63" t="str">
            <v>@@</v>
          </cell>
          <cell r="N63" t="str">
            <v>@@</v>
          </cell>
          <cell r="O63" t="str">
            <v>@@</v>
          </cell>
          <cell r="P63" t="str">
            <v>@@</v>
          </cell>
          <cell r="Q63" t="str">
            <v>@@</v>
          </cell>
          <cell r="R63" t="str">
            <v>@@</v>
          </cell>
          <cell r="S63" t="str">
            <v>@@</v>
          </cell>
          <cell r="AB63" t="str">
            <v>@@</v>
          </cell>
          <cell r="AC63" t="str">
            <v>@@</v>
          </cell>
          <cell r="AD63" t="str">
            <v>@@</v>
          </cell>
          <cell r="AL63" t="str">
            <v>@@</v>
          </cell>
        </row>
        <row r="64">
          <cell r="B64">
            <v>114000</v>
          </cell>
          <cell r="C64">
            <v>-10.25</v>
          </cell>
          <cell r="D64">
            <v>4.4000000000000004</v>
          </cell>
          <cell r="E64">
            <v>-14.285714285714285</v>
          </cell>
          <cell r="F64">
            <v>3.6</v>
          </cell>
          <cell r="G64">
            <v>-32.285714285714292</v>
          </cell>
          <cell r="H64">
            <v>3.6</v>
          </cell>
          <cell r="J64">
            <v>24100</v>
          </cell>
          <cell r="L64" t="str">
            <v>@@</v>
          </cell>
          <cell r="M64" t="str">
            <v>@@</v>
          </cell>
          <cell r="N64" t="str">
            <v>@@</v>
          </cell>
          <cell r="O64" t="str">
            <v>@@</v>
          </cell>
          <cell r="P64" t="str">
            <v>@@</v>
          </cell>
          <cell r="Q64" t="str">
            <v>@@</v>
          </cell>
          <cell r="R64" t="str">
            <v>@@</v>
          </cell>
          <cell r="S64" t="str">
            <v>@@</v>
          </cell>
          <cell r="AB64" t="str">
            <v>@@</v>
          </cell>
          <cell r="AC64" t="str">
            <v>@@</v>
          </cell>
          <cell r="AD64" t="str">
            <v>@@</v>
          </cell>
          <cell r="AL64" t="str">
            <v>@@</v>
          </cell>
        </row>
        <row r="65">
          <cell r="B65">
            <v>115000</v>
          </cell>
          <cell r="C65">
            <v>-20</v>
          </cell>
          <cell r="D65">
            <v>5</v>
          </cell>
          <cell r="E65">
            <v>-25.4</v>
          </cell>
          <cell r="F65">
            <v>5</v>
          </cell>
          <cell r="G65">
            <v>-13.2</v>
          </cell>
          <cell r="H65">
            <v>6.2</v>
          </cell>
          <cell r="J65">
            <v>24200</v>
          </cell>
          <cell r="L65" t="str">
            <v>@@</v>
          </cell>
          <cell r="M65" t="str">
            <v>@@</v>
          </cell>
          <cell r="N65" t="str">
            <v>@@</v>
          </cell>
          <cell r="O65" t="str">
            <v>@@</v>
          </cell>
          <cell r="P65" t="str">
            <v>@@</v>
          </cell>
          <cell r="Q65" t="str">
            <v>@@</v>
          </cell>
          <cell r="R65" t="str">
            <v>@@</v>
          </cell>
          <cell r="S65" t="str">
            <v>@@</v>
          </cell>
          <cell r="AB65" t="str">
            <v>@@</v>
          </cell>
          <cell r="AC65" t="str">
            <v>@@</v>
          </cell>
          <cell r="AD65" t="str">
            <v>@@</v>
          </cell>
          <cell r="AL65" t="str">
            <v>@@</v>
          </cell>
        </row>
        <row r="66">
          <cell r="B66">
            <v>116000</v>
          </cell>
          <cell r="C66">
            <v>-42.5</v>
          </cell>
          <cell r="D66">
            <v>4</v>
          </cell>
          <cell r="E66">
            <v>-17.333333333333336</v>
          </cell>
          <cell r="F66">
            <v>3</v>
          </cell>
          <cell r="G66">
            <v>-15.75</v>
          </cell>
          <cell r="H66">
            <v>6.1</v>
          </cell>
          <cell r="J66">
            <v>24300</v>
          </cell>
          <cell r="L66" t="str">
            <v>@@</v>
          </cell>
          <cell r="M66" t="str">
            <v>@@</v>
          </cell>
          <cell r="N66" t="str">
            <v>@@</v>
          </cell>
          <cell r="O66" t="str">
            <v>@@</v>
          </cell>
          <cell r="P66" t="str">
            <v>@@</v>
          </cell>
          <cell r="Q66" t="str">
            <v>@@</v>
          </cell>
          <cell r="R66" t="str">
            <v>@@</v>
          </cell>
          <cell r="S66" t="str">
            <v>@@</v>
          </cell>
          <cell r="AB66" t="str">
            <v>@@</v>
          </cell>
          <cell r="AC66" t="str">
            <v>@@</v>
          </cell>
          <cell r="AD66" t="str">
            <v>@@</v>
          </cell>
          <cell r="AL66" t="str">
            <v>@@</v>
          </cell>
        </row>
        <row r="67">
          <cell r="B67">
            <v>117000</v>
          </cell>
          <cell r="C67">
            <v>-19.5</v>
          </cell>
          <cell r="D67">
            <v>4.5999999999999996</v>
          </cell>
          <cell r="E67">
            <v>-27</v>
          </cell>
          <cell r="F67">
            <v>3.2</v>
          </cell>
          <cell r="G67">
            <v>-15.666666666666668</v>
          </cell>
          <cell r="H67">
            <v>3.3</v>
          </cell>
          <cell r="J67">
            <v>24400</v>
          </cell>
          <cell r="L67" t="str">
            <v>@@</v>
          </cell>
          <cell r="M67" t="str">
            <v>@@</v>
          </cell>
          <cell r="N67" t="str">
            <v>@@</v>
          </cell>
          <cell r="O67" t="str">
            <v>@@</v>
          </cell>
          <cell r="P67" t="str">
            <v>@@</v>
          </cell>
          <cell r="Q67" t="str">
            <v>@@</v>
          </cell>
          <cell r="R67" t="str">
            <v>@@</v>
          </cell>
          <cell r="S67" t="str">
            <v>@@</v>
          </cell>
          <cell r="AB67" t="str">
            <v>@@</v>
          </cell>
          <cell r="AC67">
            <v>0</v>
          </cell>
          <cell r="AD67">
            <v>0</v>
          </cell>
          <cell r="AL67" t="str">
            <v>@@</v>
          </cell>
        </row>
        <row r="68">
          <cell r="B68">
            <v>118000</v>
          </cell>
          <cell r="C68">
            <v>-14.75</v>
          </cell>
          <cell r="D68">
            <v>5.8</v>
          </cell>
          <cell r="E68">
            <v>-21.714285714285715</v>
          </cell>
          <cell r="F68">
            <v>3.5</v>
          </cell>
          <cell r="G68">
            <v>-12.25</v>
          </cell>
          <cell r="H68">
            <v>4</v>
          </cell>
          <cell r="J68">
            <v>24500</v>
          </cell>
          <cell r="L68">
            <v>24500</v>
          </cell>
          <cell r="M68">
            <v>0</v>
          </cell>
          <cell r="N68">
            <v>0</v>
          </cell>
          <cell r="O68">
            <v>0</v>
          </cell>
          <cell r="P68">
            <v>3.5</v>
          </cell>
          <cell r="Q68">
            <v>-20.2</v>
          </cell>
          <cell r="R68">
            <v>8.4</v>
          </cell>
          <cell r="S68">
            <v>1</v>
          </cell>
          <cell r="T68">
            <v>24500</v>
          </cell>
          <cell r="X68">
            <v>3.5</v>
          </cell>
          <cell r="Y68">
            <v>-20.2</v>
          </cell>
          <cell r="Z68">
            <v>8.4</v>
          </cell>
          <cell r="AA68">
            <v>1</v>
          </cell>
          <cell r="AB68">
            <v>24500</v>
          </cell>
          <cell r="AC68">
            <v>0</v>
          </cell>
          <cell r="AD68">
            <v>3.5</v>
          </cell>
          <cell r="AE68">
            <v>24500</v>
          </cell>
          <cell r="AG68">
            <v>3.5</v>
          </cell>
          <cell r="AL68">
            <v>11.9</v>
          </cell>
          <cell r="AM68">
            <v>11.9</v>
          </cell>
        </row>
        <row r="69">
          <cell r="B69">
            <v>119000</v>
          </cell>
          <cell r="C69">
            <v>-28</v>
          </cell>
          <cell r="D69">
            <v>4.3</v>
          </cell>
          <cell r="E69">
            <v>-18</v>
          </cell>
          <cell r="F69">
            <v>4.0999999999999996</v>
          </cell>
          <cell r="G69">
            <v>-13</v>
          </cell>
          <cell r="H69">
            <v>3</v>
          </cell>
          <cell r="J69">
            <v>24600</v>
          </cell>
          <cell r="L69" t="str">
            <v>@@</v>
          </cell>
          <cell r="M69" t="str">
            <v>@@</v>
          </cell>
          <cell r="N69" t="str">
            <v>@@</v>
          </cell>
          <cell r="O69" t="str">
            <v>@@</v>
          </cell>
          <cell r="P69" t="str">
            <v>@@</v>
          </cell>
          <cell r="Q69" t="str">
            <v>@@</v>
          </cell>
          <cell r="R69" t="str">
            <v>@@</v>
          </cell>
          <cell r="S69" t="str">
            <v>@@</v>
          </cell>
          <cell r="AB69" t="str">
            <v>@@</v>
          </cell>
          <cell r="AC69">
            <v>-20.2</v>
          </cell>
          <cell r="AD69">
            <v>8.4</v>
          </cell>
          <cell r="AF69">
            <v>-20.2</v>
          </cell>
          <cell r="AG69">
            <v>8.4</v>
          </cell>
          <cell r="AL69" t="str">
            <v>@@</v>
          </cell>
        </row>
        <row r="70">
          <cell r="B70">
            <v>120000</v>
          </cell>
          <cell r="C70">
            <v>-11.8</v>
          </cell>
          <cell r="D70">
            <v>5</v>
          </cell>
          <cell r="E70">
            <v>-24.285714285714285</v>
          </cell>
          <cell r="F70">
            <v>3.5</v>
          </cell>
          <cell r="G70">
            <v>-15.2</v>
          </cell>
          <cell r="H70">
            <v>5.2</v>
          </cell>
          <cell r="J70">
            <v>24700</v>
          </cell>
          <cell r="L70" t="str">
            <v>@@</v>
          </cell>
          <cell r="M70" t="str">
            <v>@@</v>
          </cell>
          <cell r="N70" t="str">
            <v>@@</v>
          </cell>
          <cell r="O70" t="str">
            <v>@@</v>
          </cell>
          <cell r="P70" t="str">
            <v>@@</v>
          </cell>
          <cell r="Q70" t="str">
            <v>@@</v>
          </cell>
          <cell r="R70" t="str">
            <v>@@</v>
          </cell>
          <cell r="S70" t="str">
            <v>@@</v>
          </cell>
          <cell r="AB70" t="str">
            <v>@@</v>
          </cell>
          <cell r="AC70" t="str">
            <v>@@</v>
          </cell>
          <cell r="AD70" t="str">
            <v>@@</v>
          </cell>
          <cell r="AL70" t="str">
            <v>@@</v>
          </cell>
        </row>
        <row r="71">
          <cell r="B71">
            <v>121000</v>
          </cell>
          <cell r="C71">
            <v>-14.222222222222221</v>
          </cell>
          <cell r="D71">
            <v>4.5</v>
          </cell>
          <cell r="E71">
            <v>-21.111111111111111</v>
          </cell>
          <cell r="F71">
            <v>4.7</v>
          </cell>
          <cell r="G71">
            <v>-20.25</v>
          </cell>
          <cell r="H71">
            <v>4.0999999999999996</v>
          </cell>
          <cell r="J71">
            <v>24800</v>
          </cell>
          <cell r="L71" t="str">
            <v>@@</v>
          </cell>
          <cell r="M71" t="str">
            <v>@@</v>
          </cell>
          <cell r="N71" t="str">
            <v>@@</v>
          </cell>
          <cell r="O71" t="str">
            <v>@@</v>
          </cell>
          <cell r="P71" t="str">
            <v>@@</v>
          </cell>
          <cell r="Q71" t="str">
            <v>@@</v>
          </cell>
          <cell r="R71" t="str">
            <v>@@</v>
          </cell>
          <cell r="S71" t="str">
            <v>@@</v>
          </cell>
          <cell r="AB71" t="str">
            <v>@@</v>
          </cell>
          <cell r="AC71" t="str">
            <v>@@</v>
          </cell>
          <cell r="AD71" t="str">
            <v>@@</v>
          </cell>
          <cell r="AL71" t="str">
            <v>@@</v>
          </cell>
        </row>
        <row r="72">
          <cell r="B72">
            <v>122000</v>
          </cell>
          <cell r="C72">
            <v>-5.8</v>
          </cell>
          <cell r="D72">
            <v>5.5</v>
          </cell>
          <cell r="E72">
            <v>-10.666666666666668</v>
          </cell>
          <cell r="F72">
            <v>3</v>
          </cell>
          <cell r="G72">
            <v>-7.6666666666666661</v>
          </cell>
          <cell r="H72">
            <v>3.1</v>
          </cell>
          <cell r="J72">
            <v>24900</v>
          </cell>
          <cell r="L72" t="str">
            <v>@@</v>
          </cell>
          <cell r="M72" t="str">
            <v>@@</v>
          </cell>
          <cell r="N72" t="str">
            <v>@@</v>
          </cell>
          <cell r="O72" t="str">
            <v>@@</v>
          </cell>
          <cell r="P72" t="str">
            <v>@@</v>
          </cell>
          <cell r="Q72" t="str">
            <v>@@</v>
          </cell>
          <cell r="R72" t="str">
            <v>@@</v>
          </cell>
          <cell r="S72" t="str">
            <v>@@</v>
          </cell>
          <cell r="AB72" t="str">
            <v>@@</v>
          </cell>
          <cell r="AC72" t="str">
            <v>@@</v>
          </cell>
          <cell r="AD72" t="str">
            <v>@@</v>
          </cell>
          <cell r="AL72" t="str">
            <v>@@</v>
          </cell>
        </row>
        <row r="73">
          <cell r="B73">
            <v>123000</v>
          </cell>
          <cell r="C73">
            <v>-19.399999999999999</v>
          </cell>
          <cell r="D73">
            <v>6.3</v>
          </cell>
          <cell r="E73">
            <v>-16.600000000000001</v>
          </cell>
          <cell r="F73">
            <v>5</v>
          </cell>
          <cell r="G73">
            <v>-18</v>
          </cell>
          <cell r="H73">
            <v>3.3</v>
          </cell>
          <cell r="J73">
            <v>25000</v>
          </cell>
          <cell r="L73" t="str">
            <v>@@</v>
          </cell>
          <cell r="M73" t="str">
            <v>@@</v>
          </cell>
          <cell r="N73" t="str">
            <v>@@</v>
          </cell>
          <cell r="O73" t="str">
            <v>@@</v>
          </cell>
          <cell r="P73" t="str">
            <v>@@</v>
          </cell>
          <cell r="Q73" t="str">
            <v>@@</v>
          </cell>
          <cell r="R73" t="str">
            <v>@@</v>
          </cell>
          <cell r="S73" t="str">
            <v>@@</v>
          </cell>
          <cell r="AB73" t="str">
            <v>@@</v>
          </cell>
          <cell r="AC73" t="str">
            <v>@@</v>
          </cell>
          <cell r="AD73" t="str">
            <v>@@</v>
          </cell>
          <cell r="AL73" t="str">
            <v>@@</v>
          </cell>
        </row>
        <row r="74">
          <cell r="B74">
            <v>124000</v>
          </cell>
          <cell r="C74">
            <v>-15.75</v>
          </cell>
          <cell r="D74">
            <v>4.2</v>
          </cell>
          <cell r="E74">
            <v>-56.285714285714285</v>
          </cell>
          <cell r="F74">
            <v>3.7</v>
          </cell>
          <cell r="G74">
            <v>-26.333333333333336</v>
          </cell>
          <cell r="H74">
            <v>3</v>
          </cell>
          <cell r="J74">
            <v>25100</v>
          </cell>
          <cell r="L74" t="str">
            <v>@@</v>
          </cell>
          <cell r="M74" t="str">
            <v>@@</v>
          </cell>
          <cell r="N74" t="str">
            <v>@@</v>
          </cell>
          <cell r="O74" t="str">
            <v>@@</v>
          </cell>
          <cell r="P74" t="str">
            <v>@@</v>
          </cell>
          <cell r="Q74" t="str">
            <v>@@</v>
          </cell>
          <cell r="R74" t="str">
            <v>@@</v>
          </cell>
          <cell r="S74" t="str">
            <v>@@</v>
          </cell>
          <cell r="AB74" t="str">
            <v>@@</v>
          </cell>
          <cell r="AC74" t="str">
            <v>@@</v>
          </cell>
          <cell r="AD74" t="str">
            <v>@@</v>
          </cell>
          <cell r="AL74" t="str">
            <v>@@</v>
          </cell>
        </row>
        <row r="75">
          <cell r="B75">
            <v>131000</v>
          </cell>
          <cell r="C75">
            <v>-21.2</v>
          </cell>
          <cell r="D75">
            <v>5.6</v>
          </cell>
          <cell r="E75">
            <v>-6.3333333333333321</v>
          </cell>
          <cell r="F75">
            <v>3.3</v>
          </cell>
          <cell r="G75">
            <v>-23.4</v>
          </cell>
          <cell r="H75">
            <v>6.6</v>
          </cell>
          <cell r="J75">
            <v>25200</v>
          </cell>
          <cell r="L75" t="str">
            <v>@@</v>
          </cell>
          <cell r="M75" t="str">
            <v>@@</v>
          </cell>
          <cell r="N75" t="str">
            <v>@@</v>
          </cell>
          <cell r="O75" t="str">
            <v>@@</v>
          </cell>
          <cell r="P75" t="str">
            <v>@@</v>
          </cell>
          <cell r="Q75" t="str">
            <v>@@</v>
          </cell>
          <cell r="R75" t="str">
            <v>@@</v>
          </cell>
          <cell r="S75" t="str">
            <v>@@</v>
          </cell>
          <cell r="AB75" t="str">
            <v>@@</v>
          </cell>
          <cell r="AC75" t="str">
            <v>@@</v>
          </cell>
          <cell r="AD75" t="str">
            <v>@@</v>
          </cell>
          <cell r="AL75" t="str">
            <v>@@</v>
          </cell>
        </row>
        <row r="76">
          <cell r="B76">
            <v>131900</v>
          </cell>
          <cell r="C76">
            <v>-26.8</v>
          </cell>
          <cell r="D76">
            <v>5</v>
          </cell>
          <cell r="E76">
            <v>-21</v>
          </cell>
          <cell r="F76">
            <v>3.2</v>
          </cell>
          <cell r="G76">
            <v>-34.666666666666671</v>
          </cell>
          <cell r="H76">
            <v>3</v>
          </cell>
          <cell r="J76">
            <v>25300</v>
          </cell>
          <cell r="L76" t="str">
            <v>@@</v>
          </cell>
          <cell r="M76" t="str">
            <v>@@</v>
          </cell>
          <cell r="N76" t="str">
            <v>@@</v>
          </cell>
          <cell r="O76" t="str">
            <v>@@</v>
          </cell>
          <cell r="P76" t="str">
            <v>@@</v>
          </cell>
          <cell r="Q76" t="str">
            <v>@@</v>
          </cell>
          <cell r="R76" t="str">
            <v>@@</v>
          </cell>
          <cell r="S76" t="str">
            <v>@@</v>
          </cell>
          <cell r="AB76" t="str">
            <v>@@</v>
          </cell>
          <cell r="AC76" t="str">
            <v>@@</v>
          </cell>
          <cell r="AD76" t="str">
            <v>@@</v>
          </cell>
          <cell r="AL76" t="str">
            <v>@@</v>
          </cell>
        </row>
        <row r="77">
          <cell r="B77">
            <v>133000</v>
          </cell>
          <cell r="C77">
            <v>-53.666666666666671</v>
          </cell>
          <cell r="D77">
            <v>3.1</v>
          </cell>
          <cell r="E77">
            <v>-11</v>
          </cell>
          <cell r="F77">
            <v>3.1</v>
          </cell>
          <cell r="G77">
            <v>-36</v>
          </cell>
          <cell r="H77">
            <v>4.5999999999999996</v>
          </cell>
          <cell r="J77">
            <v>25400</v>
          </cell>
          <cell r="L77" t="str">
            <v>@@</v>
          </cell>
          <cell r="M77" t="str">
            <v>@@</v>
          </cell>
          <cell r="N77" t="str">
            <v>@@</v>
          </cell>
          <cell r="O77" t="str">
            <v>@@</v>
          </cell>
          <cell r="P77" t="str">
            <v>@@</v>
          </cell>
          <cell r="Q77" t="str">
            <v>@@</v>
          </cell>
          <cell r="R77" t="str">
            <v>@@</v>
          </cell>
          <cell r="S77" t="str">
            <v>@@</v>
          </cell>
          <cell r="AB77" t="str">
            <v>@@</v>
          </cell>
          <cell r="AC77">
            <v>-27.4</v>
          </cell>
          <cell r="AD77">
            <v>5.8</v>
          </cell>
          <cell r="AF77">
            <v>-27.4</v>
          </cell>
          <cell r="AG77">
            <v>5.8</v>
          </cell>
          <cell r="AL77" t="str">
            <v>@@</v>
          </cell>
        </row>
        <row r="78">
          <cell r="B78">
            <v>134000</v>
          </cell>
          <cell r="C78">
            <v>-16.25</v>
          </cell>
          <cell r="D78">
            <v>4.7</v>
          </cell>
          <cell r="E78">
            <v>-41.4</v>
          </cell>
          <cell r="F78">
            <v>5</v>
          </cell>
          <cell r="G78">
            <v>-10</v>
          </cell>
          <cell r="H78">
            <v>5</v>
          </cell>
          <cell r="J78">
            <v>25500</v>
          </cell>
          <cell r="L78">
            <v>25500</v>
          </cell>
          <cell r="M78">
            <v>-27.4</v>
          </cell>
          <cell r="N78">
            <v>5.8</v>
          </cell>
          <cell r="O78">
            <v>-18.8</v>
          </cell>
          <cell r="P78">
            <v>5.7</v>
          </cell>
          <cell r="Q78">
            <v>-9.8000000000000007</v>
          </cell>
          <cell r="R78">
            <v>5.7</v>
          </cell>
          <cell r="S78">
            <v>1</v>
          </cell>
          <cell r="T78">
            <v>25500</v>
          </cell>
          <cell r="U78">
            <v>-27.4</v>
          </cell>
          <cell r="V78">
            <v>5.8</v>
          </cell>
          <cell r="W78">
            <v>-18.8</v>
          </cell>
          <cell r="X78">
            <v>5.7</v>
          </cell>
          <cell r="Y78">
            <v>-9.8000000000000007</v>
          </cell>
          <cell r="Z78">
            <v>5.7</v>
          </cell>
          <cell r="AA78">
            <v>1</v>
          </cell>
          <cell r="AB78">
            <v>25500</v>
          </cell>
          <cell r="AC78">
            <v>-18.8</v>
          </cell>
          <cell r="AD78">
            <v>5.7</v>
          </cell>
          <cell r="AE78">
            <v>25500</v>
          </cell>
          <cell r="AF78">
            <v>-18.8</v>
          </cell>
          <cell r="AG78">
            <v>5.7</v>
          </cell>
          <cell r="AL78">
            <v>17.2</v>
          </cell>
          <cell r="AM78">
            <v>17.2</v>
          </cell>
        </row>
        <row r="79">
          <cell r="B79">
            <v>135000</v>
          </cell>
          <cell r="C79">
            <v>-40</v>
          </cell>
          <cell r="D79">
            <v>3.1</v>
          </cell>
          <cell r="E79">
            <v>-11.666666666666666</v>
          </cell>
          <cell r="F79">
            <v>3.2</v>
          </cell>
          <cell r="G79">
            <v>-10.888888888888889</v>
          </cell>
          <cell r="H79">
            <v>4.5</v>
          </cell>
          <cell r="J79">
            <v>25600</v>
          </cell>
          <cell r="L79" t="str">
            <v>@@</v>
          </cell>
          <cell r="M79" t="str">
            <v>@@</v>
          </cell>
          <cell r="N79" t="str">
            <v>@@</v>
          </cell>
          <cell r="O79" t="str">
            <v>@@</v>
          </cell>
          <cell r="P79" t="str">
            <v>@@</v>
          </cell>
          <cell r="Q79" t="str">
            <v>@@</v>
          </cell>
          <cell r="R79" t="str">
            <v>@@</v>
          </cell>
          <cell r="S79" t="str">
            <v>@@</v>
          </cell>
          <cell r="AB79" t="str">
            <v>@@</v>
          </cell>
          <cell r="AC79">
            <v>-9.8000000000000007</v>
          </cell>
          <cell r="AD79">
            <v>5.7</v>
          </cell>
          <cell r="AF79">
            <v>-9.8000000000000007</v>
          </cell>
          <cell r="AG79">
            <v>5.7</v>
          </cell>
          <cell r="AL79" t="str">
            <v>@@</v>
          </cell>
        </row>
        <row r="80">
          <cell r="B80">
            <v>136000</v>
          </cell>
          <cell r="C80">
            <v>-17.333333333333336</v>
          </cell>
          <cell r="D80">
            <v>3.4</v>
          </cell>
          <cell r="E80">
            <v>-44.25</v>
          </cell>
          <cell r="F80">
            <v>4.0999999999999996</v>
          </cell>
          <cell r="G80">
            <v>-7</v>
          </cell>
          <cell r="H80">
            <v>4.0999999999999996</v>
          </cell>
          <cell r="J80">
            <v>25700</v>
          </cell>
          <cell r="L80" t="str">
            <v>@@</v>
          </cell>
          <cell r="M80" t="str">
            <v>@@</v>
          </cell>
          <cell r="N80" t="str">
            <v>@@</v>
          </cell>
          <cell r="O80" t="str">
            <v>@@</v>
          </cell>
          <cell r="P80" t="str">
            <v>@@</v>
          </cell>
          <cell r="Q80" t="str">
            <v>@@</v>
          </cell>
          <cell r="R80" t="str">
            <v>@@</v>
          </cell>
          <cell r="S80" t="str">
            <v>@@</v>
          </cell>
          <cell r="AB80" t="str">
            <v>@@</v>
          </cell>
          <cell r="AC80" t="str">
            <v>@@</v>
          </cell>
          <cell r="AD80" t="str">
            <v>@@</v>
          </cell>
          <cell r="AL80" t="str">
            <v>@@</v>
          </cell>
        </row>
        <row r="81">
          <cell r="B81">
            <v>137300</v>
          </cell>
          <cell r="C81">
            <v>-20.666666666666668</v>
          </cell>
          <cell r="D81">
            <v>3.4</v>
          </cell>
          <cell r="E81">
            <v>-18.5</v>
          </cell>
          <cell r="F81">
            <v>4.3</v>
          </cell>
          <cell r="G81">
            <v>-9.1999999999999993</v>
          </cell>
          <cell r="H81">
            <v>5</v>
          </cell>
          <cell r="J81">
            <v>25800</v>
          </cell>
          <cell r="L81" t="str">
            <v>@@</v>
          </cell>
          <cell r="M81" t="str">
            <v>@@</v>
          </cell>
          <cell r="N81" t="str">
            <v>@@</v>
          </cell>
          <cell r="O81" t="str">
            <v>@@</v>
          </cell>
          <cell r="P81" t="str">
            <v>@@</v>
          </cell>
          <cell r="Q81" t="str">
            <v>@@</v>
          </cell>
          <cell r="R81" t="str">
            <v>@@</v>
          </cell>
          <cell r="S81" t="str">
            <v>@@</v>
          </cell>
          <cell r="AB81" t="str">
            <v>@@</v>
          </cell>
          <cell r="AC81" t="str">
            <v>@@</v>
          </cell>
          <cell r="AD81" t="str">
            <v>@@</v>
          </cell>
          <cell r="AL81" t="str">
            <v>@@</v>
          </cell>
        </row>
        <row r="82">
          <cell r="J82">
            <v>25900</v>
          </cell>
          <cell r="L82" t="str">
            <v>@@</v>
          </cell>
          <cell r="M82" t="str">
            <v>@@</v>
          </cell>
          <cell r="N82" t="str">
            <v>@@</v>
          </cell>
          <cell r="O82" t="str">
            <v>@@</v>
          </cell>
          <cell r="P82" t="str">
            <v>@@</v>
          </cell>
          <cell r="Q82" t="str">
            <v>@@</v>
          </cell>
          <cell r="R82" t="str">
            <v>@@</v>
          </cell>
          <cell r="S82" t="str">
            <v>@@</v>
          </cell>
          <cell r="AB82" t="str">
            <v>@@</v>
          </cell>
          <cell r="AC82" t="str">
            <v>@@</v>
          </cell>
          <cell r="AD82" t="str">
            <v>@@</v>
          </cell>
          <cell r="AL82" t="str">
            <v>@@</v>
          </cell>
        </row>
        <row r="83">
          <cell r="J83">
            <v>26000</v>
          </cell>
          <cell r="L83" t="str">
            <v>@@</v>
          </cell>
          <cell r="M83" t="str">
            <v>@@</v>
          </cell>
          <cell r="N83" t="str">
            <v>@@</v>
          </cell>
          <cell r="O83" t="str">
            <v>@@</v>
          </cell>
          <cell r="P83" t="str">
            <v>@@</v>
          </cell>
          <cell r="Q83" t="str">
            <v>@@</v>
          </cell>
          <cell r="R83" t="str">
            <v>@@</v>
          </cell>
          <cell r="S83" t="str">
            <v>@@</v>
          </cell>
          <cell r="AB83" t="str">
            <v>@@</v>
          </cell>
          <cell r="AC83" t="str">
            <v>@@</v>
          </cell>
          <cell r="AD83" t="str">
            <v>@@</v>
          </cell>
          <cell r="AL83" t="str">
            <v>@@</v>
          </cell>
        </row>
        <row r="84">
          <cell r="J84">
            <v>26100</v>
          </cell>
          <cell r="L84" t="str">
            <v>@@</v>
          </cell>
          <cell r="M84" t="str">
            <v>@@</v>
          </cell>
          <cell r="N84" t="str">
            <v>@@</v>
          </cell>
          <cell r="O84" t="str">
            <v>@@</v>
          </cell>
          <cell r="P84" t="str">
            <v>@@</v>
          </cell>
          <cell r="Q84" t="str">
            <v>@@</v>
          </cell>
          <cell r="R84" t="str">
            <v>@@</v>
          </cell>
          <cell r="S84" t="str">
            <v>@@</v>
          </cell>
          <cell r="AB84" t="str">
            <v>@@</v>
          </cell>
          <cell r="AC84" t="str">
            <v>@@</v>
          </cell>
          <cell r="AD84" t="str">
            <v>@@</v>
          </cell>
          <cell r="AL84" t="str">
            <v>@@</v>
          </cell>
        </row>
        <row r="85">
          <cell r="J85">
            <v>26200</v>
          </cell>
          <cell r="L85" t="str">
            <v>@@</v>
          </cell>
          <cell r="M85" t="str">
            <v>@@</v>
          </cell>
          <cell r="N85" t="str">
            <v>@@</v>
          </cell>
          <cell r="O85" t="str">
            <v>@@</v>
          </cell>
          <cell r="P85" t="str">
            <v>@@</v>
          </cell>
          <cell r="Q85" t="str">
            <v>@@</v>
          </cell>
          <cell r="R85" t="str">
            <v>@@</v>
          </cell>
          <cell r="S85" t="str">
            <v>@@</v>
          </cell>
          <cell r="AB85" t="str">
            <v>@@</v>
          </cell>
          <cell r="AC85" t="str">
            <v>@@</v>
          </cell>
          <cell r="AD85" t="str">
            <v>@@</v>
          </cell>
          <cell r="AL85" t="str">
            <v>@@</v>
          </cell>
        </row>
        <row r="86">
          <cell r="J86">
            <v>26300</v>
          </cell>
          <cell r="L86" t="str">
            <v>@@</v>
          </cell>
          <cell r="M86" t="str">
            <v>@@</v>
          </cell>
          <cell r="N86" t="str">
            <v>@@</v>
          </cell>
          <cell r="O86" t="str">
            <v>@@</v>
          </cell>
          <cell r="P86" t="str">
            <v>@@</v>
          </cell>
          <cell r="Q86" t="str">
            <v>@@</v>
          </cell>
          <cell r="R86" t="str">
            <v>@@</v>
          </cell>
          <cell r="S86" t="str">
            <v>@@</v>
          </cell>
          <cell r="AB86" t="str">
            <v>@@</v>
          </cell>
          <cell r="AC86" t="str">
            <v>@@</v>
          </cell>
          <cell r="AD86" t="str">
            <v>@@</v>
          </cell>
          <cell r="AL86" t="str">
            <v>@@</v>
          </cell>
        </row>
        <row r="87">
          <cell r="J87">
            <v>26400</v>
          </cell>
          <cell r="L87" t="str">
            <v>@@</v>
          </cell>
          <cell r="M87" t="str">
            <v>@@</v>
          </cell>
          <cell r="N87" t="str">
            <v>@@</v>
          </cell>
          <cell r="O87" t="str">
            <v>@@</v>
          </cell>
          <cell r="P87" t="str">
            <v>@@</v>
          </cell>
          <cell r="Q87" t="str">
            <v>@@</v>
          </cell>
          <cell r="R87" t="str">
            <v>@@</v>
          </cell>
          <cell r="S87" t="str">
            <v>@@</v>
          </cell>
          <cell r="AB87" t="str">
            <v>@@</v>
          </cell>
          <cell r="AC87">
            <v>-54.4</v>
          </cell>
          <cell r="AD87">
            <v>5.7</v>
          </cell>
          <cell r="AF87">
            <v>-54.4</v>
          </cell>
          <cell r="AG87">
            <v>5.7</v>
          </cell>
          <cell r="AL87" t="str">
            <v>@@</v>
          </cell>
        </row>
        <row r="88">
          <cell r="J88">
            <v>26500</v>
          </cell>
          <cell r="L88">
            <v>26500</v>
          </cell>
          <cell r="M88">
            <v>-54.4</v>
          </cell>
          <cell r="N88">
            <v>5.7</v>
          </cell>
          <cell r="O88">
            <v>-16.333333333333336</v>
          </cell>
          <cell r="P88">
            <v>3</v>
          </cell>
          <cell r="Q88">
            <v>-11.666666666666666</v>
          </cell>
          <cell r="R88">
            <v>3</v>
          </cell>
          <cell r="S88">
            <v>1</v>
          </cell>
          <cell r="T88">
            <v>26500</v>
          </cell>
          <cell r="U88">
            <v>-54.4</v>
          </cell>
          <cell r="V88">
            <v>5.7</v>
          </cell>
          <cell r="W88">
            <v>-16.333333333333336</v>
          </cell>
          <cell r="X88">
            <v>3</v>
          </cell>
          <cell r="Y88">
            <v>-11.666666666666666</v>
          </cell>
          <cell r="Z88">
            <v>3</v>
          </cell>
          <cell r="AA88">
            <v>1</v>
          </cell>
          <cell r="AB88">
            <v>26500</v>
          </cell>
          <cell r="AC88">
            <v>-16.333333333333336</v>
          </cell>
          <cell r="AD88">
            <v>3</v>
          </cell>
          <cell r="AE88">
            <v>26500</v>
          </cell>
          <cell r="AF88">
            <v>-16.333333333333336</v>
          </cell>
          <cell r="AG88">
            <v>3</v>
          </cell>
          <cell r="AL88">
            <v>11.7</v>
          </cell>
          <cell r="AM88">
            <v>11.7</v>
          </cell>
        </row>
        <row r="89">
          <cell r="J89">
            <v>26600</v>
          </cell>
          <cell r="L89" t="str">
            <v>@@</v>
          </cell>
          <cell r="M89" t="str">
            <v>@@</v>
          </cell>
          <cell r="N89" t="str">
            <v>@@</v>
          </cell>
          <cell r="O89" t="str">
            <v>@@</v>
          </cell>
          <cell r="P89" t="str">
            <v>@@</v>
          </cell>
          <cell r="Q89" t="str">
            <v>@@</v>
          </cell>
          <cell r="R89" t="str">
            <v>@@</v>
          </cell>
          <cell r="S89" t="str">
            <v>@@</v>
          </cell>
          <cell r="AB89" t="str">
            <v>@@</v>
          </cell>
          <cell r="AC89">
            <v>-11.666666666666666</v>
          </cell>
          <cell r="AD89">
            <v>3</v>
          </cell>
          <cell r="AF89">
            <v>-11.666666666666666</v>
          </cell>
          <cell r="AG89">
            <v>3</v>
          </cell>
          <cell r="AL89" t="str">
            <v>@@</v>
          </cell>
        </row>
        <row r="90">
          <cell r="J90">
            <v>26700</v>
          </cell>
          <cell r="L90" t="str">
            <v>@@</v>
          </cell>
          <cell r="M90" t="str">
            <v>@@</v>
          </cell>
          <cell r="N90" t="str">
            <v>@@</v>
          </cell>
          <cell r="O90" t="str">
            <v>@@</v>
          </cell>
          <cell r="P90" t="str">
            <v>@@</v>
          </cell>
          <cell r="Q90" t="str">
            <v>@@</v>
          </cell>
          <cell r="R90" t="str">
            <v>@@</v>
          </cell>
          <cell r="S90" t="str">
            <v>@@</v>
          </cell>
          <cell r="AB90" t="str">
            <v>@@</v>
          </cell>
          <cell r="AC90" t="str">
            <v>@@</v>
          </cell>
          <cell r="AD90" t="str">
            <v>@@</v>
          </cell>
          <cell r="AL90" t="str">
            <v>@@</v>
          </cell>
        </row>
        <row r="91">
          <cell r="J91">
            <v>26800</v>
          </cell>
          <cell r="L91" t="str">
            <v>@@</v>
          </cell>
          <cell r="M91" t="str">
            <v>@@</v>
          </cell>
          <cell r="N91" t="str">
            <v>@@</v>
          </cell>
          <cell r="O91" t="str">
            <v>@@</v>
          </cell>
          <cell r="P91" t="str">
            <v>@@</v>
          </cell>
          <cell r="Q91" t="str">
            <v>@@</v>
          </cell>
          <cell r="R91" t="str">
            <v>@@</v>
          </cell>
          <cell r="S91" t="str">
            <v>@@</v>
          </cell>
          <cell r="AB91" t="str">
            <v>@@</v>
          </cell>
          <cell r="AC91" t="str">
            <v>@@</v>
          </cell>
          <cell r="AD91" t="str">
            <v>@@</v>
          </cell>
          <cell r="AL91" t="str">
            <v>@@</v>
          </cell>
        </row>
        <row r="92">
          <cell r="J92">
            <v>26900</v>
          </cell>
          <cell r="L92" t="str">
            <v>@@</v>
          </cell>
          <cell r="M92" t="str">
            <v>@@</v>
          </cell>
          <cell r="N92" t="str">
            <v>@@</v>
          </cell>
          <cell r="O92" t="str">
            <v>@@</v>
          </cell>
          <cell r="P92" t="str">
            <v>@@</v>
          </cell>
          <cell r="Q92" t="str">
            <v>@@</v>
          </cell>
          <cell r="R92" t="str">
            <v>@@</v>
          </cell>
          <cell r="S92" t="str">
            <v>@@</v>
          </cell>
          <cell r="AB92" t="str">
            <v>@@</v>
          </cell>
          <cell r="AC92" t="str">
            <v>@@</v>
          </cell>
          <cell r="AD92" t="str">
            <v>@@</v>
          </cell>
          <cell r="AL92" t="str">
            <v>@@</v>
          </cell>
        </row>
        <row r="93">
          <cell r="J93">
            <v>27000</v>
          </cell>
          <cell r="L93" t="str">
            <v>@@</v>
          </cell>
          <cell r="M93" t="str">
            <v>@@</v>
          </cell>
          <cell r="N93" t="str">
            <v>@@</v>
          </cell>
          <cell r="O93" t="str">
            <v>@@</v>
          </cell>
          <cell r="P93" t="str">
            <v>@@</v>
          </cell>
          <cell r="Q93" t="str">
            <v>@@</v>
          </cell>
          <cell r="R93" t="str">
            <v>@@</v>
          </cell>
          <cell r="S93" t="str">
            <v>@@</v>
          </cell>
          <cell r="AB93" t="str">
            <v>@@</v>
          </cell>
          <cell r="AC93" t="str">
            <v>@@</v>
          </cell>
          <cell r="AD93" t="str">
            <v>@@</v>
          </cell>
          <cell r="AL93" t="str">
            <v>@@</v>
          </cell>
        </row>
        <row r="94">
          <cell r="J94">
            <v>27100</v>
          </cell>
          <cell r="L94" t="str">
            <v>@@</v>
          </cell>
          <cell r="M94" t="str">
            <v>@@</v>
          </cell>
          <cell r="N94" t="str">
            <v>@@</v>
          </cell>
          <cell r="O94" t="str">
            <v>@@</v>
          </cell>
          <cell r="P94" t="str">
            <v>@@</v>
          </cell>
          <cell r="Q94" t="str">
            <v>@@</v>
          </cell>
          <cell r="R94" t="str">
            <v>@@</v>
          </cell>
          <cell r="S94" t="str">
            <v>@@</v>
          </cell>
          <cell r="AB94" t="str">
            <v>@@</v>
          </cell>
          <cell r="AC94" t="str">
            <v>@@</v>
          </cell>
          <cell r="AD94" t="str">
            <v>@@</v>
          </cell>
          <cell r="AL94" t="str">
            <v>@@</v>
          </cell>
        </row>
        <row r="95">
          <cell r="J95">
            <v>27200</v>
          </cell>
          <cell r="L95" t="str">
            <v>@@</v>
          </cell>
          <cell r="M95" t="str">
            <v>@@</v>
          </cell>
          <cell r="N95" t="str">
            <v>@@</v>
          </cell>
          <cell r="O95" t="str">
            <v>@@</v>
          </cell>
          <cell r="P95" t="str">
            <v>@@</v>
          </cell>
          <cell r="Q95" t="str">
            <v>@@</v>
          </cell>
          <cell r="R95" t="str">
            <v>@@</v>
          </cell>
          <cell r="S95" t="str">
            <v>@@</v>
          </cell>
          <cell r="AB95" t="str">
            <v>@@</v>
          </cell>
          <cell r="AC95" t="str">
            <v>@@</v>
          </cell>
          <cell r="AD95" t="str">
            <v>@@</v>
          </cell>
          <cell r="AL95" t="str">
            <v>@@</v>
          </cell>
        </row>
        <row r="96">
          <cell r="J96">
            <v>27300</v>
          </cell>
          <cell r="L96" t="str">
            <v>@@</v>
          </cell>
          <cell r="M96" t="str">
            <v>@@</v>
          </cell>
          <cell r="N96" t="str">
            <v>@@</v>
          </cell>
          <cell r="O96" t="str">
            <v>@@</v>
          </cell>
          <cell r="P96" t="str">
            <v>@@</v>
          </cell>
          <cell r="Q96" t="str">
            <v>@@</v>
          </cell>
          <cell r="R96" t="str">
            <v>@@</v>
          </cell>
          <cell r="S96" t="str">
            <v>@@</v>
          </cell>
          <cell r="AB96" t="str">
            <v>@@</v>
          </cell>
          <cell r="AC96" t="str">
            <v>@@</v>
          </cell>
          <cell r="AD96" t="str">
            <v>@@</v>
          </cell>
          <cell r="AL96" t="str">
            <v>@@</v>
          </cell>
        </row>
        <row r="97">
          <cell r="J97">
            <v>27400</v>
          </cell>
          <cell r="L97" t="str">
            <v>@@</v>
          </cell>
          <cell r="M97" t="str">
            <v>@@</v>
          </cell>
          <cell r="N97" t="str">
            <v>@@</v>
          </cell>
          <cell r="O97" t="str">
            <v>@@</v>
          </cell>
          <cell r="P97" t="str">
            <v>@@</v>
          </cell>
          <cell r="Q97" t="str">
            <v>@@</v>
          </cell>
          <cell r="R97" t="str">
            <v>@@</v>
          </cell>
          <cell r="S97" t="str">
            <v>@@</v>
          </cell>
          <cell r="AB97" t="str">
            <v>@@</v>
          </cell>
          <cell r="AC97">
            <v>-64.5</v>
          </cell>
          <cell r="AD97">
            <v>4.3</v>
          </cell>
          <cell r="AF97">
            <v>-64.5</v>
          </cell>
          <cell r="AG97">
            <v>4.3</v>
          </cell>
          <cell r="AL97" t="str">
            <v>@@</v>
          </cell>
        </row>
        <row r="98">
          <cell r="J98">
            <v>27500</v>
          </cell>
          <cell r="L98">
            <v>27500</v>
          </cell>
          <cell r="M98">
            <v>-64.5</v>
          </cell>
          <cell r="N98">
            <v>4.3</v>
          </cell>
          <cell r="O98">
            <v>-59</v>
          </cell>
          <cell r="P98">
            <v>4</v>
          </cell>
          <cell r="Q98">
            <v>-13.75</v>
          </cell>
          <cell r="R98">
            <v>4</v>
          </cell>
          <cell r="S98">
            <v>1</v>
          </cell>
          <cell r="T98">
            <v>27500</v>
          </cell>
          <cell r="U98">
            <v>-64.5</v>
          </cell>
          <cell r="V98">
            <v>4.3</v>
          </cell>
          <cell r="W98">
            <v>-59</v>
          </cell>
          <cell r="X98">
            <v>4</v>
          </cell>
          <cell r="Y98">
            <v>-13.75</v>
          </cell>
          <cell r="Z98">
            <v>4</v>
          </cell>
          <cell r="AA98">
            <v>1</v>
          </cell>
          <cell r="AB98">
            <v>27500</v>
          </cell>
          <cell r="AC98">
            <v>-59</v>
          </cell>
          <cell r="AD98">
            <v>4</v>
          </cell>
          <cell r="AE98">
            <v>27500</v>
          </cell>
          <cell r="AF98">
            <v>-59</v>
          </cell>
          <cell r="AG98">
            <v>4</v>
          </cell>
          <cell r="AL98">
            <v>12.3</v>
          </cell>
          <cell r="AM98">
            <v>12.3</v>
          </cell>
        </row>
        <row r="99">
          <cell r="J99">
            <v>27600</v>
          </cell>
          <cell r="L99" t="str">
            <v>@@</v>
          </cell>
          <cell r="M99" t="str">
            <v>@@</v>
          </cell>
          <cell r="N99" t="str">
            <v>@@</v>
          </cell>
          <cell r="O99" t="str">
            <v>@@</v>
          </cell>
          <cell r="P99" t="str">
            <v>@@</v>
          </cell>
          <cell r="Q99" t="str">
            <v>@@</v>
          </cell>
          <cell r="R99" t="str">
            <v>@@</v>
          </cell>
          <cell r="S99" t="str">
            <v>@@</v>
          </cell>
          <cell r="AB99" t="str">
            <v>@@</v>
          </cell>
          <cell r="AC99">
            <v>-13.75</v>
          </cell>
          <cell r="AD99">
            <v>4</v>
          </cell>
          <cell r="AF99">
            <v>-13.75</v>
          </cell>
          <cell r="AG99">
            <v>4</v>
          </cell>
          <cell r="AL99" t="str">
            <v>@@</v>
          </cell>
        </row>
        <row r="100">
          <cell r="J100">
            <v>27700</v>
          </cell>
          <cell r="L100" t="str">
            <v>@@</v>
          </cell>
          <cell r="M100" t="str">
            <v>@@</v>
          </cell>
          <cell r="N100" t="str">
            <v>@@</v>
          </cell>
          <cell r="O100" t="str">
            <v>@@</v>
          </cell>
          <cell r="P100" t="str">
            <v>@@</v>
          </cell>
          <cell r="Q100" t="str">
            <v>@@</v>
          </cell>
          <cell r="R100" t="str">
            <v>@@</v>
          </cell>
          <cell r="S100" t="str">
            <v>@@</v>
          </cell>
          <cell r="AB100" t="str">
            <v>@@</v>
          </cell>
          <cell r="AC100" t="str">
            <v>@@</v>
          </cell>
          <cell r="AD100" t="str">
            <v>@@</v>
          </cell>
          <cell r="AL100" t="str">
            <v>@@</v>
          </cell>
        </row>
        <row r="101">
          <cell r="J101">
            <v>27800</v>
          </cell>
          <cell r="L101" t="str">
            <v>@@</v>
          </cell>
          <cell r="M101" t="str">
            <v>@@</v>
          </cell>
          <cell r="N101" t="str">
            <v>@@</v>
          </cell>
          <cell r="O101" t="str">
            <v>@@</v>
          </cell>
          <cell r="P101" t="str">
            <v>@@</v>
          </cell>
          <cell r="Q101" t="str">
            <v>@@</v>
          </cell>
          <cell r="R101" t="str">
            <v>@@</v>
          </cell>
          <cell r="S101" t="str">
            <v>@@</v>
          </cell>
          <cell r="AB101" t="str">
            <v>@@</v>
          </cell>
          <cell r="AC101" t="str">
            <v>@@</v>
          </cell>
          <cell r="AD101" t="str">
            <v>@@</v>
          </cell>
          <cell r="AL101" t="str">
            <v>@@</v>
          </cell>
        </row>
        <row r="102">
          <cell r="J102">
            <v>27900</v>
          </cell>
          <cell r="L102" t="str">
            <v>@@</v>
          </cell>
          <cell r="M102" t="str">
            <v>@@</v>
          </cell>
          <cell r="N102" t="str">
            <v>@@</v>
          </cell>
          <cell r="O102" t="str">
            <v>@@</v>
          </cell>
          <cell r="P102" t="str">
            <v>@@</v>
          </cell>
          <cell r="Q102" t="str">
            <v>@@</v>
          </cell>
          <cell r="R102" t="str">
            <v>@@</v>
          </cell>
          <cell r="S102" t="str">
            <v>@@</v>
          </cell>
          <cell r="AB102" t="str">
            <v>@@</v>
          </cell>
          <cell r="AC102" t="str">
            <v>@@</v>
          </cell>
          <cell r="AD102" t="str">
            <v>@@</v>
          </cell>
          <cell r="AL102" t="str">
            <v>@@</v>
          </cell>
        </row>
        <row r="103">
          <cell r="J103">
            <v>28000</v>
          </cell>
          <cell r="L103" t="str">
            <v>@@</v>
          </cell>
          <cell r="M103" t="str">
            <v>@@</v>
          </cell>
          <cell r="N103" t="str">
            <v>@@</v>
          </cell>
          <cell r="O103" t="str">
            <v>@@</v>
          </cell>
          <cell r="P103" t="str">
            <v>@@</v>
          </cell>
          <cell r="Q103" t="str">
            <v>@@</v>
          </cell>
          <cell r="R103" t="str">
            <v>@@</v>
          </cell>
          <cell r="S103" t="str">
            <v>@@</v>
          </cell>
          <cell r="AB103" t="str">
            <v>@@</v>
          </cell>
          <cell r="AC103" t="str">
            <v>@@</v>
          </cell>
          <cell r="AD103" t="str">
            <v>@@</v>
          </cell>
          <cell r="AL103" t="str">
            <v>@@</v>
          </cell>
        </row>
        <row r="104">
          <cell r="J104">
            <v>28100</v>
          </cell>
          <cell r="L104" t="str">
            <v>@@</v>
          </cell>
          <cell r="M104" t="str">
            <v>@@</v>
          </cell>
          <cell r="N104" t="str">
            <v>@@</v>
          </cell>
          <cell r="O104" t="str">
            <v>@@</v>
          </cell>
          <cell r="P104" t="str">
            <v>@@</v>
          </cell>
          <cell r="Q104" t="str">
            <v>@@</v>
          </cell>
          <cell r="R104" t="str">
            <v>@@</v>
          </cell>
          <cell r="S104" t="str">
            <v>@@</v>
          </cell>
          <cell r="AB104" t="str">
            <v>@@</v>
          </cell>
          <cell r="AC104" t="str">
            <v>@@</v>
          </cell>
          <cell r="AD104" t="str">
            <v>@@</v>
          </cell>
          <cell r="AL104" t="str">
            <v>@@</v>
          </cell>
        </row>
        <row r="105">
          <cell r="J105">
            <v>28200</v>
          </cell>
          <cell r="L105" t="str">
            <v>@@</v>
          </cell>
          <cell r="M105" t="str">
            <v>@@</v>
          </cell>
          <cell r="N105" t="str">
            <v>@@</v>
          </cell>
          <cell r="O105" t="str">
            <v>@@</v>
          </cell>
          <cell r="P105" t="str">
            <v>@@</v>
          </cell>
          <cell r="Q105" t="str">
            <v>@@</v>
          </cell>
          <cell r="R105" t="str">
            <v>@@</v>
          </cell>
          <cell r="S105" t="str">
            <v>@@</v>
          </cell>
          <cell r="AB105" t="str">
            <v>@@</v>
          </cell>
          <cell r="AC105" t="str">
            <v>@@</v>
          </cell>
          <cell r="AD105" t="str">
            <v>@@</v>
          </cell>
          <cell r="AL105" t="str">
            <v>@@</v>
          </cell>
        </row>
        <row r="106">
          <cell r="J106">
            <v>28300</v>
          </cell>
          <cell r="L106" t="str">
            <v>@@</v>
          </cell>
          <cell r="M106" t="str">
            <v>@@</v>
          </cell>
          <cell r="N106" t="str">
            <v>@@</v>
          </cell>
          <cell r="O106" t="str">
            <v>@@</v>
          </cell>
          <cell r="P106" t="str">
            <v>@@</v>
          </cell>
          <cell r="Q106" t="str">
            <v>@@</v>
          </cell>
          <cell r="R106" t="str">
            <v>@@</v>
          </cell>
          <cell r="S106" t="str">
            <v>@@</v>
          </cell>
          <cell r="AB106" t="str">
            <v>@@</v>
          </cell>
          <cell r="AC106" t="str">
            <v>@@</v>
          </cell>
          <cell r="AD106" t="str">
            <v>@@</v>
          </cell>
          <cell r="AL106" t="str">
            <v>@@</v>
          </cell>
        </row>
        <row r="107">
          <cell r="J107">
            <v>28400</v>
          </cell>
          <cell r="L107" t="str">
            <v>@@</v>
          </cell>
          <cell r="M107" t="str">
            <v>@@</v>
          </cell>
          <cell r="N107" t="str">
            <v>@@</v>
          </cell>
          <cell r="O107" t="str">
            <v>@@</v>
          </cell>
          <cell r="P107" t="str">
            <v>@@</v>
          </cell>
          <cell r="Q107" t="str">
            <v>@@</v>
          </cell>
          <cell r="R107" t="str">
            <v>@@</v>
          </cell>
          <cell r="S107" t="str">
            <v>@@</v>
          </cell>
          <cell r="AB107" t="str">
            <v>@@</v>
          </cell>
          <cell r="AC107">
            <v>-52.8</v>
          </cell>
          <cell r="AD107">
            <v>5.0999999999999996</v>
          </cell>
          <cell r="AF107">
            <v>-52.8</v>
          </cell>
          <cell r="AG107">
            <v>5.0999999999999996</v>
          </cell>
          <cell r="AL107" t="str">
            <v>@@</v>
          </cell>
        </row>
        <row r="108">
          <cell r="J108">
            <v>28500</v>
          </cell>
          <cell r="L108">
            <v>28500</v>
          </cell>
          <cell r="M108">
            <v>-52.8</v>
          </cell>
          <cell r="N108">
            <v>5.0999999999999996</v>
          </cell>
          <cell r="O108">
            <v>-32.200000000000003</v>
          </cell>
          <cell r="P108">
            <v>6.9</v>
          </cell>
          <cell r="Q108">
            <v>-13.8</v>
          </cell>
          <cell r="R108">
            <v>5.2</v>
          </cell>
          <cell r="S108">
            <v>1</v>
          </cell>
          <cell r="T108">
            <v>28500</v>
          </cell>
          <cell r="U108">
            <v>-52.8</v>
          </cell>
          <cell r="V108">
            <v>5.0999999999999996</v>
          </cell>
          <cell r="W108">
            <v>-32.200000000000003</v>
          </cell>
          <cell r="X108">
            <v>6.9</v>
          </cell>
          <cell r="Y108">
            <v>-13.8</v>
          </cell>
          <cell r="Z108">
            <v>5.2</v>
          </cell>
          <cell r="AA108">
            <v>1</v>
          </cell>
          <cell r="AB108">
            <v>28500</v>
          </cell>
          <cell r="AC108">
            <v>-32.200000000000003</v>
          </cell>
          <cell r="AD108">
            <v>6.9</v>
          </cell>
          <cell r="AE108">
            <v>28500</v>
          </cell>
          <cell r="AF108">
            <v>-32.200000000000003</v>
          </cell>
          <cell r="AG108">
            <v>6.9</v>
          </cell>
          <cell r="AL108">
            <v>17.2</v>
          </cell>
          <cell r="AM108">
            <v>17.2</v>
          </cell>
        </row>
        <row r="109">
          <cell r="J109">
            <v>28600</v>
          </cell>
          <cell r="L109" t="str">
            <v>@@</v>
          </cell>
          <cell r="M109" t="str">
            <v>@@</v>
          </cell>
          <cell r="N109" t="str">
            <v>@@</v>
          </cell>
          <cell r="O109" t="str">
            <v>@@</v>
          </cell>
          <cell r="P109" t="str">
            <v>@@</v>
          </cell>
          <cell r="Q109" t="str">
            <v>@@</v>
          </cell>
          <cell r="R109" t="str">
            <v>@@</v>
          </cell>
          <cell r="S109" t="str">
            <v>@@</v>
          </cell>
          <cell r="AB109" t="str">
            <v>@@</v>
          </cell>
          <cell r="AC109">
            <v>-13.8</v>
          </cell>
          <cell r="AD109">
            <v>5.2</v>
          </cell>
          <cell r="AF109">
            <v>-13.8</v>
          </cell>
          <cell r="AG109">
            <v>5.2</v>
          </cell>
          <cell r="AL109" t="str">
            <v>@@</v>
          </cell>
        </row>
        <row r="110">
          <cell r="J110">
            <v>28700</v>
          </cell>
          <cell r="L110" t="str">
            <v>@@</v>
          </cell>
          <cell r="M110" t="str">
            <v>@@</v>
          </cell>
          <cell r="N110" t="str">
            <v>@@</v>
          </cell>
          <cell r="O110" t="str">
            <v>@@</v>
          </cell>
          <cell r="P110" t="str">
            <v>@@</v>
          </cell>
          <cell r="Q110" t="str">
            <v>@@</v>
          </cell>
          <cell r="R110" t="str">
            <v>@@</v>
          </cell>
          <cell r="S110" t="str">
            <v>@@</v>
          </cell>
          <cell r="AB110" t="str">
            <v>@@</v>
          </cell>
          <cell r="AC110" t="str">
            <v>@@</v>
          </cell>
          <cell r="AD110" t="str">
            <v>@@</v>
          </cell>
          <cell r="AL110" t="str">
            <v>@@</v>
          </cell>
        </row>
        <row r="111">
          <cell r="J111">
            <v>28800</v>
          </cell>
          <cell r="L111" t="str">
            <v>@@</v>
          </cell>
          <cell r="M111" t="str">
            <v>@@</v>
          </cell>
          <cell r="N111" t="str">
            <v>@@</v>
          </cell>
          <cell r="O111" t="str">
            <v>@@</v>
          </cell>
          <cell r="P111" t="str">
            <v>@@</v>
          </cell>
          <cell r="Q111" t="str">
            <v>@@</v>
          </cell>
          <cell r="R111" t="str">
            <v>@@</v>
          </cell>
          <cell r="S111" t="str">
            <v>@@</v>
          </cell>
          <cell r="AB111" t="str">
            <v>@@</v>
          </cell>
          <cell r="AC111" t="str">
            <v>@@</v>
          </cell>
          <cell r="AD111" t="str">
            <v>@@</v>
          </cell>
          <cell r="AL111" t="str">
            <v>@@</v>
          </cell>
        </row>
        <row r="112">
          <cell r="J112">
            <v>28900</v>
          </cell>
          <cell r="L112" t="str">
            <v>@@</v>
          </cell>
          <cell r="M112" t="str">
            <v>@@</v>
          </cell>
          <cell r="N112" t="str">
            <v>@@</v>
          </cell>
          <cell r="O112" t="str">
            <v>@@</v>
          </cell>
          <cell r="P112" t="str">
            <v>@@</v>
          </cell>
          <cell r="Q112" t="str">
            <v>@@</v>
          </cell>
          <cell r="R112" t="str">
            <v>@@</v>
          </cell>
          <cell r="S112" t="str">
            <v>@@</v>
          </cell>
          <cell r="AB112" t="str">
            <v>@@</v>
          </cell>
          <cell r="AC112" t="str">
            <v>@@</v>
          </cell>
          <cell r="AD112" t="str">
            <v>@@</v>
          </cell>
          <cell r="AL112" t="str">
            <v>@@</v>
          </cell>
        </row>
        <row r="113">
          <cell r="J113">
            <v>29000</v>
          </cell>
          <cell r="L113" t="str">
            <v>@@</v>
          </cell>
          <cell r="M113" t="str">
            <v>@@</v>
          </cell>
          <cell r="N113" t="str">
            <v>@@</v>
          </cell>
          <cell r="O113" t="str">
            <v>@@</v>
          </cell>
          <cell r="P113" t="str">
            <v>@@</v>
          </cell>
          <cell r="Q113" t="str">
            <v>@@</v>
          </cell>
          <cell r="R113" t="str">
            <v>@@</v>
          </cell>
          <cell r="S113" t="str">
            <v>@@</v>
          </cell>
          <cell r="AB113" t="str">
            <v>@@</v>
          </cell>
          <cell r="AC113" t="str">
            <v>@@</v>
          </cell>
          <cell r="AD113" t="str">
            <v>@@</v>
          </cell>
          <cell r="AL113" t="str">
            <v>@@</v>
          </cell>
        </row>
        <row r="114">
          <cell r="J114">
            <v>29100</v>
          </cell>
          <cell r="L114" t="str">
            <v>@@</v>
          </cell>
          <cell r="M114" t="str">
            <v>@@</v>
          </cell>
          <cell r="N114" t="str">
            <v>@@</v>
          </cell>
          <cell r="O114" t="str">
            <v>@@</v>
          </cell>
          <cell r="P114" t="str">
            <v>@@</v>
          </cell>
          <cell r="Q114" t="str">
            <v>@@</v>
          </cell>
          <cell r="R114" t="str">
            <v>@@</v>
          </cell>
          <cell r="S114" t="str">
            <v>@@</v>
          </cell>
          <cell r="AB114" t="str">
            <v>@@</v>
          </cell>
          <cell r="AC114" t="str">
            <v>@@</v>
          </cell>
          <cell r="AD114" t="str">
            <v>@@</v>
          </cell>
          <cell r="AL114" t="str">
            <v>@@</v>
          </cell>
        </row>
        <row r="115">
          <cell r="J115">
            <v>29200</v>
          </cell>
          <cell r="L115" t="str">
            <v>@@</v>
          </cell>
          <cell r="M115" t="str">
            <v>@@</v>
          </cell>
          <cell r="N115" t="str">
            <v>@@</v>
          </cell>
          <cell r="O115" t="str">
            <v>@@</v>
          </cell>
          <cell r="P115" t="str">
            <v>@@</v>
          </cell>
          <cell r="Q115" t="str">
            <v>@@</v>
          </cell>
          <cell r="R115" t="str">
            <v>@@</v>
          </cell>
          <cell r="S115" t="str">
            <v>@@</v>
          </cell>
          <cell r="AB115" t="str">
            <v>@@</v>
          </cell>
          <cell r="AC115" t="str">
            <v>@@</v>
          </cell>
          <cell r="AD115" t="str">
            <v>@@</v>
          </cell>
          <cell r="AL115" t="str">
            <v>@@</v>
          </cell>
        </row>
        <row r="116">
          <cell r="J116">
            <v>29300</v>
          </cell>
          <cell r="L116" t="str">
            <v>@@</v>
          </cell>
          <cell r="M116" t="str">
            <v>@@</v>
          </cell>
          <cell r="N116" t="str">
            <v>@@</v>
          </cell>
          <cell r="O116" t="str">
            <v>@@</v>
          </cell>
          <cell r="P116" t="str">
            <v>@@</v>
          </cell>
          <cell r="Q116" t="str">
            <v>@@</v>
          </cell>
          <cell r="R116" t="str">
            <v>@@</v>
          </cell>
          <cell r="S116" t="str">
            <v>@@</v>
          </cell>
          <cell r="AB116" t="str">
            <v>@@</v>
          </cell>
          <cell r="AC116" t="str">
            <v>@@</v>
          </cell>
          <cell r="AD116" t="str">
            <v>@@</v>
          </cell>
          <cell r="AL116" t="str">
            <v>@@</v>
          </cell>
        </row>
        <row r="117">
          <cell r="J117">
            <v>29400</v>
          </cell>
          <cell r="L117" t="str">
            <v>@@</v>
          </cell>
          <cell r="M117" t="str">
            <v>@@</v>
          </cell>
          <cell r="N117" t="str">
            <v>@@</v>
          </cell>
          <cell r="O117" t="str">
            <v>@@</v>
          </cell>
          <cell r="P117" t="str">
            <v>@@</v>
          </cell>
          <cell r="Q117" t="str">
            <v>@@</v>
          </cell>
          <cell r="R117" t="str">
            <v>@@</v>
          </cell>
          <cell r="S117" t="str">
            <v>@@</v>
          </cell>
          <cell r="AB117" t="str">
            <v>@@</v>
          </cell>
          <cell r="AC117">
            <v>-11</v>
          </cell>
          <cell r="AD117">
            <v>4.5</v>
          </cell>
          <cell r="AF117">
            <v>-14.73</v>
          </cell>
          <cell r="AG117">
            <v>1</v>
          </cell>
          <cell r="AL117" t="str">
            <v>@@</v>
          </cell>
        </row>
        <row r="118">
          <cell r="J118">
            <v>29500</v>
          </cell>
          <cell r="L118">
            <v>29500</v>
          </cell>
          <cell r="M118">
            <v>-11</v>
          </cell>
          <cell r="N118">
            <v>4.5</v>
          </cell>
          <cell r="O118">
            <v>-8</v>
          </cell>
          <cell r="P118">
            <v>4</v>
          </cell>
          <cell r="Q118">
            <v>-18.399999999999999</v>
          </cell>
          <cell r="R118">
            <v>8.3000000000000007</v>
          </cell>
          <cell r="S118">
            <v>1</v>
          </cell>
          <cell r="T118">
            <v>29500</v>
          </cell>
          <cell r="U118">
            <v>-11</v>
          </cell>
          <cell r="V118">
            <v>4.5</v>
          </cell>
          <cell r="W118">
            <v>-8</v>
          </cell>
          <cell r="X118">
            <v>4</v>
          </cell>
          <cell r="Y118">
            <v>-18.399999999999999</v>
          </cell>
          <cell r="Z118">
            <v>8.3000000000000007</v>
          </cell>
          <cell r="AA118">
            <v>1</v>
          </cell>
          <cell r="AB118">
            <v>29500</v>
          </cell>
          <cell r="AC118">
            <v>-8</v>
          </cell>
          <cell r="AD118">
            <v>4</v>
          </cell>
          <cell r="AE118">
            <v>29500</v>
          </cell>
          <cell r="AF118">
            <v>-22.16</v>
          </cell>
          <cell r="AG118">
            <v>5.3</v>
          </cell>
          <cell r="AL118">
            <v>16.8</v>
          </cell>
          <cell r="AM118">
            <v>10.7</v>
          </cell>
        </row>
        <row r="119">
          <cell r="J119">
            <v>29600</v>
          </cell>
          <cell r="L119" t="str">
            <v>@@</v>
          </cell>
          <cell r="M119" t="str">
            <v>@@</v>
          </cell>
          <cell r="N119" t="str">
            <v>@@</v>
          </cell>
          <cell r="O119" t="str">
            <v>@@</v>
          </cell>
          <cell r="P119" t="str">
            <v>@@</v>
          </cell>
          <cell r="Q119" t="str">
            <v>@@</v>
          </cell>
          <cell r="R119" t="str">
            <v>@@</v>
          </cell>
          <cell r="S119" t="str">
            <v>@@</v>
          </cell>
          <cell r="AB119" t="str">
            <v>@@</v>
          </cell>
          <cell r="AC119">
            <v>-18.399999999999999</v>
          </cell>
          <cell r="AD119">
            <v>8.3000000000000007</v>
          </cell>
          <cell r="AF119">
            <v>-42.11</v>
          </cell>
          <cell r="AG119">
            <v>4.4000000000000004</v>
          </cell>
          <cell r="AL119" t="str">
            <v>@@</v>
          </cell>
        </row>
        <row r="120">
          <cell r="J120">
            <v>29700</v>
          </cell>
          <cell r="L120" t="str">
            <v>@@</v>
          </cell>
          <cell r="M120" t="str">
            <v>@@</v>
          </cell>
          <cell r="N120" t="str">
            <v>@@</v>
          </cell>
          <cell r="O120" t="str">
            <v>@@</v>
          </cell>
          <cell r="P120" t="str">
            <v>@@</v>
          </cell>
          <cell r="Q120" t="str">
            <v>@@</v>
          </cell>
          <cell r="R120" t="str">
            <v>@@</v>
          </cell>
          <cell r="S120" t="str">
            <v>@@</v>
          </cell>
          <cell r="AB120" t="str">
            <v>@@</v>
          </cell>
          <cell r="AC120" t="str">
            <v>@@</v>
          </cell>
          <cell r="AD120" t="str">
            <v>@@</v>
          </cell>
          <cell r="AL120" t="str">
            <v>@@</v>
          </cell>
        </row>
        <row r="121">
          <cell r="J121">
            <v>29800</v>
          </cell>
          <cell r="L121" t="str">
            <v>@@</v>
          </cell>
          <cell r="M121" t="str">
            <v>@@</v>
          </cell>
          <cell r="N121" t="str">
            <v>@@</v>
          </cell>
          <cell r="O121" t="str">
            <v>@@</v>
          </cell>
          <cell r="P121" t="str">
            <v>@@</v>
          </cell>
          <cell r="Q121" t="str">
            <v>@@</v>
          </cell>
          <cell r="R121" t="str">
            <v>@@</v>
          </cell>
          <cell r="S121" t="str">
            <v>@@</v>
          </cell>
          <cell r="AB121" t="str">
            <v>@@</v>
          </cell>
          <cell r="AC121" t="str">
            <v>@@</v>
          </cell>
          <cell r="AD121" t="str">
            <v>@@</v>
          </cell>
          <cell r="AL121" t="str">
            <v>@@</v>
          </cell>
        </row>
        <row r="122">
          <cell r="J122">
            <v>29900</v>
          </cell>
          <cell r="L122" t="str">
            <v>@@</v>
          </cell>
          <cell r="M122" t="str">
            <v>@@</v>
          </cell>
          <cell r="N122" t="str">
            <v>@@</v>
          </cell>
          <cell r="O122" t="str">
            <v>@@</v>
          </cell>
          <cell r="P122" t="str">
            <v>@@</v>
          </cell>
          <cell r="Q122" t="str">
            <v>@@</v>
          </cell>
          <cell r="R122" t="str">
            <v>@@</v>
          </cell>
          <cell r="S122" t="str">
            <v>@@</v>
          </cell>
          <cell r="AB122" t="str">
            <v>@@</v>
          </cell>
          <cell r="AC122" t="str">
            <v>@@</v>
          </cell>
          <cell r="AD122" t="str">
            <v>@@</v>
          </cell>
          <cell r="AL122" t="str">
            <v>@@</v>
          </cell>
        </row>
        <row r="123">
          <cell r="J123">
            <v>30000</v>
          </cell>
          <cell r="L123" t="str">
            <v>@@</v>
          </cell>
          <cell r="M123" t="str">
            <v>@@</v>
          </cell>
          <cell r="N123" t="str">
            <v>@@</v>
          </cell>
          <cell r="O123" t="str">
            <v>@@</v>
          </cell>
          <cell r="P123" t="str">
            <v>@@</v>
          </cell>
          <cell r="Q123" t="str">
            <v>@@</v>
          </cell>
          <cell r="R123" t="str">
            <v>@@</v>
          </cell>
          <cell r="S123" t="str">
            <v>@@</v>
          </cell>
          <cell r="AB123" t="str">
            <v>@@</v>
          </cell>
          <cell r="AC123" t="str">
            <v>@@</v>
          </cell>
          <cell r="AD123" t="str">
            <v>@@</v>
          </cell>
          <cell r="AL123" t="str">
            <v>@@</v>
          </cell>
        </row>
        <row r="124">
          <cell r="J124">
            <v>30100</v>
          </cell>
          <cell r="L124" t="str">
            <v>@@</v>
          </cell>
          <cell r="M124" t="str">
            <v>@@</v>
          </cell>
          <cell r="N124" t="str">
            <v>@@</v>
          </cell>
          <cell r="O124" t="str">
            <v>@@</v>
          </cell>
          <cell r="P124" t="str">
            <v>@@</v>
          </cell>
          <cell r="Q124" t="str">
            <v>@@</v>
          </cell>
          <cell r="R124" t="str">
            <v>@@</v>
          </cell>
          <cell r="S124" t="str">
            <v>@@</v>
          </cell>
          <cell r="AB124" t="str">
            <v>@@</v>
          </cell>
          <cell r="AC124" t="str">
            <v>@@</v>
          </cell>
          <cell r="AD124" t="str">
            <v>@@</v>
          </cell>
          <cell r="AL124" t="str">
            <v>@@</v>
          </cell>
        </row>
        <row r="125">
          <cell r="J125">
            <v>30200</v>
          </cell>
          <cell r="L125" t="str">
            <v>@@</v>
          </cell>
          <cell r="M125" t="str">
            <v>@@</v>
          </cell>
          <cell r="N125" t="str">
            <v>@@</v>
          </cell>
          <cell r="O125" t="str">
            <v>@@</v>
          </cell>
          <cell r="P125" t="str">
            <v>@@</v>
          </cell>
          <cell r="Q125" t="str">
            <v>@@</v>
          </cell>
          <cell r="R125" t="str">
            <v>@@</v>
          </cell>
          <cell r="S125" t="str">
            <v>@@</v>
          </cell>
          <cell r="AB125" t="str">
            <v>@@</v>
          </cell>
          <cell r="AC125" t="str">
            <v>@@</v>
          </cell>
          <cell r="AD125" t="str">
            <v>@@</v>
          </cell>
          <cell r="AL125" t="str">
            <v>@@</v>
          </cell>
        </row>
        <row r="126">
          <cell r="J126">
            <v>30300</v>
          </cell>
          <cell r="L126" t="str">
            <v>@@</v>
          </cell>
          <cell r="M126" t="str">
            <v>@@</v>
          </cell>
          <cell r="N126" t="str">
            <v>@@</v>
          </cell>
          <cell r="O126" t="str">
            <v>@@</v>
          </cell>
          <cell r="P126" t="str">
            <v>@@</v>
          </cell>
          <cell r="Q126" t="str">
            <v>@@</v>
          </cell>
          <cell r="R126" t="str">
            <v>@@</v>
          </cell>
          <cell r="S126" t="str">
            <v>@@</v>
          </cell>
          <cell r="AB126" t="str">
            <v>@@</v>
          </cell>
          <cell r="AC126" t="str">
            <v>@@</v>
          </cell>
          <cell r="AD126" t="str">
            <v>@@</v>
          </cell>
          <cell r="AL126" t="str">
            <v>@@</v>
          </cell>
        </row>
        <row r="127">
          <cell r="J127">
            <v>30400</v>
          </cell>
          <cell r="L127" t="str">
            <v>@@</v>
          </cell>
          <cell r="M127" t="str">
            <v>@@</v>
          </cell>
          <cell r="N127" t="str">
            <v>@@</v>
          </cell>
          <cell r="O127" t="str">
            <v>@@</v>
          </cell>
          <cell r="P127" t="str">
            <v>@@</v>
          </cell>
          <cell r="Q127" t="str">
            <v>@@</v>
          </cell>
          <cell r="R127" t="str">
            <v>@@</v>
          </cell>
          <cell r="S127" t="str">
            <v>@@</v>
          </cell>
          <cell r="AB127" t="str">
            <v>@@</v>
          </cell>
          <cell r="AC127">
            <v>-9.4</v>
          </cell>
          <cell r="AD127">
            <v>6.2</v>
          </cell>
          <cell r="AF127">
            <v>-9.4</v>
          </cell>
          <cell r="AG127">
            <v>6.2</v>
          </cell>
          <cell r="AL127" t="str">
            <v>@@</v>
          </cell>
        </row>
        <row r="128">
          <cell r="J128">
            <v>30500</v>
          </cell>
          <cell r="L128">
            <v>30500</v>
          </cell>
          <cell r="M128">
            <v>-9.4</v>
          </cell>
          <cell r="N128">
            <v>6.2</v>
          </cell>
          <cell r="O128">
            <v>-13.75</v>
          </cell>
          <cell r="P128">
            <v>4.3</v>
          </cell>
          <cell r="Q128">
            <v>-12.2</v>
          </cell>
          <cell r="R128">
            <v>7.3</v>
          </cell>
          <cell r="S128">
            <v>1</v>
          </cell>
          <cell r="T128">
            <v>30500</v>
          </cell>
          <cell r="U128">
            <v>-9.4</v>
          </cell>
          <cell r="V128">
            <v>6.2</v>
          </cell>
          <cell r="W128">
            <v>-13.75</v>
          </cell>
          <cell r="X128">
            <v>4.3</v>
          </cell>
          <cell r="Y128">
            <v>-12.2</v>
          </cell>
          <cell r="Z128">
            <v>7.3</v>
          </cell>
          <cell r="AA128">
            <v>1</v>
          </cell>
          <cell r="AB128">
            <v>30500</v>
          </cell>
          <cell r="AC128">
            <v>-13.75</v>
          </cell>
          <cell r="AD128">
            <v>4.3</v>
          </cell>
          <cell r="AE128">
            <v>30500</v>
          </cell>
          <cell r="AF128">
            <v>-13.75</v>
          </cell>
          <cell r="AG128">
            <v>4.3</v>
          </cell>
          <cell r="AL128">
            <v>17.8</v>
          </cell>
          <cell r="AM128">
            <v>17.8</v>
          </cell>
        </row>
        <row r="129">
          <cell r="J129">
            <v>30600</v>
          </cell>
          <cell r="L129" t="str">
            <v>@@</v>
          </cell>
          <cell r="M129" t="str">
            <v>@@</v>
          </cell>
          <cell r="N129" t="str">
            <v>@@</v>
          </cell>
          <cell r="O129" t="str">
            <v>@@</v>
          </cell>
          <cell r="P129" t="str">
            <v>@@</v>
          </cell>
          <cell r="Q129" t="str">
            <v>@@</v>
          </cell>
          <cell r="R129" t="str">
            <v>@@</v>
          </cell>
          <cell r="S129" t="str">
            <v>@@</v>
          </cell>
          <cell r="AB129" t="str">
            <v>@@</v>
          </cell>
          <cell r="AC129">
            <v>-12.2</v>
          </cell>
          <cell r="AD129">
            <v>7.3</v>
          </cell>
          <cell r="AF129">
            <v>-12.2</v>
          </cell>
          <cell r="AG129">
            <v>7.3</v>
          </cell>
          <cell r="AL129" t="str">
            <v>@@</v>
          </cell>
        </row>
        <row r="130">
          <cell r="J130">
            <v>30700</v>
          </cell>
          <cell r="L130" t="str">
            <v>@@</v>
          </cell>
          <cell r="M130" t="str">
            <v>@@</v>
          </cell>
          <cell r="N130" t="str">
            <v>@@</v>
          </cell>
          <cell r="O130" t="str">
            <v>@@</v>
          </cell>
          <cell r="P130" t="str">
            <v>@@</v>
          </cell>
          <cell r="Q130" t="str">
            <v>@@</v>
          </cell>
          <cell r="R130" t="str">
            <v>@@</v>
          </cell>
          <cell r="S130" t="str">
            <v>@@</v>
          </cell>
          <cell r="AB130" t="str">
            <v>@@</v>
          </cell>
          <cell r="AC130" t="str">
            <v>@@</v>
          </cell>
          <cell r="AD130" t="str">
            <v>@@</v>
          </cell>
          <cell r="AL130" t="str">
            <v>@@</v>
          </cell>
        </row>
        <row r="131">
          <cell r="J131">
            <v>30800</v>
          </cell>
          <cell r="L131" t="str">
            <v>@@</v>
          </cell>
          <cell r="M131" t="str">
            <v>@@</v>
          </cell>
          <cell r="N131" t="str">
            <v>@@</v>
          </cell>
          <cell r="O131" t="str">
            <v>@@</v>
          </cell>
          <cell r="P131" t="str">
            <v>@@</v>
          </cell>
          <cell r="Q131" t="str">
            <v>@@</v>
          </cell>
          <cell r="R131" t="str">
            <v>@@</v>
          </cell>
          <cell r="S131" t="str">
            <v>@@</v>
          </cell>
          <cell r="AB131" t="str">
            <v>@@</v>
          </cell>
          <cell r="AC131" t="str">
            <v>@@</v>
          </cell>
          <cell r="AD131" t="str">
            <v>@@</v>
          </cell>
          <cell r="AL131" t="str">
            <v>@@</v>
          </cell>
        </row>
        <row r="132">
          <cell r="J132">
            <v>30900</v>
          </cell>
          <cell r="L132" t="str">
            <v>@@</v>
          </cell>
          <cell r="M132" t="str">
            <v>@@</v>
          </cell>
          <cell r="N132" t="str">
            <v>@@</v>
          </cell>
          <cell r="O132" t="str">
            <v>@@</v>
          </cell>
          <cell r="P132" t="str">
            <v>@@</v>
          </cell>
          <cell r="Q132" t="str">
            <v>@@</v>
          </cell>
          <cell r="R132" t="str">
            <v>@@</v>
          </cell>
          <cell r="S132" t="str">
            <v>@@</v>
          </cell>
          <cell r="AB132" t="str">
            <v>@@</v>
          </cell>
          <cell r="AC132" t="str">
            <v>@@</v>
          </cell>
          <cell r="AD132" t="str">
            <v>@@</v>
          </cell>
          <cell r="AL132" t="str">
            <v>@@</v>
          </cell>
        </row>
        <row r="133">
          <cell r="J133">
            <v>31000</v>
          </cell>
          <cell r="L133" t="str">
            <v>@@</v>
          </cell>
          <cell r="M133" t="str">
            <v>@@</v>
          </cell>
          <cell r="N133" t="str">
            <v>@@</v>
          </cell>
          <cell r="O133" t="str">
            <v>@@</v>
          </cell>
          <cell r="P133" t="str">
            <v>@@</v>
          </cell>
          <cell r="Q133" t="str">
            <v>@@</v>
          </cell>
          <cell r="R133" t="str">
            <v>@@</v>
          </cell>
          <cell r="S133" t="str">
            <v>@@</v>
          </cell>
          <cell r="AB133" t="str">
            <v>@@</v>
          </cell>
          <cell r="AC133" t="str">
            <v>@@</v>
          </cell>
          <cell r="AD133" t="str">
            <v>@@</v>
          </cell>
          <cell r="AL133" t="str">
            <v>@@</v>
          </cell>
        </row>
        <row r="134">
          <cell r="J134">
            <v>31100</v>
          </cell>
          <cell r="L134" t="str">
            <v>@@</v>
          </cell>
          <cell r="M134" t="str">
            <v>@@</v>
          </cell>
          <cell r="N134" t="str">
            <v>@@</v>
          </cell>
          <cell r="O134" t="str">
            <v>@@</v>
          </cell>
          <cell r="P134" t="str">
            <v>@@</v>
          </cell>
          <cell r="Q134" t="str">
            <v>@@</v>
          </cell>
          <cell r="R134" t="str">
            <v>@@</v>
          </cell>
          <cell r="S134" t="str">
            <v>@@</v>
          </cell>
          <cell r="AB134" t="str">
            <v>@@</v>
          </cell>
          <cell r="AC134" t="str">
            <v>@@</v>
          </cell>
          <cell r="AD134" t="str">
            <v>@@</v>
          </cell>
          <cell r="AL134" t="str">
            <v>@@</v>
          </cell>
        </row>
        <row r="135">
          <cell r="J135">
            <v>31200</v>
          </cell>
          <cell r="L135" t="str">
            <v>@@</v>
          </cell>
          <cell r="M135" t="str">
            <v>@@</v>
          </cell>
          <cell r="N135" t="str">
            <v>@@</v>
          </cell>
          <cell r="O135" t="str">
            <v>@@</v>
          </cell>
          <cell r="P135" t="str">
            <v>@@</v>
          </cell>
          <cell r="Q135" t="str">
            <v>@@</v>
          </cell>
          <cell r="R135" t="str">
            <v>@@</v>
          </cell>
          <cell r="S135" t="str">
            <v>@@</v>
          </cell>
          <cell r="AB135" t="str">
            <v>@@</v>
          </cell>
          <cell r="AC135" t="str">
            <v>@@</v>
          </cell>
          <cell r="AD135" t="str">
            <v>@@</v>
          </cell>
          <cell r="AL135" t="str">
            <v>@@</v>
          </cell>
        </row>
        <row r="136">
          <cell r="J136">
            <v>31300</v>
          </cell>
          <cell r="L136" t="str">
            <v>@@</v>
          </cell>
          <cell r="M136" t="str">
            <v>@@</v>
          </cell>
          <cell r="N136" t="str">
            <v>@@</v>
          </cell>
          <cell r="O136" t="str">
            <v>@@</v>
          </cell>
          <cell r="P136" t="str">
            <v>@@</v>
          </cell>
          <cell r="Q136" t="str">
            <v>@@</v>
          </cell>
          <cell r="R136" t="str">
            <v>@@</v>
          </cell>
          <cell r="S136" t="str">
            <v>@@</v>
          </cell>
          <cell r="AB136" t="str">
            <v>@@</v>
          </cell>
          <cell r="AC136" t="str">
            <v>@@</v>
          </cell>
          <cell r="AD136" t="str">
            <v>@@</v>
          </cell>
          <cell r="AL136" t="str">
            <v>@@</v>
          </cell>
        </row>
        <row r="137">
          <cell r="J137">
            <v>31400</v>
          </cell>
          <cell r="L137" t="str">
            <v>@@</v>
          </cell>
          <cell r="M137" t="str">
            <v>@@</v>
          </cell>
          <cell r="N137" t="str">
            <v>@@</v>
          </cell>
          <cell r="O137" t="str">
            <v>@@</v>
          </cell>
          <cell r="P137" t="str">
            <v>@@</v>
          </cell>
          <cell r="Q137" t="str">
            <v>@@</v>
          </cell>
          <cell r="R137" t="str">
            <v>@@</v>
          </cell>
          <cell r="S137" t="str">
            <v>@@</v>
          </cell>
          <cell r="AB137" t="str">
            <v>@@</v>
          </cell>
          <cell r="AC137" t="str">
            <v>@@</v>
          </cell>
          <cell r="AD137" t="str">
            <v>@@</v>
          </cell>
          <cell r="AL137" t="str">
            <v>@@</v>
          </cell>
        </row>
        <row r="138">
          <cell r="J138">
            <v>31500</v>
          </cell>
          <cell r="L138" t="str">
            <v>@@</v>
          </cell>
          <cell r="M138" t="str">
            <v>@@</v>
          </cell>
          <cell r="N138" t="str">
            <v>@@</v>
          </cell>
          <cell r="O138" t="str">
            <v>@@</v>
          </cell>
          <cell r="P138" t="str">
            <v>@@</v>
          </cell>
          <cell r="Q138" t="str">
            <v>@@</v>
          </cell>
          <cell r="R138" t="str">
            <v>@@</v>
          </cell>
          <cell r="S138" t="str">
            <v>@@</v>
          </cell>
          <cell r="AB138" t="str">
            <v>@@</v>
          </cell>
          <cell r="AC138" t="str">
            <v>@@</v>
          </cell>
          <cell r="AD138" t="str">
            <v>@@</v>
          </cell>
          <cell r="AL138" t="str">
            <v>@@</v>
          </cell>
        </row>
        <row r="139">
          <cell r="J139">
            <v>31600</v>
          </cell>
          <cell r="L139" t="str">
            <v>@@</v>
          </cell>
          <cell r="M139" t="str">
            <v>@@</v>
          </cell>
          <cell r="N139" t="str">
            <v>@@</v>
          </cell>
          <cell r="O139" t="str">
            <v>@@</v>
          </cell>
          <cell r="P139" t="str">
            <v>@@</v>
          </cell>
          <cell r="Q139" t="str">
            <v>@@</v>
          </cell>
          <cell r="R139" t="str">
            <v>@@</v>
          </cell>
          <cell r="S139" t="str">
            <v>@@</v>
          </cell>
          <cell r="AB139" t="str">
            <v>@@</v>
          </cell>
          <cell r="AC139" t="str">
            <v>@@</v>
          </cell>
          <cell r="AD139" t="str">
            <v>@@</v>
          </cell>
          <cell r="AL139" t="str">
            <v>@@</v>
          </cell>
        </row>
        <row r="140">
          <cell r="J140">
            <v>31700</v>
          </cell>
          <cell r="L140" t="str">
            <v>@@</v>
          </cell>
          <cell r="M140" t="str">
            <v>@@</v>
          </cell>
          <cell r="N140" t="str">
            <v>@@</v>
          </cell>
          <cell r="O140" t="str">
            <v>@@</v>
          </cell>
          <cell r="P140" t="str">
            <v>@@</v>
          </cell>
          <cell r="Q140" t="str">
            <v>@@</v>
          </cell>
          <cell r="R140" t="str">
            <v>@@</v>
          </cell>
          <cell r="S140" t="str">
            <v>@@</v>
          </cell>
          <cell r="AB140" t="str">
            <v>@@</v>
          </cell>
          <cell r="AC140" t="str">
            <v>@@</v>
          </cell>
          <cell r="AD140" t="str">
            <v>@@</v>
          </cell>
          <cell r="AL140" t="str">
            <v>@@</v>
          </cell>
        </row>
        <row r="141">
          <cell r="J141">
            <v>31800</v>
          </cell>
          <cell r="L141" t="str">
            <v>@@</v>
          </cell>
          <cell r="M141" t="str">
            <v>@@</v>
          </cell>
          <cell r="N141" t="str">
            <v>@@</v>
          </cell>
          <cell r="O141" t="str">
            <v>@@</v>
          </cell>
          <cell r="P141" t="str">
            <v>@@</v>
          </cell>
          <cell r="Q141" t="str">
            <v>@@</v>
          </cell>
          <cell r="R141" t="str">
            <v>@@</v>
          </cell>
          <cell r="S141" t="str">
            <v>@@</v>
          </cell>
          <cell r="AB141" t="str">
            <v>@@</v>
          </cell>
          <cell r="AC141" t="str">
            <v>@@</v>
          </cell>
          <cell r="AD141" t="str">
            <v>@@</v>
          </cell>
          <cell r="AL141" t="str">
            <v>@@</v>
          </cell>
        </row>
        <row r="142">
          <cell r="J142">
            <v>31900</v>
          </cell>
          <cell r="L142" t="str">
            <v>@@</v>
          </cell>
          <cell r="M142" t="str">
            <v>@@</v>
          </cell>
          <cell r="N142" t="str">
            <v>@@</v>
          </cell>
          <cell r="O142" t="str">
            <v>@@</v>
          </cell>
          <cell r="P142" t="str">
            <v>@@</v>
          </cell>
          <cell r="Q142" t="str">
            <v>@@</v>
          </cell>
          <cell r="R142" t="str">
            <v>@@</v>
          </cell>
          <cell r="S142" t="str">
            <v>@@</v>
          </cell>
          <cell r="AB142" t="str">
            <v>@@</v>
          </cell>
          <cell r="AC142" t="str">
            <v>@@</v>
          </cell>
          <cell r="AD142" t="str">
            <v>@@</v>
          </cell>
          <cell r="AL142" t="str">
            <v>@@</v>
          </cell>
        </row>
        <row r="143">
          <cell r="J143">
            <v>32000</v>
          </cell>
          <cell r="L143" t="str">
            <v>@@</v>
          </cell>
          <cell r="M143" t="str">
            <v>@@</v>
          </cell>
          <cell r="N143" t="str">
            <v>@@</v>
          </cell>
          <cell r="O143" t="str">
            <v>@@</v>
          </cell>
          <cell r="P143" t="str">
            <v>@@</v>
          </cell>
          <cell r="Q143" t="str">
            <v>@@</v>
          </cell>
          <cell r="R143" t="str">
            <v>@@</v>
          </cell>
          <cell r="S143" t="str">
            <v>@@</v>
          </cell>
          <cell r="AB143" t="str">
            <v>@@</v>
          </cell>
          <cell r="AC143" t="str">
            <v>@@</v>
          </cell>
          <cell r="AD143" t="str">
            <v>@@</v>
          </cell>
          <cell r="AL143" t="str">
            <v>@@</v>
          </cell>
        </row>
        <row r="144">
          <cell r="J144">
            <v>32100</v>
          </cell>
          <cell r="L144" t="str">
            <v>@@</v>
          </cell>
          <cell r="M144" t="str">
            <v>@@</v>
          </cell>
          <cell r="N144" t="str">
            <v>@@</v>
          </cell>
          <cell r="O144" t="str">
            <v>@@</v>
          </cell>
          <cell r="P144" t="str">
            <v>@@</v>
          </cell>
          <cell r="Q144" t="str">
            <v>@@</v>
          </cell>
          <cell r="R144" t="str">
            <v>@@</v>
          </cell>
          <cell r="S144" t="str">
            <v>@@</v>
          </cell>
          <cell r="AB144" t="str">
            <v>@@</v>
          </cell>
          <cell r="AC144" t="str">
            <v>@@</v>
          </cell>
          <cell r="AD144" t="str">
            <v>@@</v>
          </cell>
          <cell r="AL144" t="str">
            <v>@@</v>
          </cell>
        </row>
        <row r="145">
          <cell r="J145">
            <v>32200</v>
          </cell>
          <cell r="L145" t="str">
            <v>@@</v>
          </cell>
          <cell r="M145" t="str">
            <v>@@</v>
          </cell>
          <cell r="N145" t="str">
            <v>@@</v>
          </cell>
          <cell r="O145" t="str">
            <v>@@</v>
          </cell>
          <cell r="P145" t="str">
            <v>@@</v>
          </cell>
          <cell r="Q145" t="str">
            <v>@@</v>
          </cell>
          <cell r="R145" t="str">
            <v>@@</v>
          </cell>
          <cell r="S145" t="str">
            <v>@@</v>
          </cell>
          <cell r="AB145" t="str">
            <v>@@</v>
          </cell>
          <cell r="AC145" t="str">
            <v>@@</v>
          </cell>
          <cell r="AD145" t="str">
            <v>@@</v>
          </cell>
          <cell r="AL145" t="str">
            <v>@@</v>
          </cell>
        </row>
        <row r="146">
          <cell r="J146">
            <v>32300</v>
          </cell>
          <cell r="L146" t="str">
            <v>@@</v>
          </cell>
          <cell r="M146" t="str">
            <v>@@</v>
          </cell>
          <cell r="N146" t="str">
            <v>@@</v>
          </cell>
          <cell r="O146" t="str">
            <v>@@</v>
          </cell>
          <cell r="P146" t="str">
            <v>@@</v>
          </cell>
          <cell r="Q146" t="str">
            <v>@@</v>
          </cell>
          <cell r="R146" t="str">
            <v>@@</v>
          </cell>
          <cell r="S146" t="str">
            <v>@@</v>
          </cell>
          <cell r="AB146" t="str">
            <v>@@</v>
          </cell>
          <cell r="AC146" t="str">
            <v>@@</v>
          </cell>
          <cell r="AD146" t="str">
            <v>@@</v>
          </cell>
          <cell r="AL146" t="str">
            <v>@@</v>
          </cell>
        </row>
        <row r="147">
          <cell r="J147">
            <v>32400</v>
          </cell>
          <cell r="L147" t="str">
            <v>@@</v>
          </cell>
          <cell r="M147" t="str">
            <v>@@</v>
          </cell>
          <cell r="N147" t="str">
            <v>@@</v>
          </cell>
          <cell r="O147" t="str">
            <v>@@</v>
          </cell>
          <cell r="P147" t="str">
            <v>@@</v>
          </cell>
          <cell r="Q147" t="str">
            <v>@@</v>
          </cell>
          <cell r="R147" t="str">
            <v>@@</v>
          </cell>
          <cell r="S147" t="str">
            <v>@@</v>
          </cell>
          <cell r="AB147" t="str">
            <v>@@</v>
          </cell>
          <cell r="AC147" t="str">
            <v>@@</v>
          </cell>
          <cell r="AD147" t="str">
            <v>@@</v>
          </cell>
          <cell r="AL147" t="str">
            <v>@@</v>
          </cell>
        </row>
        <row r="148">
          <cell r="J148">
            <v>32500</v>
          </cell>
          <cell r="L148" t="str">
            <v>@@</v>
          </cell>
          <cell r="M148" t="str">
            <v>@@</v>
          </cell>
          <cell r="N148" t="str">
            <v>@@</v>
          </cell>
          <cell r="O148" t="str">
            <v>@@</v>
          </cell>
          <cell r="P148" t="str">
            <v>@@</v>
          </cell>
          <cell r="Q148" t="str">
            <v>@@</v>
          </cell>
          <cell r="R148" t="str">
            <v>@@</v>
          </cell>
          <cell r="S148" t="str">
            <v>@@</v>
          </cell>
          <cell r="AB148" t="str">
            <v>@@</v>
          </cell>
          <cell r="AC148" t="str">
            <v>@@</v>
          </cell>
          <cell r="AD148" t="str">
            <v>@@</v>
          </cell>
          <cell r="AL148" t="str">
            <v>@@</v>
          </cell>
        </row>
        <row r="149">
          <cell r="J149">
            <v>32600</v>
          </cell>
          <cell r="L149" t="str">
            <v>@@</v>
          </cell>
          <cell r="M149" t="str">
            <v>@@</v>
          </cell>
          <cell r="N149" t="str">
            <v>@@</v>
          </cell>
          <cell r="O149" t="str">
            <v>@@</v>
          </cell>
          <cell r="P149" t="str">
            <v>@@</v>
          </cell>
          <cell r="Q149" t="str">
            <v>@@</v>
          </cell>
          <cell r="R149" t="str">
            <v>@@</v>
          </cell>
          <cell r="S149" t="str">
            <v>@@</v>
          </cell>
          <cell r="AB149" t="str">
            <v>@@</v>
          </cell>
          <cell r="AC149" t="str">
            <v>@@</v>
          </cell>
          <cell r="AD149" t="str">
            <v>@@</v>
          </cell>
          <cell r="AL149" t="str">
            <v>@@</v>
          </cell>
        </row>
        <row r="150">
          <cell r="J150">
            <v>32700</v>
          </cell>
          <cell r="L150" t="str">
            <v>@@</v>
          </cell>
          <cell r="M150" t="str">
            <v>@@</v>
          </cell>
          <cell r="N150" t="str">
            <v>@@</v>
          </cell>
          <cell r="O150" t="str">
            <v>@@</v>
          </cell>
          <cell r="P150" t="str">
            <v>@@</v>
          </cell>
          <cell r="Q150" t="str">
            <v>@@</v>
          </cell>
          <cell r="R150" t="str">
            <v>@@</v>
          </cell>
          <cell r="S150" t="str">
            <v>@@</v>
          </cell>
          <cell r="AB150" t="str">
            <v>@@</v>
          </cell>
          <cell r="AC150" t="str">
            <v>@@</v>
          </cell>
          <cell r="AD150" t="str">
            <v>@@</v>
          </cell>
          <cell r="AL150" t="str">
            <v>@@</v>
          </cell>
        </row>
        <row r="151">
          <cell r="J151">
            <v>32800</v>
          </cell>
          <cell r="L151" t="str">
            <v>@@</v>
          </cell>
          <cell r="M151" t="str">
            <v>@@</v>
          </cell>
          <cell r="N151" t="str">
            <v>@@</v>
          </cell>
          <cell r="O151" t="str">
            <v>@@</v>
          </cell>
          <cell r="P151" t="str">
            <v>@@</v>
          </cell>
          <cell r="Q151" t="str">
            <v>@@</v>
          </cell>
          <cell r="R151" t="str">
            <v>@@</v>
          </cell>
          <cell r="S151" t="str">
            <v>@@</v>
          </cell>
          <cell r="AB151" t="str">
            <v>@@</v>
          </cell>
          <cell r="AC151" t="str">
            <v>@@</v>
          </cell>
          <cell r="AD151" t="str">
            <v>@@</v>
          </cell>
          <cell r="AL151" t="str">
            <v>@@</v>
          </cell>
        </row>
        <row r="152">
          <cell r="J152">
            <v>32900</v>
          </cell>
          <cell r="L152" t="str">
            <v>@@</v>
          </cell>
          <cell r="M152" t="str">
            <v>@@</v>
          </cell>
          <cell r="N152" t="str">
            <v>@@</v>
          </cell>
          <cell r="O152" t="str">
            <v>@@</v>
          </cell>
          <cell r="P152" t="str">
            <v>@@</v>
          </cell>
          <cell r="Q152" t="str">
            <v>@@</v>
          </cell>
          <cell r="R152" t="str">
            <v>@@</v>
          </cell>
          <cell r="S152" t="str">
            <v>@@</v>
          </cell>
          <cell r="AB152" t="str">
            <v>@@</v>
          </cell>
          <cell r="AC152" t="str">
            <v>@@</v>
          </cell>
          <cell r="AD152" t="str">
            <v>@@</v>
          </cell>
          <cell r="AL152" t="str">
            <v>@@</v>
          </cell>
        </row>
        <row r="153">
          <cell r="J153">
            <v>33000</v>
          </cell>
          <cell r="L153" t="str">
            <v>@@</v>
          </cell>
          <cell r="M153" t="str">
            <v>@@</v>
          </cell>
          <cell r="N153" t="str">
            <v>@@</v>
          </cell>
          <cell r="O153" t="str">
            <v>@@</v>
          </cell>
          <cell r="P153" t="str">
            <v>@@</v>
          </cell>
          <cell r="Q153" t="str">
            <v>@@</v>
          </cell>
          <cell r="R153" t="str">
            <v>@@</v>
          </cell>
          <cell r="S153" t="str">
            <v>@@</v>
          </cell>
          <cell r="AB153" t="str">
            <v>@@</v>
          </cell>
          <cell r="AC153" t="str">
            <v>@@</v>
          </cell>
          <cell r="AD153" t="str">
            <v>@@</v>
          </cell>
          <cell r="AL153" t="str">
            <v>@@</v>
          </cell>
        </row>
        <row r="154">
          <cell r="J154">
            <v>33100</v>
          </cell>
          <cell r="L154" t="str">
            <v>@@</v>
          </cell>
          <cell r="M154" t="str">
            <v>@@</v>
          </cell>
          <cell r="N154" t="str">
            <v>@@</v>
          </cell>
          <cell r="O154" t="str">
            <v>@@</v>
          </cell>
          <cell r="P154" t="str">
            <v>@@</v>
          </cell>
          <cell r="Q154" t="str">
            <v>@@</v>
          </cell>
          <cell r="R154" t="str">
            <v>@@</v>
          </cell>
          <cell r="S154" t="str">
            <v>@@</v>
          </cell>
          <cell r="AB154" t="str">
            <v>@@</v>
          </cell>
          <cell r="AC154" t="str">
            <v>@@</v>
          </cell>
          <cell r="AD154" t="str">
            <v>@@</v>
          </cell>
          <cell r="AL154" t="str">
            <v>@@</v>
          </cell>
        </row>
        <row r="155">
          <cell r="J155">
            <v>33200</v>
          </cell>
          <cell r="L155" t="str">
            <v>@@</v>
          </cell>
          <cell r="M155" t="str">
            <v>@@</v>
          </cell>
          <cell r="N155" t="str">
            <v>@@</v>
          </cell>
          <cell r="O155" t="str">
            <v>@@</v>
          </cell>
          <cell r="P155" t="str">
            <v>@@</v>
          </cell>
          <cell r="Q155" t="str">
            <v>@@</v>
          </cell>
          <cell r="R155" t="str">
            <v>@@</v>
          </cell>
          <cell r="S155" t="str">
            <v>@@</v>
          </cell>
          <cell r="AB155" t="str">
            <v>@@</v>
          </cell>
          <cell r="AC155" t="str">
            <v>@@</v>
          </cell>
          <cell r="AD155" t="str">
            <v>@@</v>
          </cell>
          <cell r="AL155" t="str">
            <v>@@</v>
          </cell>
        </row>
        <row r="156">
          <cell r="J156">
            <v>33300</v>
          </cell>
          <cell r="L156" t="str">
            <v>@@</v>
          </cell>
          <cell r="M156" t="str">
            <v>@@</v>
          </cell>
          <cell r="N156" t="str">
            <v>@@</v>
          </cell>
          <cell r="O156" t="str">
            <v>@@</v>
          </cell>
          <cell r="P156" t="str">
            <v>@@</v>
          </cell>
          <cell r="Q156" t="str">
            <v>@@</v>
          </cell>
          <cell r="R156" t="str">
            <v>@@</v>
          </cell>
          <cell r="S156" t="str">
            <v>@@</v>
          </cell>
          <cell r="AB156" t="str">
            <v>@@</v>
          </cell>
          <cell r="AC156" t="str">
            <v>@@</v>
          </cell>
          <cell r="AD156" t="str">
            <v>@@</v>
          </cell>
          <cell r="AL156" t="str">
            <v>@@</v>
          </cell>
        </row>
        <row r="157">
          <cell r="J157">
            <v>33400</v>
          </cell>
          <cell r="L157" t="str">
            <v>@@</v>
          </cell>
          <cell r="M157" t="str">
            <v>@@</v>
          </cell>
          <cell r="N157" t="str">
            <v>@@</v>
          </cell>
          <cell r="O157" t="str">
            <v>@@</v>
          </cell>
          <cell r="P157" t="str">
            <v>@@</v>
          </cell>
          <cell r="Q157" t="str">
            <v>@@</v>
          </cell>
          <cell r="R157" t="str">
            <v>@@</v>
          </cell>
          <cell r="S157" t="str">
            <v>@@</v>
          </cell>
          <cell r="AB157" t="str">
            <v>@@</v>
          </cell>
          <cell r="AC157" t="str">
            <v>@@</v>
          </cell>
          <cell r="AD157" t="str">
            <v>@@</v>
          </cell>
          <cell r="AL157" t="str">
            <v>@@</v>
          </cell>
        </row>
        <row r="158">
          <cell r="J158">
            <v>33500</v>
          </cell>
          <cell r="L158" t="str">
            <v>@@</v>
          </cell>
          <cell r="M158" t="str">
            <v>@@</v>
          </cell>
          <cell r="N158" t="str">
            <v>@@</v>
          </cell>
          <cell r="O158" t="str">
            <v>@@</v>
          </cell>
          <cell r="P158" t="str">
            <v>@@</v>
          </cell>
          <cell r="Q158" t="str">
            <v>@@</v>
          </cell>
          <cell r="R158" t="str">
            <v>@@</v>
          </cell>
          <cell r="S158" t="str">
            <v>@@</v>
          </cell>
          <cell r="AB158" t="str">
            <v>@@</v>
          </cell>
          <cell r="AC158" t="str">
            <v>@@</v>
          </cell>
          <cell r="AD158" t="str">
            <v>@@</v>
          </cell>
          <cell r="AL158" t="str">
            <v>@@</v>
          </cell>
        </row>
        <row r="159">
          <cell r="J159">
            <v>33600</v>
          </cell>
          <cell r="L159" t="str">
            <v>@@</v>
          </cell>
          <cell r="M159" t="str">
            <v>@@</v>
          </cell>
          <cell r="N159" t="str">
            <v>@@</v>
          </cell>
          <cell r="O159" t="str">
            <v>@@</v>
          </cell>
          <cell r="P159" t="str">
            <v>@@</v>
          </cell>
          <cell r="Q159" t="str">
            <v>@@</v>
          </cell>
          <cell r="R159" t="str">
            <v>@@</v>
          </cell>
          <cell r="S159" t="str">
            <v>@@</v>
          </cell>
          <cell r="AB159" t="str">
            <v>@@</v>
          </cell>
          <cell r="AC159" t="str">
            <v>@@</v>
          </cell>
          <cell r="AD159" t="str">
            <v>@@</v>
          </cell>
          <cell r="AL159" t="str">
            <v>@@</v>
          </cell>
        </row>
        <row r="160">
          <cell r="J160">
            <v>33700</v>
          </cell>
          <cell r="L160" t="str">
            <v>@@</v>
          </cell>
          <cell r="M160" t="str">
            <v>@@</v>
          </cell>
          <cell r="N160" t="str">
            <v>@@</v>
          </cell>
          <cell r="O160" t="str">
            <v>@@</v>
          </cell>
          <cell r="P160" t="str">
            <v>@@</v>
          </cell>
          <cell r="Q160" t="str">
            <v>@@</v>
          </cell>
          <cell r="R160" t="str">
            <v>@@</v>
          </cell>
          <cell r="S160" t="str">
            <v>@@</v>
          </cell>
          <cell r="AB160" t="str">
            <v>@@</v>
          </cell>
          <cell r="AC160" t="str">
            <v>@@</v>
          </cell>
          <cell r="AD160" t="str">
            <v>@@</v>
          </cell>
          <cell r="AL160" t="str">
            <v>@@</v>
          </cell>
        </row>
        <row r="161">
          <cell r="J161">
            <v>33800</v>
          </cell>
          <cell r="L161" t="str">
            <v>@@</v>
          </cell>
          <cell r="M161" t="str">
            <v>@@</v>
          </cell>
          <cell r="N161" t="str">
            <v>@@</v>
          </cell>
          <cell r="O161" t="str">
            <v>@@</v>
          </cell>
          <cell r="P161" t="str">
            <v>@@</v>
          </cell>
          <cell r="Q161" t="str">
            <v>@@</v>
          </cell>
          <cell r="R161" t="str">
            <v>@@</v>
          </cell>
          <cell r="S161" t="str">
            <v>@@</v>
          </cell>
          <cell r="AB161" t="str">
            <v>@@</v>
          </cell>
          <cell r="AC161" t="str">
            <v>@@</v>
          </cell>
          <cell r="AD161" t="str">
            <v>@@</v>
          </cell>
          <cell r="AL161" t="str">
            <v>@@</v>
          </cell>
        </row>
        <row r="162">
          <cell r="J162">
            <v>33900</v>
          </cell>
          <cell r="L162" t="str">
            <v>@@</v>
          </cell>
          <cell r="M162" t="str">
            <v>@@</v>
          </cell>
          <cell r="N162" t="str">
            <v>@@</v>
          </cell>
          <cell r="O162" t="str">
            <v>@@</v>
          </cell>
          <cell r="P162" t="str">
            <v>@@</v>
          </cell>
          <cell r="Q162" t="str">
            <v>@@</v>
          </cell>
          <cell r="R162" t="str">
            <v>@@</v>
          </cell>
          <cell r="S162" t="str">
            <v>@@</v>
          </cell>
          <cell r="AB162" t="str">
            <v>@@</v>
          </cell>
          <cell r="AC162" t="str">
            <v>@@</v>
          </cell>
          <cell r="AD162" t="str">
            <v>@@</v>
          </cell>
          <cell r="AL162" t="str">
            <v>@@</v>
          </cell>
        </row>
        <row r="163">
          <cell r="J163">
            <v>34000</v>
          </cell>
          <cell r="L163" t="str">
            <v>@@</v>
          </cell>
          <cell r="M163" t="str">
            <v>@@</v>
          </cell>
          <cell r="N163" t="str">
            <v>@@</v>
          </cell>
          <cell r="O163" t="str">
            <v>@@</v>
          </cell>
          <cell r="P163" t="str">
            <v>@@</v>
          </cell>
          <cell r="Q163" t="str">
            <v>@@</v>
          </cell>
          <cell r="R163" t="str">
            <v>@@</v>
          </cell>
          <cell r="S163" t="str">
            <v>@@</v>
          </cell>
          <cell r="AB163" t="str">
            <v>@@</v>
          </cell>
          <cell r="AC163" t="str">
            <v>@@</v>
          </cell>
          <cell r="AD163" t="str">
            <v>@@</v>
          </cell>
          <cell r="AL163" t="str">
            <v>@@</v>
          </cell>
        </row>
        <row r="164">
          <cell r="J164">
            <v>34100</v>
          </cell>
          <cell r="L164" t="str">
            <v>@@</v>
          </cell>
          <cell r="M164" t="str">
            <v>@@</v>
          </cell>
          <cell r="N164" t="str">
            <v>@@</v>
          </cell>
          <cell r="O164" t="str">
            <v>@@</v>
          </cell>
          <cell r="P164" t="str">
            <v>@@</v>
          </cell>
          <cell r="Q164" t="str">
            <v>@@</v>
          </cell>
          <cell r="R164" t="str">
            <v>@@</v>
          </cell>
          <cell r="S164" t="str">
            <v>@@</v>
          </cell>
          <cell r="AB164" t="str">
            <v>@@</v>
          </cell>
          <cell r="AC164" t="str">
            <v>@@</v>
          </cell>
          <cell r="AD164" t="str">
            <v>@@</v>
          </cell>
          <cell r="AL164" t="str">
            <v>@@</v>
          </cell>
        </row>
        <row r="165">
          <cell r="J165">
            <v>34200</v>
          </cell>
          <cell r="L165" t="str">
            <v>@@</v>
          </cell>
          <cell r="M165" t="str">
            <v>@@</v>
          </cell>
          <cell r="N165" t="str">
            <v>@@</v>
          </cell>
          <cell r="O165" t="str">
            <v>@@</v>
          </cell>
          <cell r="P165" t="str">
            <v>@@</v>
          </cell>
          <cell r="Q165" t="str">
            <v>@@</v>
          </cell>
          <cell r="R165" t="str">
            <v>@@</v>
          </cell>
          <cell r="S165" t="str">
            <v>@@</v>
          </cell>
          <cell r="AB165" t="str">
            <v>@@</v>
          </cell>
          <cell r="AC165" t="str">
            <v>@@</v>
          </cell>
          <cell r="AD165" t="str">
            <v>@@</v>
          </cell>
          <cell r="AL165" t="str">
            <v>@@</v>
          </cell>
        </row>
        <row r="166">
          <cell r="J166">
            <v>34300</v>
          </cell>
          <cell r="L166" t="str">
            <v>@@</v>
          </cell>
          <cell r="M166" t="str">
            <v>@@</v>
          </cell>
          <cell r="N166" t="str">
            <v>@@</v>
          </cell>
          <cell r="O166" t="str">
            <v>@@</v>
          </cell>
          <cell r="P166" t="str">
            <v>@@</v>
          </cell>
          <cell r="Q166" t="str">
            <v>@@</v>
          </cell>
          <cell r="R166" t="str">
            <v>@@</v>
          </cell>
          <cell r="S166" t="str">
            <v>@@</v>
          </cell>
          <cell r="AB166" t="str">
            <v>@@</v>
          </cell>
          <cell r="AC166" t="str">
            <v>@@</v>
          </cell>
          <cell r="AD166" t="str">
            <v>@@</v>
          </cell>
          <cell r="AL166" t="str">
            <v>@@</v>
          </cell>
        </row>
        <row r="167">
          <cell r="J167">
            <v>34400</v>
          </cell>
          <cell r="L167" t="str">
            <v>@@</v>
          </cell>
          <cell r="M167" t="str">
            <v>@@</v>
          </cell>
          <cell r="N167" t="str">
            <v>@@</v>
          </cell>
          <cell r="O167" t="str">
            <v>@@</v>
          </cell>
          <cell r="P167" t="str">
            <v>@@</v>
          </cell>
          <cell r="Q167" t="str">
            <v>@@</v>
          </cell>
          <cell r="R167" t="str">
            <v>@@</v>
          </cell>
          <cell r="S167" t="str">
            <v>@@</v>
          </cell>
          <cell r="AB167" t="str">
            <v>@@</v>
          </cell>
          <cell r="AC167" t="str">
            <v>@@</v>
          </cell>
          <cell r="AD167" t="str">
            <v>@@</v>
          </cell>
          <cell r="AL167" t="str">
            <v>@@</v>
          </cell>
        </row>
        <row r="168">
          <cell r="J168">
            <v>34500</v>
          </cell>
          <cell r="L168" t="str">
            <v>@@</v>
          </cell>
          <cell r="M168" t="str">
            <v>@@</v>
          </cell>
          <cell r="N168" t="str">
            <v>@@</v>
          </cell>
          <cell r="O168" t="str">
            <v>@@</v>
          </cell>
          <cell r="P168" t="str">
            <v>@@</v>
          </cell>
          <cell r="Q168" t="str">
            <v>@@</v>
          </cell>
          <cell r="R168" t="str">
            <v>@@</v>
          </cell>
          <cell r="S168" t="str">
            <v>@@</v>
          </cell>
          <cell r="AB168" t="str">
            <v>@@</v>
          </cell>
          <cell r="AC168" t="str">
            <v>@@</v>
          </cell>
          <cell r="AD168" t="str">
            <v>@@</v>
          </cell>
          <cell r="AL168" t="str">
            <v>@@</v>
          </cell>
        </row>
        <row r="169">
          <cell r="J169">
            <v>34600</v>
          </cell>
          <cell r="L169" t="str">
            <v>@@</v>
          </cell>
          <cell r="M169" t="str">
            <v>@@</v>
          </cell>
          <cell r="N169" t="str">
            <v>@@</v>
          </cell>
          <cell r="O169" t="str">
            <v>@@</v>
          </cell>
          <cell r="P169" t="str">
            <v>@@</v>
          </cell>
          <cell r="Q169" t="str">
            <v>@@</v>
          </cell>
          <cell r="R169" t="str">
            <v>@@</v>
          </cell>
          <cell r="S169" t="str">
            <v>@@</v>
          </cell>
          <cell r="AB169" t="str">
            <v>@@</v>
          </cell>
          <cell r="AC169" t="str">
            <v>@@</v>
          </cell>
          <cell r="AD169" t="str">
            <v>@@</v>
          </cell>
          <cell r="AL169" t="str">
            <v>@@</v>
          </cell>
        </row>
        <row r="170">
          <cell r="J170">
            <v>34700</v>
          </cell>
          <cell r="L170" t="str">
            <v>@@</v>
          </cell>
          <cell r="M170" t="str">
            <v>@@</v>
          </cell>
          <cell r="N170" t="str">
            <v>@@</v>
          </cell>
          <cell r="O170" t="str">
            <v>@@</v>
          </cell>
          <cell r="P170" t="str">
            <v>@@</v>
          </cell>
          <cell r="Q170" t="str">
            <v>@@</v>
          </cell>
          <cell r="R170" t="str">
            <v>@@</v>
          </cell>
          <cell r="S170" t="str">
            <v>@@</v>
          </cell>
          <cell r="AB170" t="str">
            <v>@@</v>
          </cell>
          <cell r="AC170" t="str">
            <v>@@</v>
          </cell>
          <cell r="AD170" t="str">
            <v>@@</v>
          </cell>
          <cell r="AL170" t="str">
            <v>@@</v>
          </cell>
        </row>
        <row r="171">
          <cell r="J171">
            <v>34800</v>
          </cell>
          <cell r="L171" t="str">
            <v>@@</v>
          </cell>
          <cell r="M171" t="str">
            <v>@@</v>
          </cell>
          <cell r="N171" t="str">
            <v>@@</v>
          </cell>
          <cell r="O171" t="str">
            <v>@@</v>
          </cell>
          <cell r="P171" t="str">
            <v>@@</v>
          </cell>
          <cell r="Q171" t="str">
            <v>@@</v>
          </cell>
          <cell r="R171" t="str">
            <v>@@</v>
          </cell>
          <cell r="S171" t="str">
            <v>@@</v>
          </cell>
          <cell r="AB171" t="str">
            <v>@@</v>
          </cell>
          <cell r="AC171" t="str">
            <v>@@</v>
          </cell>
          <cell r="AD171" t="str">
            <v>@@</v>
          </cell>
          <cell r="AL171" t="str">
            <v>@@</v>
          </cell>
        </row>
        <row r="172">
          <cell r="J172">
            <v>34900</v>
          </cell>
          <cell r="L172" t="str">
            <v>@@</v>
          </cell>
          <cell r="M172" t="str">
            <v>@@</v>
          </cell>
          <cell r="N172" t="str">
            <v>@@</v>
          </cell>
          <cell r="O172" t="str">
            <v>@@</v>
          </cell>
          <cell r="P172" t="str">
            <v>@@</v>
          </cell>
          <cell r="Q172" t="str">
            <v>@@</v>
          </cell>
          <cell r="R172" t="str">
            <v>@@</v>
          </cell>
          <cell r="S172" t="str">
            <v>@@</v>
          </cell>
          <cell r="AB172" t="str">
            <v>@@</v>
          </cell>
          <cell r="AC172" t="str">
            <v>@@</v>
          </cell>
          <cell r="AD172" t="str">
            <v>@@</v>
          </cell>
          <cell r="AL172" t="str">
            <v>@@</v>
          </cell>
        </row>
        <row r="173">
          <cell r="J173">
            <v>35000</v>
          </cell>
          <cell r="L173" t="str">
            <v>@@</v>
          </cell>
          <cell r="M173" t="str">
            <v>@@</v>
          </cell>
          <cell r="N173" t="str">
            <v>@@</v>
          </cell>
          <cell r="O173" t="str">
            <v>@@</v>
          </cell>
          <cell r="P173" t="str">
            <v>@@</v>
          </cell>
          <cell r="Q173" t="str">
            <v>@@</v>
          </cell>
          <cell r="R173" t="str">
            <v>@@</v>
          </cell>
          <cell r="S173" t="str">
            <v>@@</v>
          </cell>
          <cell r="AB173" t="str">
            <v>@@</v>
          </cell>
          <cell r="AC173" t="str">
            <v>@@</v>
          </cell>
          <cell r="AD173" t="str">
            <v>@@</v>
          </cell>
          <cell r="AL173" t="str">
            <v>@@</v>
          </cell>
        </row>
        <row r="174">
          <cell r="J174">
            <v>35100</v>
          </cell>
          <cell r="L174" t="str">
            <v>@@</v>
          </cell>
          <cell r="M174" t="str">
            <v>@@</v>
          </cell>
          <cell r="N174" t="str">
            <v>@@</v>
          </cell>
          <cell r="O174" t="str">
            <v>@@</v>
          </cell>
          <cell r="P174" t="str">
            <v>@@</v>
          </cell>
          <cell r="Q174" t="str">
            <v>@@</v>
          </cell>
          <cell r="R174" t="str">
            <v>@@</v>
          </cell>
          <cell r="S174" t="str">
            <v>@@</v>
          </cell>
          <cell r="AB174" t="str">
            <v>@@</v>
          </cell>
          <cell r="AC174" t="str">
            <v>@@</v>
          </cell>
          <cell r="AD174" t="str">
            <v>@@</v>
          </cell>
          <cell r="AL174" t="str">
            <v>@@</v>
          </cell>
        </row>
        <row r="175">
          <cell r="J175">
            <v>35200</v>
          </cell>
          <cell r="L175" t="str">
            <v>@@</v>
          </cell>
          <cell r="M175" t="str">
            <v>@@</v>
          </cell>
          <cell r="N175" t="str">
            <v>@@</v>
          </cell>
          <cell r="O175" t="str">
            <v>@@</v>
          </cell>
          <cell r="P175" t="str">
            <v>@@</v>
          </cell>
          <cell r="Q175" t="str">
            <v>@@</v>
          </cell>
          <cell r="R175" t="str">
            <v>@@</v>
          </cell>
          <cell r="S175" t="str">
            <v>@@</v>
          </cell>
          <cell r="AB175" t="str">
            <v>@@</v>
          </cell>
          <cell r="AC175" t="str">
            <v>@@</v>
          </cell>
          <cell r="AD175" t="str">
            <v>@@</v>
          </cell>
          <cell r="AL175" t="str">
            <v>@@</v>
          </cell>
        </row>
        <row r="176">
          <cell r="J176">
            <v>35300</v>
          </cell>
          <cell r="L176" t="str">
            <v>@@</v>
          </cell>
          <cell r="M176" t="str">
            <v>@@</v>
          </cell>
          <cell r="N176" t="str">
            <v>@@</v>
          </cell>
          <cell r="O176" t="str">
            <v>@@</v>
          </cell>
          <cell r="P176" t="str">
            <v>@@</v>
          </cell>
          <cell r="Q176" t="str">
            <v>@@</v>
          </cell>
          <cell r="R176" t="str">
            <v>@@</v>
          </cell>
          <cell r="S176" t="str">
            <v>@@</v>
          </cell>
          <cell r="AB176" t="str">
            <v>@@</v>
          </cell>
          <cell r="AC176" t="str">
            <v>@@</v>
          </cell>
          <cell r="AD176" t="str">
            <v>@@</v>
          </cell>
          <cell r="AL176" t="str">
            <v>@@</v>
          </cell>
        </row>
        <row r="177">
          <cell r="J177">
            <v>35400</v>
          </cell>
          <cell r="L177" t="str">
            <v>@@</v>
          </cell>
          <cell r="M177" t="str">
            <v>@@</v>
          </cell>
          <cell r="N177" t="str">
            <v>@@</v>
          </cell>
          <cell r="O177" t="str">
            <v>@@</v>
          </cell>
          <cell r="P177" t="str">
            <v>@@</v>
          </cell>
          <cell r="Q177" t="str">
            <v>@@</v>
          </cell>
          <cell r="R177" t="str">
            <v>@@</v>
          </cell>
          <cell r="S177" t="str">
            <v>@@</v>
          </cell>
          <cell r="AB177" t="str">
            <v>@@</v>
          </cell>
          <cell r="AC177" t="str">
            <v>@@</v>
          </cell>
          <cell r="AD177" t="str">
            <v>@@</v>
          </cell>
          <cell r="AL177" t="str">
            <v>@@</v>
          </cell>
        </row>
        <row r="178">
          <cell r="J178">
            <v>35500</v>
          </cell>
          <cell r="L178" t="str">
            <v>@@</v>
          </cell>
          <cell r="M178" t="str">
            <v>@@</v>
          </cell>
          <cell r="N178" t="str">
            <v>@@</v>
          </cell>
          <cell r="O178" t="str">
            <v>@@</v>
          </cell>
          <cell r="P178" t="str">
            <v>@@</v>
          </cell>
          <cell r="Q178" t="str">
            <v>@@</v>
          </cell>
          <cell r="R178" t="str">
            <v>@@</v>
          </cell>
          <cell r="S178" t="str">
            <v>@@</v>
          </cell>
          <cell r="AB178" t="str">
            <v>@@</v>
          </cell>
          <cell r="AC178" t="str">
            <v>@@</v>
          </cell>
          <cell r="AD178" t="str">
            <v>@@</v>
          </cell>
          <cell r="AL178" t="str">
            <v>@@</v>
          </cell>
        </row>
        <row r="179">
          <cell r="J179">
            <v>35600</v>
          </cell>
          <cell r="L179" t="str">
            <v>@@</v>
          </cell>
          <cell r="M179" t="str">
            <v>@@</v>
          </cell>
          <cell r="N179" t="str">
            <v>@@</v>
          </cell>
          <cell r="O179" t="str">
            <v>@@</v>
          </cell>
          <cell r="P179" t="str">
            <v>@@</v>
          </cell>
          <cell r="Q179" t="str">
            <v>@@</v>
          </cell>
          <cell r="R179" t="str">
            <v>@@</v>
          </cell>
          <cell r="S179" t="str">
            <v>@@</v>
          </cell>
          <cell r="AB179" t="str">
            <v>@@</v>
          </cell>
          <cell r="AC179">
            <v>0</v>
          </cell>
          <cell r="AD179">
            <v>0</v>
          </cell>
          <cell r="AL179" t="str">
            <v>@@</v>
          </cell>
        </row>
        <row r="180">
          <cell r="J180">
            <v>35700</v>
          </cell>
          <cell r="L180">
            <v>35700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-34.17</v>
          </cell>
          <cell r="R180">
            <v>4.0999999999999996</v>
          </cell>
          <cell r="S180">
            <v>1</v>
          </cell>
          <cell r="T180">
            <v>35700</v>
          </cell>
          <cell r="Y180">
            <v>-34.17</v>
          </cell>
          <cell r="Z180">
            <v>4.0999999999999996</v>
          </cell>
          <cell r="AA180">
            <v>1</v>
          </cell>
          <cell r="AB180">
            <v>35700</v>
          </cell>
          <cell r="AC180">
            <v>0</v>
          </cell>
          <cell r="AD180">
            <v>0</v>
          </cell>
          <cell r="AE180">
            <v>35700</v>
          </cell>
          <cell r="AL180">
            <v>4.0999999999999996</v>
          </cell>
          <cell r="AM180">
            <v>4.0999999999999996</v>
          </cell>
        </row>
        <row r="181">
          <cell r="J181">
            <v>35800</v>
          </cell>
          <cell r="L181" t="str">
            <v>@@</v>
          </cell>
          <cell r="M181" t="str">
            <v>@@</v>
          </cell>
          <cell r="N181" t="str">
            <v>@@</v>
          </cell>
          <cell r="O181" t="str">
            <v>@@</v>
          </cell>
          <cell r="P181" t="str">
            <v>@@</v>
          </cell>
          <cell r="Q181" t="str">
            <v>@@</v>
          </cell>
          <cell r="R181" t="str">
            <v>@@</v>
          </cell>
          <cell r="S181" t="str">
            <v>@@</v>
          </cell>
          <cell r="AB181" t="str">
            <v>@@</v>
          </cell>
          <cell r="AC181">
            <v>-34.17</v>
          </cell>
          <cell r="AD181">
            <v>4.0999999999999996</v>
          </cell>
          <cell r="AF181">
            <v>-34.17</v>
          </cell>
          <cell r="AG181">
            <v>4.0999999999999996</v>
          </cell>
          <cell r="AL181" t="str">
            <v>@@</v>
          </cell>
        </row>
        <row r="182">
          <cell r="J182">
            <v>35900</v>
          </cell>
          <cell r="L182" t="str">
            <v>@@</v>
          </cell>
          <cell r="M182" t="str">
            <v>@@</v>
          </cell>
          <cell r="N182" t="str">
            <v>@@</v>
          </cell>
          <cell r="O182" t="str">
            <v>@@</v>
          </cell>
          <cell r="P182" t="str">
            <v>@@</v>
          </cell>
          <cell r="Q182" t="str">
            <v>@@</v>
          </cell>
          <cell r="R182" t="str">
            <v>@@</v>
          </cell>
          <cell r="S182" t="str">
            <v>@@</v>
          </cell>
          <cell r="AB182" t="str">
            <v>@@</v>
          </cell>
          <cell r="AC182" t="str">
            <v>@@</v>
          </cell>
          <cell r="AD182" t="str">
            <v>@@</v>
          </cell>
          <cell r="AL182" t="str">
            <v>@@</v>
          </cell>
        </row>
        <row r="183">
          <cell r="J183">
            <v>36000</v>
          </cell>
          <cell r="L183" t="str">
            <v>@@</v>
          </cell>
          <cell r="M183" t="str">
            <v>@@</v>
          </cell>
          <cell r="N183" t="str">
            <v>@@</v>
          </cell>
          <cell r="O183" t="str">
            <v>@@</v>
          </cell>
          <cell r="P183" t="str">
            <v>@@</v>
          </cell>
          <cell r="Q183" t="str">
            <v>@@</v>
          </cell>
          <cell r="R183" t="str">
            <v>@@</v>
          </cell>
          <cell r="S183" t="str">
            <v>@@</v>
          </cell>
          <cell r="AB183" t="str">
            <v>@@</v>
          </cell>
          <cell r="AC183" t="str">
            <v>@@</v>
          </cell>
          <cell r="AD183" t="str">
            <v>@@</v>
          </cell>
          <cell r="AL183" t="str">
            <v>@@</v>
          </cell>
        </row>
        <row r="184">
          <cell r="J184">
            <v>36100</v>
          </cell>
          <cell r="L184" t="str">
            <v>@@</v>
          </cell>
          <cell r="M184" t="str">
            <v>@@</v>
          </cell>
          <cell r="N184" t="str">
            <v>@@</v>
          </cell>
          <cell r="O184" t="str">
            <v>@@</v>
          </cell>
          <cell r="P184" t="str">
            <v>@@</v>
          </cell>
          <cell r="Q184" t="str">
            <v>@@</v>
          </cell>
          <cell r="R184" t="str">
            <v>@@</v>
          </cell>
          <cell r="S184" t="str">
            <v>@@</v>
          </cell>
          <cell r="AB184" t="str">
            <v>@@</v>
          </cell>
          <cell r="AC184" t="str">
            <v>@@</v>
          </cell>
          <cell r="AD184" t="str">
            <v>@@</v>
          </cell>
          <cell r="AL184" t="str">
            <v>@@</v>
          </cell>
        </row>
        <row r="185">
          <cell r="J185">
            <v>36200</v>
          </cell>
          <cell r="L185" t="str">
            <v>@@</v>
          </cell>
          <cell r="M185" t="str">
            <v>@@</v>
          </cell>
          <cell r="N185" t="str">
            <v>@@</v>
          </cell>
          <cell r="O185" t="str">
            <v>@@</v>
          </cell>
          <cell r="P185" t="str">
            <v>@@</v>
          </cell>
          <cell r="Q185" t="str">
            <v>@@</v>
          </cell>
          <cell r="R185" t="str">
            <v>@@</v>
          </cell>
          <cell r="S185" t="str">
            <v>@@</v>
          </cell>
          <cell r="AB185" t="str">
            <v>@@</v>
          </cell>
          <cell r="AC185" t="str">
            <v>@@</v>
          </cell>
          <cell r="AD185" t="str">
            <v>@@</v>
          </cell>
          <cell r="AL185" t="str">
            <v>@@</v>
          </cell>
        </row>
        <row r="186">
          <cell r="J186">
            <v>36300</v>
          </cell>
          <cell r="L186" t="str">
            <v>@@</v>
          </cell>
          <cell r="M186" t="str">
            <v>@@</v>
          </cell>
          <cell r="N186" t="str">
            <v>@@</v>
          </cell>
          <cell r="O186" t="str">
            <v>@@</v>
          </cell>
          <cell r="P186" t="str">
            <v>@@</v>
          </cell>
          <cell r="Q186" t="str">
            <v>@@</v>
          </cell>
          <cell r="R186" t="str">
            <v>@@</v>
          </cell>
          <cell r="S186" t="str">
            <v>@@</v>
          </cell>
          <cell r="AB186" t="str">
            <v>@@</v>
          </cell>
          <cell r="AC186" t="str">
            <v>@@</v>
          </cell>
          <cell r="AD186" t="str">
            <v>@@</v>
          </cell>
          <cell r="AL186" t="str">
            <v>@@</v>
          </cell>
        </row>
        <row r="187">
          <cell r="J187">
            <v>36400</v>
          </cell>
          <cell r="L187" t="str">
            <v>@@</v>
          </cell>
          <cell r="M187" t="str">
            <v>@@</v>
          </cell>
          <cell r="N187" t="str">
            <v>@@</v>
          </cell>
          <cell r="O187" t="str">
            <v>@@</v>
          </cell>
          <cell r="P187" t="str">
            <v>@@</v>
          </cell>
          <cell r="Q187" t="str">
            <v>@@</v>
          </cell>
          <cell r="R187" t="str">
            <v>@@</v>
          </cell>
          <cell r="S187" t="str">
            <v>@@</v>
          </cell>
          <cell r="AB187" t="str">
            <v>@@</v>
          </cell>
          <cell r="AC187">
            <v>-13.83</v>
          </cell>
          <cell r="AD187">
            <v>5.4</v>
          </cell>
          <cell r="AF187">
            <v>-13.83</v>
          </cell>
          <cell r="AG187">
            <v>5.4</v>
          </cell>
          <cell r="AL187" t="str">
            <v>@@</v>
          </cell>
        </row>
        <row r="188">
          <cell r="J188">
            <v>36500</v>
          </cell>
          <cell r="L188">
            <v>36500</v>
          </cell>
          <cell r="M188">
            <v>-13.83</v>
          </cell>
          <cell r="N188">
            <v>5.4</v>
          </cell>
          <cell r="O188">
            <v>-36.61</v>
          </cell>
          <cell r="P188">
            <v>7.9</v>
          </cell>
          <cell r="Q188">
            <v>-4.3499999999999996</v>
          </cell>
          <cell r="R188">
            <v>5.0999999999999996</v>
          </cell>
          <cell r="S188">
            <v>1</v>
          </cell>
          <cell r="T188">
            <v>36500</v>
          </cell>
          <cell r="U188">
            <v>-13.83</v>
          </cell>
          <cell r="V188">
            <v>5.4</v>
          </cell>
          <cell r="W188">
            <v>-36.61</v>
          </cell>
          <cell r="X188">
            <v>7.9</v>
          </cell>
          <cell r="Y188">
            <v>-4.3499999999999996</v>
          </cell>
          <cell r="Z188">
            <v>5.0999999999999996</v>
          </cell>
          <cell r="AA188">
            <v>1</v>
          </cell>
          <cell r="AB188">
            <v>36500</v>
          </cell>
          <cell r="AC188">
            <v>-36.61</v>
          </cell>
          <cell r="AD188">
            <v>7.9</v>
          </cell>
          <cell r="AE188">
            <v>36500</v>
          </cell>
          <cell r="AF188">
            <v>-36.61</v>
          </cell>
          <cell r="AG188">
            <v>7.9</v>
          </cell>
          <cell r="AL188">
            <v>18.399999999999999</v>
          </cell>
          <cell r="AM188">
            <v>18.399999999999999</v>
          </cell>
        </row>
        <row r="189">
          <cell r="J189">
            <v>36600</v>
          </cell>
          <cell r="L189" t="str">
            <v>@@</v>
          </cell>
          <cell r="M189" t="str">
            <v>@@</v>
          </cell>
          <cell r="N189" t="str">
            <v>@@</v>
          </cell>
          <cell r="O189" t="str">
            <v>@@</v>
          </cell>
          <cell r="P189" t="str">
            <v>@@</v>
          </cell>
          <cell r="Q189" t="str">
            <v>@@</v>
          </cell>
          <cell r="R189" t="str">
            <v>@@</v>
          </cell>
          <cell r="S189" t="str">
            <v>@@</v>
          </cell>
          <cell r="AB189" t="str">
            <v>@@</v>
          </cell>
          <cell r="AC189">
            <v>-4.3499999999999996</v>
          </cell>
          <cell r="AD189">
            <v>5.0999999999999996</v>
          </cell>
          <cell r="AF189">
            <v>-4.3499999999999996</v>
          </cell>
          <cell r="AG189">
            <v>5.0999999999999996</v>
          </cell>
          <cell r="AL189" t="str">
            <v>@@</v>
          </cell>
        </row>
        <row r="190">
          <cell r="J190">
            <v>36700</v>
          </cell>
          <cell r="L190" t="str">
            <v>@@</v>
          </cell>
          <cell r="M190" t="str">
            <v>@@</v>
          </cell>
          <cell r="N190" t="str">
            <v>@@</v>
          </cell>
          <cell r="O190" t="str">
            <v>@@</v>
          </cell>
          <cell r="P190" t="str">
            <v>@@</v>
          </cell>
          <cell r="Q190" t="str">
            <v>@@</v>
          </cell>
          <cell r="R190" t="str">
            <v>@@</v>
          </cell>
          <cell r="S190" t="str">
            <v>@@</v>
          </cell>
          <cell r="AB190" t="str">
            <v>@@</v>
          </cell>
          <cell r="AC190" t="str">
            <v>@@</v>
          </cell>
          <cell r="AD190" t="str">
            <v>@@</v>
          </cell>
          <cell r="AL190" t="str">
            <v>@@</v>
          </cell>
        </row>
        <row r="191">
          <cell r="J191">
            <v>36800</v>
          </cell>
          <cell r="L191" t="str">
            <v>@@</v>
          </cell>
          <cell r="M191" t="str">
            <v>@@</v>
          </cell>
          <cell r="N191" t="str">
            <v>@@</v>
          </cell>
          <cell r="O191" t="str">
            <v>@@</v>
          </cell>
          <cell r="P191" t="str">
            <v>@@</v>
          </cell>
          <cell r="Q191" t="str">
            <v>@@</v>
          </cell>
          <cell r="R191" t="str">
            <v>@@</v>
          </cell>
          <cell r="S191" t="str">
            <v>@@</v>
          </cell>
          <cell r="AB191" t="str">
            <v>@@</v>
          </cell>
          <cell r="AC191" t="str">
            <v>@@</v>
          </cell>
          <cell r="AD191" t="str">
            <v>@@</v>
          </cell>
          <cell r="AL191" t="str">
            <v>@@</v>
          </cell>
        </row>
        <row r="192">
          <cell r="J192">
            <v>36900</v>
          </cell>
          <cell r="L192" t="str">
            <v>@@</v>
          </cell>
          <cell r="M192" t="str">
            <v>@@</v>
          </cell>
          <cell r="N192" t="str">
            <v>@@</v>
          </cell>
          <cell r="O192" t="str">
            <v>@@</v>
          </cell>
          <cell r="P192" t="str">
            <v>@@</v>
          </cell>
          <cell r="Q192" t="str">
            <v>@@</v>
          </cell>
          <cell r="R192" t="str">
            <v>@@</v>
          </cell>
          <cell r="S192" t="str">
            <v>@@</v>
          </cell>
          <cell r="AB192" t="str">
            <v>@@</v>
          </cell>
          <cell r="AC192" t="str">
            <v>@@</v>
          </cell>
          <cell r="AD192" t="str">
            <v>@@</v>
          </cell>
          <cell r="AL192" t="str">
            <v>@@</v>
          </cell>
        </row>
        <row r="193">
          <cell r="J193">
            <v>37000</v>
          </cell>
          <cell r="L193" t="str">
            <v>@@</v>
          </cell>
          <cell r="M193" t="str">
            <v>@@</v>
          </cell>
          <cell r="N193" t="str">
            <v>@@</v>
          </cell>
          <cell r="O193" t="str">
            <v>@@</v>
          </cell>
          <cell r="P193" t="str">
            <v>@@</v>
          </cell>
          <cell r="Q193" t="str">
            <v>@@</v>
          </cell>
          <cell r="R193" t="str">
            <v>@@</v>
          </cell>
          <cell r="S193" t="str">
            <v>@@</v>
          </cell>
          <cell r="AB193" t="str">
            <v>@@</v>
          </cell>
          <cell r="AC193" t="str">
            <v>@@</v>
          </cell>
          <cell r="AD193" t="str">
            <v>@@</v>
          </cell>
          <cell r="AL193" t="str">
            <v>@@</v>
          </cell>
        </row>
        <row r="194">
          <cell r="J194">
            <v>37100</v>
          </cell>
          <cell r="L194" t="str">
            <v>@@</v>
          </cell>
          <cell r="M194" t="str">
            <v>@@</v>
          </cell>
          <cell r="N194" t="str">
            <v>@@</v>
          </cell>
          <cell r="O194" t="str">
            <v>@@</v>
          </cell>
          <cell r="P194" t="str">
            <v>@@</v>
          </cell>
          <cell r="Q194" t="str">
            <v>@@</v>
          </cell>
          <cell r="R194" t="str">
            <v>@@</v>
          </cell>
          <cell r="S194" t="str">
            <v>@@</v>
          </cell>
          <cell r="AB194" t="str">
            <v>@@</v>
          </cell>
          <cell r="AC194" t="str">
            <v>@@</v>
          </cell>
          <cell r="AD194" t="str">
            <v>@@</v>
          </cell>
          <cell r="AL194" t="str">
            <v>@@</v>
          </cell>
        </row>
        <row r="195">
          <cell r="J195">
            <v>37200</v>
          </cell>
          <cell r="L195" t="str">
            <v>@@</v>
          </cell>
          <cell r="M195" t="str">
            <v>@@</v>
          </cell>
          <cell r="N195" t="str">
            <v>@@</v>
          </cell>
          <cell r="O195" t="str">
            <v>@@</v>
          </cell>
          <cell r="P195" t="str">
            <v>@@</v>
          </cell>
          <cell r="Q195" t="str">
            <v>@@</v>
          </cell>
          <cell r="R195" t="str">
            <v>@@</v>
          </cell>
          <cell r="S195" t="str">
            <v>@@</v>
          </cell>
          <cell r="AB195" t="str">
            <v>@@</v>
          </cell>
          <cell r="AC195" t="str">
            <v>@@</v>
          </cell>
          <cell r="AD195" t="str">
            <v>@@</v>
          </cell>
          <cell r="AL195" t="str">
            <v>@@</v>
          </cell>
        </row>
        <row r="196">
          <cell r="J196">
            <v>37300</v>
          </cell>
          <cell r="L196" t="str">
            <v>@@</v>
          </cell>
          <cell r="M196" t="str">
            <v>@@</v>
          </cell>
          <cell r="N196" t="str">
            <v>@@</v>
          </cell>
          <cell r="O196" t="str">
            <v>@@</v>
          </cell>
          <cell r="P196" t="str">
            <v>@@</v>
          </cell>
          <cell r="Q196" t="str">
            <v>@@</v>
          </cell>
          <cell r="R196" t="str">
            <v>@@</v>
          </cell>
          <cell r="S196" t="str">
            <v>@@</v>
          </cell>
          <cell r="AB196" t="str">
            <v>@@</v>
          </cell>
          <cell r="AC196" t="str">
            <v>@@</v>
          </cell>
          <cell r="AD196" t="str">
            <v>@@</v>
          </cell>
          <cell r="AL196" t="str">
            <v>@@</v>
          </cell>
        </row>
        <row r="197">
          <cell r="J197">
            <v>37400</v>
          </cell>
          <cell r="L197" t="str">
            <v>@@</v>
          </cell>
          <cell r="M197" t="str">
            <v>@@</v>
          </cell>
          <cell r="N197" t="str">
            <v>@@</v>
          </cell>
          <cell r="O197" t="str">
            <v>@@</v>
          </cell>
          <cell r="P197" t="str">
            <v>@@</v>
          </cell>
          <cell r="Q197" t="str">
            <v>@@</v>
          </cell>
          <cell r="R197" t="str">
            <v>@@</v>
          </cell>
          <cell r="S197" t="str">
            <v>@@</v>
          </cell>
          <cell r="AB197" t="str">
            <v>@@</v>
          </cell>
          <cell r="AC197">
            <v>-3.65</v>
          </cell>
          <cell r="AD197">
            <v>6.4</v>
          </cell>
          <cell r="AF197">
            <v>-3.65</v>
          </cell>
          <cell r="AG197">
            <v>6.4</v>
          </cell>
          <cell r="AL197" t="str">
            <v>@@</v>
          </cell>
        </row>
        <row r="198">
          <cell r="J198">
            <v>37500</v>
          </cell>
          <cell r="L198">
            <v>37500</v>
          </cell>
          <cell r="M198">
            <v>-3.65</v>
          </cell>
          <cell r="N198">
            <v>6.4</v>
          </cell>
          <cell r="O198">
            <v>-11.15</v>
          </cell>
          <cell r="P198">
            <v>6.2</v>
          </cell>
          <cell r="Q198">
            <v>-11.4</v>
          </cell>
          <cell r="R198">
            <v>5.7</v>
          </cell>
          <cell r="S198">
            <v>1</v>
          </cell>
          <cell r="T198">
            <v>37500</v>
          </cell>
          <cell r="U198">
            <v>-3.65</v>
          </cell>
          <cell r="V198">
            <v>6.4</v>
          </cell>
          <cell r="W198">
            <v>-11.15</v>
          </cell>
          <cell r="X198">
            <v>6.2</v>
          </cell>
          <cell r="Y198">
            <v>-11.4</v>
          </cell>
          <cell r="Z198">
            <v>5.7</v>
          </cell>
          <cell r="AA198">
            <v>1</v>
          </cell>
          <cell r="AB198">
            <v>37500</v>
          </cell>
          <cell r="AC198">
            <v>-11.15</v>
          </cell>
          <cell r="AD198">
            <v>6.2</v>
          </cell>
          <cell r="AE198">
            <v>37500</v>
          </cell>
          <cell r="AF198">
            <v>-11.15</v>
          </cell>
          <cell r="AG198">
            <v>6.2</v>
          </cell>
          <cell r="AL198">
            <v>18.3</v>
          </cell>
          <cell r="AM198">
            <v>18.3</v>
          </cell>
        </row>
        <row r="199">
          <cell r="J199">
            <v>37600</v>
          </cell>
          <cell r="L199" t="str">
            <v>@@</v>
          </cell>
          <cell r="M199" t="str">
            <v>@@</v>
          </cell>
          <cell r="N199" t="str">
            <v>@@</v>
          </cell>
          <cell r="O199" t="str">
            <v>@@</v>
          </cell>
          <cell r="P199" t="str">
            <v>@@</v>
          </cell>
          <cell r="Q199" t="str">
            <v>@@</v>
          </cell>
          <cell r="R199" t="str">
            <v>@@</v>
          </cell>
          <cell r="S199" t="str">
            <v>@@</v>
          </cell>
          <cell r="AB199" t="str">
            <v>@@</v>
          </cell>
          <cell r="AC199">
            <v>-11.4</v>
          </cell>
          <cell r="AD199">
            <v>5.7</v>
          </cell>
          <cell r="AF199">
            <v>-11.4</v>
          </cell>
          <cell r="AG199">
            <v>5.7</v>
          </cell>
          <cell r="AL199" t="str">
            <v>@@</v>
          </cell>
        </row>
        <row r="200">
          <cell r="J200">
            <v>37700</v>
          </cell>
          <cell r="L200" t="str">
            <v>@@</v>
          </cell>
          <cell r="M200" t="str">
            <v>@@</v>
          </cell>
          <cell r="N200" t="str">
            <v>@@</v>
          </cell>
          <cell r="O200" t="str">
            <v>@@</v>
          </cell>
          <cell r="P200" t="str">
            <v>@@</v>
          </cell>
          <cell r="Q200" t="str">
            <v>@@</v>
          </cell>
          <cell r="R200" t="str">
            <v>@@</v>
          </cell>
          <cell r="S200" t="str">
            <v>@@</v>
          </cell>
          <cell r="AB200" t="str">
            <v>@@</v>
          </cell>
          <cell r="AC200" t="str">
            <v>@@</v>
          </cell>
          <cell r="AD200" t="str">
            <v>@@</v>
          </cell>
          <cell r="AL200" t="str">
            <v>@@</v>
          </cell>
        </row>
        <row r="201">
          <cell r="J201">
            <v>37800</v>
          </cell>
          <cell r="L201" t="str">
            <v>@@</v>
          </cell>
          <cell r="M201" t="str">
            <v>@@</v>
          </cell>
          <cell r="N201" t="str">
            <v>@@</v>
          </cell>
          <cell r="O201" t="str">
            <v>@@</v>
          </cell>
          <cell r="P201" t="str">
            <v>@@</v>
          </cell>
          <cell r="Q201" t="str">
            <v>@@</v>
          </cell>
          <cell r="R201" t="str">
            <v>@@</v>
          </cell>
          <cell r="S201" t="str">
            <v>@@</v>
          </cell>
          <cell r="AB201" t="str">
            <v>@@</v>
          </cell>
          <cell r="AC201" t="str">
            <v>@@</v>
          </cell>
          <cell r="AD201" t="str">
            <v>@@</v>
          </cell>
          <cell r="AL201" t="str">
            <v>@@</v>
          </cell>
        </row>
        <row r="202">
          <cell r="J202">
            <v>37900</v>
          </cell>
          <cell r="L202" t="str">
            <v>@@</v>
          </cell>
          <cell r="M202" t="str">
            <v>@@</v>
          </cell>
          <cell r="N202" t="str">
            <v>@@</v>
          </cell>
          <cell r="O202" t="str">
            <v>@@</v>
          </cell>
          <cell r="P202" t="str">
            <v>@@</v>
          </cell>
          <cell r="Q202" t="str">
            <v>@@</v>
          </cell>
          <cell r="R202" t="str">
            <v>@@</v>
          </cell>
          <cell r="S202" t="str">
            <v>@@</v>
          </cell>
          <cell r="AB202" t="str">
            <v>@@</v>
          </cell>
          <cell r="AC202" t="str">
            <v>@@</v>
          </cell>
          <cell r="AD202" t="str">
            <v>@@</v>
          </cell>
          <cell r="AL202" t="str">
            <v>@@</v>
          </cell>
        </row>
        <row r="203">
          <cell r="J203">
            <v>38000</v>
          </cell>
          <cell r="L203" t="str">
            <v>@@</v>
          </cell>
          <cell r="M203" t="str">
            <v>@@</v>
          </cell>
          <cell r="N203" t="str">
            <v>@@</v>
          </cell>
          <cell r="O203" t="str">
            <v>@@</v>
          </cell>
          <cell r="P203" t="str">
            <v>@@</v>
          </cell>
          <cell r="Q203" t="str">
            <v>@@</v>
          </cell>
          <cell r="R203" t="str">
            <v>@@</v>
          </cell>
          <cell r="S203" t="str">
            <v>@@</v>
          </cell>
          <cell r="AB203" t="str">
            <v>@@</v>
          </cell>
          <cell r="AC203" t="str">
            <v>@@</v>
          </cell>
          <cell r="AD203" t="str">
            <v>@@</v>
          </cell>
          <cell r="AL203" t="str">
            <v>@@</v>
          </cell>
        </row>
        <row r="204">
          <cell r="J204">
            <v>38100</v>
          </cell>
          <cell r="L204" t="str">
            <v>@@</v>
          </cell>
          <cell r="M204" t="str">
            <v>@@</v>
          </cell>
          <cell r="N204" t="str">
            <v>@@</v>
          </cell>
          <cell r="O204" t="str">
            <v>@@</v>
          </cell>
          <cell r="P204" t="str">
            <v>@@</v>
          </cell>
          <cell r="Q204" t="str">
            <v>@@</v>
          </cell>
          <cell r="R204" t="str">
            <v>@@</v>
          </cell>
          <cell r="S204" t="str">
            <v>@@</v>
          </cell>
          <cell r="AB204" t="str">
            <v>@@</v>
          </cell>
          <cell r="AC204" t="str">
            <v>@@</v>
          </cell>
          <cell r="AD204" t="str">
            <v>@@</v>
          </cell>
          <cell r="AL204" t="str">
            <v>@@</v>
          </cell>
        </row>
        <row r="205">
          <cell r="J205">
            <v>38200</v>
          </cell>
          <cell r="L205" t="str">
            <v>@@</v>
          </cell>
          <cell r="M205" t="str">
            <v>@@</v>
          </cell>
          <cell r="N205" t="str">
            <v>@@</v>
          </cell>
          <cell r="O205" t="str">
            <v>@@</v>
          </cell>
          <cell r="P205" t="str">
            <v>@@</v>
          </cell>
          <cell r="Q205" t="str">
            <v>@@</v>
          </cell>
          <cell r="R205" t="str">
            <v>@@</v>
          </cell>
          <cell r="S205" t="str">
            <v>@@</v>
          </cell>
          <cell r="AB205" t="str">
            <v>@@</v>
          </cell>
          <cell r="AC205" t="str">
            <v>@@</v>
          </cell>
          <cell r="AD205" t="str">
            <v>@@</v>
          </cell>
          <cell r="AL205" t="str">
            <v>@@</v>
          </cell>
        </row>
        <row r="206">
          <cell r="J206">
            <v>38300</v>
          </cell>
          <cell r="L206" t="str">
            <v>@@</v>
          </cell>
          <cell r="M206" t="str">
            <v>@@</v>
          </cell>
          <cell r="N206" t="str">
            <v>@@</v>
          </cell>
          <cell r="O206" t="str">
            <v>@@</v>
          </cell>
          <cell r="P206" t="str">
            <v>@@</v>
          </cell>
          <cell r="Q206" t="str">
            <v>@@</v>
          </cell>
          <cell r="R206" t="str">
            <v>@@</v>
          </cell>
          <cell r="S206" t="str">
            <v>@@</v>
          </cell>
          <cell r="AB206" t="str">
            <v>@@</v>
          </cell>
          <cell r="AC206">
            <v>-9.74</v>
          </cell>
          <cell r="AD206">
            <v>4</v>
          </cell>
          <cell r="AF206">
            <v>-9.74</v>
          </cell>
          <cell r="AG206">
            <v>4</v>
          </cell>
          <cell r="AL206" t="str">
            <v>@@</v>
          </cell>
        </row>
        <row r="207">
          <cell r="J207">
            <v>38400</v>
          </cell>
          <cell r="L207">
            <v>38400</v>
          </cell>
          <cell r="M207">
            <v>-9.74</v>
          </cell>
          <cell r="N207">
            <v>4</v>
          </cell>
          <cell r="O207">
            <v>-13.6</v>
          </cell>
          <cell r="P207">
            <v>3.1</v>
          </cell>
          <cell r="Q207">
            <v>-26.05</v>
          </cell>
          <cell r="R207">
            <v>4</v>
          </cell>
          <cell r="S207">
            <v>1</v>
          </cell>
          <cell r="T207">
            <v>38400</v>
          </cell>
          <cell r="U207">
            <v>-9.74</v>
          </cell>
          <cell r="V207">
            <v>4</v>
          </cell>
          <cell r="W207">
            <v>-13.6</v>
          </cell>
          <cell r="X207">
            <v>3.1</v>
          </cell>
          <cell r="Y207">
            <v>-26.05</v>
          </cell>
          <cell r="Z207">
            <v>4</v>
          </cell>
          <cell r="AA207">
            <v>1</v>
          </cell>
          <cell r="AB207">
            <v>38400</v>
          </cell>
          <cell r="AC207">
            <v>-13.6</v>
          </cell>
          <cell r="AD207">
            <v>3.1</v>
          </cell>
          <cell r="AE207">
            <v>38400</v>
          </cell>
          <cell r="AF207">
            <v>-13.6</v>
          </cell>
          <cell r="AG207">
            <v>3.1</v>
          </cell>
          <cell r="AL207">
            <v>11.1</v>
          </cell>
          <cell r="AM207">
            <v>11.1</v>
          </cell>
        </row>
        <row r="208">
          <cell r="J208">
            <v>38500</v>
          </cell>
          <cell r="L208" t="str">
            <v>@@</v>
          </cell>
          <cell r="M208" t="str">
            <v>@@</v>
          </cell>
          <cell r="N208" t="str">
            <v>@@</v>
          </cell>
          <cell r="O208" t="str">
            <v>@@</v>
          </cell>
          <cell r="P208" t="str">
            <v>@@</v>
          </cell>
          <cell r="Q208" t="str">
            <v>@@</v>
          </cell>
          <cell r="R208" t="str">
            <v>@@</v>
          </cell>
          <cell r="S208" t="str">
            <v>@@</v>
          </cell>
          <cell r="AB208" t="str">
            <v>@@</v>
          </cell>
          <cell r="AC208">
            <v>-26.05</v>
          </cell>
          <cell r="AD208">
            <v>4</v>
          </cell>
          <cell r="AF208">
            <v>-26.05</v>
          </cell>
          <cell r="AG208">
            <v>4</v>
          </cell>
          <cell r="AL208" t="str">
            <v>@@</v>
          </cell>
        </row>
        <row r="209">
          <cell r="J209">
            <v>38600</v>
          </cell>
          <cell r="L209" t="str">
            <v>@@</v>
          </cell>
          <cell r="M209" t="str">
            <v>@@</v>
          </cell>
          <cell r="N209" t="str">
            <v>@@</v>
          </cell>
          <cell r="O209" t="str">
            <v>@@</v>
          </cell>
          <cell r="P209" t="str">
            <v>@@</v>
          </cell>
          <cell r="Q209" t="str">
            <v>@@</v>
          </cell>
          <cell r="R209" t="str">
            <v>@@</v>
          </cell>
          <cell r="S209" t="str">
            <v>@@</v>
          </cell>
          <cell r="AB209" t="str">
            <v>@@</v>
          </cell>
          <cell r="AC209" t="str">
            <v>@@</v>
          </cell>
          <cell r="AD209" t="str">
            <v>@@</v>
          </cell>
          <cell r="AL209" t="str">
            <v>@@</v>
          </cell>
        </row>
        <row r="210">
          <cell r="J210">
            <v>38700</v>
          </cell>
          <cell r="L210" t="str">
            <v>@@</v>
          </cell>
          <cell r="M210" t="str">
            <v>@@</v>
          </cell>
          <cell r="N210" t="str">
            <v>@@</v>
          </cell>
          <cell r="O210" t="str">
            <v>@@</v>
          </cell>
          <cell r="P210" t="str">
            <v>@@</v>
          </cell>
          <cell r="Q210" t="str">
            <v>@@</v>
          </cell>
          <cell r="R210" t="str">
            <v>@@</v>
          </cell>
          <cell r="S210" t="str">
            <v>@@</v>
          </cell>
          <cell r="AB210" t="str">
            <v>@@</v>
          </cell>
          <cell r="AC210" t="str">
            <v>@@</v>
          </cell>
          <cell r="AD210" t="str">
            <v>@@</v>
          </cell>
          <cell r="AL210" t="str">
            <v>@@</v>
          </cell>
        </row>
        <row r="211">
          <cell r="J211">
            <v>38800</v>
          </cell>
          <cell r="L211" t="str">
            <v>@@</v>
          </cell>
          <cell r="M211" t="str">
            <v>@@</v>
          </cell>
          <cell r="N211" t="str">
            <v>@@</v>
          </cell>
          <cell r="O211" t="str">
            <v>@@</v>
          </cell>
          <cell r="P211" t="str">
            <v>@@</v>
          </cell>
          <cell r="Q211" t="str">
            <v>@@</v>
          </cell>
          <cell r="R211" t="str">
            <v>@@</v>
          </cell>
          <cell r="S211" t="str">
            <v>@@</v>
          </cell>
          <cell r="AB211" t="str">
            <v>@@</v>
          </cell>
          <cell r="AC211" t="str">
            <v>@@</v>
          </cell>
          <cell r="AD211" t="str">
            <v>@@</v>
          </cell>
          <cell r="AL211" t="str">
            <v>@@</v>
          </cell>
        </row>
        <row r="212">
          <cell r="J212">
            <v>38900</v>
          </cell>
          <cell r="L212" t="str">
            <v>@@</v>
          </cell>
          <cell r="M212" t="str">
            <v>@@</v>
          </cell>
          <cell r="N212" t="str">
            <v>@@</v>
          </cell>
          <cell r="O212" t="str">
            <v>@@</v>
          </cell>
          <cell r="P212" t="str">
            <v>@@</v>
          </cell>
          <cell r="Q212" t="str">
            <v>@@</v>
          </cell>
          <cell r="R212" t="str">
            <v>@@</v>
          </cell>
          <cell r="S212" t="str">
            <v>@@</v>
          </cell>
          <cell r="AB212" t="str">
            <v>@@</v>
          </cell>
          <cell r="AC212" t="str">
            <v>@@</v>
          </cell>
          <cell r="AD212" t="str">
            <v>@@</v>
          </cell>
          <cell r="AL212" t="str">
            <v>@@</v>
          </cell>
        </row>
        <row r="213">
          <cell r="J213">
            <v>39000</v>
          </cell>
          <cell r="L213" t="str">
            <v>@@</v>
          </cell>
          <cell r="M213" t="str">
            <v>@@</v>
          </cell>
          <cell r="N213" t="str">
            <v>@@</v>
          </cell>
          <cell r="O213" t="str">
            <v>@@</v>
          </cell>
          <cell r="P213" t="str">
            <v>@@</v>
          </cell>
          <cell r="Q213" t="str">
            <v>@@</v>
          </cell>
          <cell r="R213" t="str">
            <v>@@</v>
          </cell>
          <cell r="S213" t="str">
            <v>@@</v>
          </cell>
          <cell r="AB213" t="str">
            <v>@@</v>
          </cell>
          <cell r="AC213" t="str">
            <v>@@</v>
          </cell>
          <cell r="AD213" t="str">
            <v>@@</v>
          </cell>
          <cell r="AL213" t="str">
            <v>@@</v>
          </cell>
        </row>
        <row r="214">
          <cell r="J214">
            <v>39100</v>
          </cell>
          <cell r="L214" t="str">
            <v>@@</v>
          </cell>
          <cell r="M214" t="str">
            <v>@@</v>
          </cell>
          <cell r="N214" t="str">
            <v>@@</v>
          </cell>
          <cell r="O214" t="str">
            <v>@@</v>
          </cell>
          <cell r="P214" t="str">
            <v>@@</v>
          </cell>
          <cell r="Q214" t="str">
            <v>@@</v>
          </cell>
          <cell r="R214" t="str">
            <v>@@</v>
          </cell>
          <cell r="S214" t="str">
            <v>@@</v>
          </cell>
          <cell r="AB214" t="str">
            <v>@@</v>
          </cell>
          <cell r="AC214" t="str">
            <v>@@</v>
          </cell>
          <cell r="AD214" t="str">
            <v>@@</v>
          </cell>
          <cell r="AL214" t="str">
            <v>@@</v>
          </cell>
        </row>
        <row r="215">
          <cell r="J215">
            <v>39200</v>
          </cell>
          <cell r="L215" t="str">
            <v>@@</v>
          </cell>
          <cell r="M215" t="str">
            <v>@@</v>
          </cell>
          <cell r="N215" t="str">
            <v>@@</v>
          </cell>
          <cell r="O215" t="str">
            <v>@@</v>
          </cell>
          <cell r="P215" t="str">
            <v>@@</v>
          </cell>
          <cell r="Q215" t="str">
            <v>@@</v>
          </cell>
          <cell r="R215" t="str">
            <v>@@</v>
          </cell>
          <cell r="S215" t="str">
            <v>@@</v>
          </cell>
          <cell r="AB215" t="str">
            <v>@@</v>
          </cell>
          <cell r="AC215" t="str">
            <v>@@</v>
          </cell>
          <cell r="AD215" t="str">
            <v>@@</v>
          </cell>
          <cell r="AL215" t="str">
            <v>@@</v>
          </cell>
        </row>
        <row r="216">
          <cell r="J216">
            <v>39300</v>
          </cell>
          <cell r="L216" t="str">
            <v>@@</v>
          </cell>
          <cell r="M216" t="str">
            <v>@@</v>
          </cell>
          <cell r="N216" t="str">
            <v>@@</v>
          </cell>
          <cell r="O216" t="str">
            <v>@@</v>
          </cell>
          <cell r="P216" t="str">
            <v>@@</v>
          </cell>
          <cell r="Q216" t="str">
            <v>@@</v>
          </cell>
          <cell r="R216" t="str">
            <v>@@</v>
          </cell>
          <cell r="S216" t="str">
            <v>@@</v>
          </cell>
          <cell r="AB216" t="str">
            <v>@@</v>
          </cell>
          <cell r="AC216" t="str">
            <v>@@</v>
          </cell>
          <cell r="AD216" t="str">
            <v>@@</v>
          </cell>
          <cell r="AL216" t="str">
            <v>@@</v>
          </cell>
        </row>
        <row r="217">
          <cell r="J217">
            <v>39400</v>
          </cell>
          <cell r="L217" t="str">
            <v>@@</v>
          </cell>
          <cell r="M217" t="str">
            <v>@@</v>
          </cell>
          <cell r="N217" t="str">
            <v>@@</v>
          </cell>
          <cell r="O217" t="str">
            <v>@@</v>
          </cell>
          <cell r="P217" t="str">
            <v>@@</v>
          </cell>
          <cell r="Q217" t="str">
            <v>@@</v>
          </cell>
          <cell r="R217" t="str">
            <v>@@</v>
          </cell>
          <cell r="S217" t="str">
            <v>@@</v>
          </cell>
          <cell r="AB217" t="str">
            <v>@@</v>
          </cell>
          <cell r="AC217" t="str">
            <v>@@</v>
          </cell>
          <cell r="AD217" t="str">
            <v>@@</v>
          </cell>
          <cell r="AL217" t="str">
            <v>@@</v>
          </cell>
        </row>
        <row r="218">
          <cell r="J218">
            <v>39500</v>
          </cell>
          <cell r="L218" t="str">
            <v>@@</v>
          </cell>
          <cell r="M218" t="str">
            <v>@@</v>
          </cell>
          <cell r="N218" t="str">
            <v>@@</v>
          </cell>
          <cell r="O218" t="str">
            <v>@@</v>
          </cell>
          <cell r="P218" t="str">
            <v>@@</v>
          </cell>
          <cell r="Q218" t="str">
            <v>@@</v>
          </cell>
          <cell r="R218" t="str">
            <v>@@</v>
          </cell>
          <cell r="S218" t="str">
            <v>@@</v>
          </cell>
          <cell r="AB218" t="str">
            <v>@@</v>
          </cell>
          <cell r="AC218" t="str">
            <v>@@</v>
          </cell>
          <cell r="AD218" t="str">
            <v>@@</v>
          </cell>
          <cell r="AL218" t="str">
            <v>@@</v>
          </cell>
        </row>
        <row r="219">
          <cell r="J219">
            <v>39600</v>
          </cell>
          <cell r="L219" t="str">
            <v>@@</v>
          </cell>
          <cell r="M219" t="str">
            <v>@@</v>
          </cell>
          <cell r="N219" t="str">
            <v>@@</v>
          </cell>
          <cell r="O219" t="str">
            <v>@@</v>
          </cell>
          <cell r="P219" t="str">
            <v>@@</v>
          </cell>
          <cell r="Q219" t="str">
            <v>@@</v>
          </cell>
          <cell r="R219" t="str">
            <v>@@</v>
          </cell>
          <cell r="S219" t="str">
            <v>@@</v>
          </cell>
          <cell r="AB219" t="str">
            <v>@@</v>
          </cell>
          <cell r="AC219" t="str">
            <v>@@</v>
          </cell>
          <cell r="AD219" t="str">
            <v>@@</v>
          </cell>
          <cell r="AL219" t="str">
            <v>@@</v>
          </cell>
        </row>
        <row r="220">
          <cell r="J220">
            <v>39700</v>
          </cell>
          <cell r="L220" t="str">
            <v>@@</v>
          </cell>
          <cell r="M220" t="str">
            <v>@@</v>
          </cell>
          <cell r="N220" t="str">
            <v>@@</v>
          </cell>
          <cell r="O220" t="str">
            <v>@@</v>
          </cell>
          <cell r="P220" t="str">
            <v>@@</v>
          </cell>
          <cell r="Q220" t="str">
            <v>@@</v>
          </cell>
          <cell r="R220" t="str">
            <v>@@</v>
          </cell>
          <cell r="S220" t="str">
            <v>@@</v>
          </cell>
          <cell r="AB220" t="str">
            <v>@@</v>
          </cell>
          <cell r="AC220" t="str">
            <v>@@</v>
          </cell>
          <cell r="AD220" t="str">
            <v>@@</v>
          </cell>
          <cell r="AL220" t="str">
            <v>@@</v>
          </cell>
        </row>
        <row r="221">
          <cell r="J221">
            <v>39800</v>
          </cell>
          <cell r="L221" t="str">
            <v>@@</v>
          </cell>
          <cell r="M221" t="str">
            <v>@@</v>
          </cell>
          <cell r="N221" t="str">
            <v>@@</v>
          </cell>
          <cell r="O221" t="str">
            <v>@@</v>
          </cell>
          <cell r="P221" t="str">
            <v>@@</v>
          </cell>
          <cell r="Q221" t="str">
            <v>@@</v>
          </cell>
          <cell r="R221" t="str">
            <v>@@</v>
          </cell>
          <cell r="S221" t="str">
            <v>@@</v>
          </cell>
          <cell r="AB221" t="str">
            <v>@@</v>
          </cell>
          <cell r="AC221" t="str">
            <v>@@</v>
          </cell>
          <cell r="AD221" t="str">
            <v>@@</v>
          </cell>
          <cell r="AL221" t="str">
            <v>@@</v>
          </cell>
        </row>
        <row r="222">
          <cell r="J222">
            <v>39900</v>
          </cell>
          <cell r="L222" t="str">
            <v>@@</v>
          </cell>
          <cell r="M222" t="str">
            <v>@@</v>
          </cell>
          <cell r="N222" t="str">
            <v>@@</v>
          </cell>
          <cell r="O222" t="str">
            <v>@@</v>
          </cell>
          <cell r="P222" t="str">
            <v>@@</v>
          </cell>
          <cell r="Q222" t="str">
            <v>@@</v>
          </cell>
          <cell r="R222" t="str">
            <v>@@</v>
          </cell>
          <cell r="S222" t="str">
            <v>@@</v>
          </cell>
          <cell r="AB222" t="str">
            <v>@@</v>
          </cell>
          <cell r="AC222" t="str">
            <v>@@</v>
          </cell>
          <cell r="AD222" t="str">
            <v>@@</v>
          </cell>
          <cell r="AL222" t="str">
            <v>@@</v>
          </cell>
        </row>
        <row r="223">
          <cell r="J223">
            <v>40000</v>
          </cell>
          <cell r="L223" t="str">
            <v>@@</v>
          </cell>
          <cell r="M223" t="str">
            <v>@@</v>
          </cell>
          <cell r="N223" t="str">
            <v>@@</v>
          </cell>
          <cell r="O223" t="str">
            <v>@@</v>
          </cell>
          <cell r="P223" t="str">
            <v>@@</v>
          </cell>
          <cell r="Q223" t="str">
            <v>@@</v>
          </cell>
          <cell r="R223" t="str">
            <v>@@</v>
          </cell>
          <cell r="S223" t="str">
            <v>@@</v>
          </cell>
          <cell r="AB223" t="str">
            <v>@@</v>
          </cell>
          <cell r="AC223" t="str">
            <v>@@</v>
          </cell>
          <cell r="AD223" t="str">
            <v>@@</v>
          </cell>
          <cell r="AL223" t="str">
            <v>@@</v>
          </cell>
        </row>
        <row r="224">
          <cell r="J224">
            <v>40100</v>
          </cell>
          <cell r="L224" t="str">
            <v>@@</v>
          </cell>
          <cell r="M224" t="str">
            <v>@@</v>
          </cell>
          <cell r="N224" t="str">
            <v>@@</v>
          </cell>
          <cell r="O224" t="str">
            <v>@@</v>
          </cell>
          <cell r="P224" t="str">
            <v>@@</v>
          </cell>
          <cell r="Q224" t="str">
            <v>@@</v>
          </cell>
          <cell r="R224" t="str">
            <v>@@</v>
          </cell>
          <cell r="S224" t="str">
            <v>@@</v>
          </cell>
          <cell r="AB224" t="str">
            <v>@@</v>
          </cell>
          <cell r="AC224" t="str">
            <v>@@</v>
          </cell>
          <cell r="AD224" t="str">
            <v>@@</v>
          </cell>
          <cell r="AL224" t="str">
            <v>@@</v>
          </cell>
        </row>
        <row r="225">
          <cell r="J225">
            <v>40200</v>
          </cell>
          <cell r="L225" t="str">
            <v>@@</v>
          </cell>
          <cell r="M225" t="str">
            <v>@@</v>
          </cell>
          <cell r="N225" t="str">
            <v>@@</v>
          </cell>
          <cell r="O225" t="str">
            <v>@@</v>
          </cell>
          <cell r="P225" t="str">
            <v>@@</v>
          </cell>
          <cell r="Q225" t="str">
            <v>@@</v>
          </cell>
          <cell r="R225" t="str">
            <v>@@</v>
          </cell>
          <cell r="S225" t="str">
            <v>@@</v>
          </cell>
          <cell r="AB225" t="str">
            <v>@@</v>
          </cell>
          <cell r="AC225" t="str">
            <v>@@</v>
          </cell>
          <cell r="AD225" t="str">
            <v>@@</v>
          </cell>
          <cell r="AL225" t="str">
            <v>@@</v>
          </cell>
        </row>
        <row r="226">
          <cell r="J226">
            <v>40300</v>
          </cell>
          <cell r="L226" t="str">
            <v>@@</v>
          </cell>
          <cell r="M226" t="str">
            <v>@@</v>
          </cell>
          <cell r="N226" t="str">
            <v>@@</v>
          </cell>
          <cell r="O226" t="str">
            <v>@@</v>
          </cell>
          <cell r="P226" t="str">
            <v>@@</v>
          </cell>
          <cell r="Q226" t="str">
            <v>@@</v>
          </cell>
          <cell r="R226" t="str">
            <v>@@</v>
          </cell>
          <cell r="S226" t="str">
            <v>@@</v>
          </cell>
          <cell r="AB226" t="str">
            <v>@@</v>
          </cell>
          <cell r="AC226" t="str">
            <v>@@</v>
          </cell>
          <cell r="AD226" t="str">
            <v>@@</v>
          </cell>
          <cell r="AL226" t="str">
            <v>@@</v>
          </cell>
        </row>
        <row r="227">
          <cell r="J227">
            <v>40400</v>
          </cell>
          <cell r="L227" t="str">
            <v>@@</v>
          </cell>
          <cell r="M227" t="str">
            <v>@@</v>
          </cell>
          <cell r="N227" t="str">
            <v>@@</v>
          </cell>
          <cell r="O227" t="str">
            <v>@@</v>
          </cell>
          <cell r="P227" t="str">
            <v>@@</v>
          </cell>
          <cell r="Q227" t="str">
            <v>@@</v>
          </cell>
          <cell r="R227" t="str">
            <v>@@</v>
          </cell>
          <cell r="S227" t="str">
            <v>@@</v>
          </cell>
          <cell r="AB227" t="str">
            <v>@@</v>
          </cell>
          <cell r="AC227" t="str">
            <v>@@</v>
          </cell>
          <cell r="AD227" t="str">
            <v>@@</v>
          </cell>
          <cell r="AL227" t="str">
            <v>@@</v>
          </cell>
        </row>
        <row r="228">
          <cell r="J228">
            <v>40500</v>
          </cell>
          <cell r="L228" t="str">
            <v>@@</v>
          </cell>
          <cell r="M228" t="str">
            <v>@@</v>
          </cell>
          <cell r="N228" t="str">
            <v>@@</v>
          </cell>
          <cell r="O228" t="str">
            <v>@@</v>
          </cell>
          <cell r="P228" t="str">
            <v>@@</v>
          </cell>
          <cell r="Q228" t="str">
            <v>@@</v>
          </cell>
          <cell r="R228" t="str">
            <v>@@</v>
          </cell>
          <cell r="S228" t="str">
            <v>@@</v>
          </cell>
          <cell r="AB228" t="str">
            <v>@@</v>
          </cell>
          <cell r="AC228" t="str">
            <v>@@</v>
          </cell>
          <cell r="AD228" t="str">
            <v>@@</v>
          </cell>
          <cell r="AL228" t="str">
            <v>@@</v>
          </cell>
        </row>
        <row r="229">
          <cell r="J229">
            <v>40600</v>
          </cell>
          <cell r="L229" t="str">
            <v>@@</v>
          </cell>
          <cell r="M229" t="str">
            <v>@@</v>
          </cell>
          <cell r="N229" t="str">
            <v>@@</v>
          </cell>
          <cell r="O229" t="str">
            <v>@@</v>
          </cell>
          <cell r="P229" t="str">
            <v>@@</v>
          </cell>
          <cell r="Q229" t="str">
            <v>@@</v>
          </cell>
          <cell r="R229" t="str">
            <v>@@</v>
          </cell>
          <cell r="S229" t="str">
            <v>@@</v>
          </cell>
          <cell r="AB229" t="str">
            <v>@@</v>
          </cell>
          <cell r="AC229" t="str">
            <v>@@</v>
          </cell>
          <cell r="AD229" t="str">
            <v>@@</v>
          </cell>
          <cell r="AL229" t="str">
            <v>@@</v>
          </cell>
        </row>
        <row r="230">
          <cell r="J230">
            <v>40700</v>
          </cell>
          <cell r="L230" t="str">
            <v>@@</v>
          </cell>
          <cell r="M230" t="str">
            <v>@@</v>
          </cell>
          <cell r="N230" t="str">
            <v>@@</v>
          </cell>
          <cell r="O230" t="str">
            <v>@@</v>
          </cell>
          <cell r="P230" t="str">
            <v>@@</v>
          </cell>
          <cell r="Q230" t="str">
            <v>@@</v>
          </cell>
          <cell r="R230" t="str">
            <v>@@</v>
          </cell>
          <cell r="S230" t="str">
            <v>@@</v>
          </cell>
          <cell r="AB230" t="str">
            <v>@@</v>
          </cell>
          <cell r="AC230" t="str">
            <v>@@</v>
          </cell>
          <cell r="AD230" t="str">
            <v>@@</v>
          </cell>
          <cell r="AL230" t="str">
            <v>@@</v>
          </cell>
        </row>
        <row r="231">
          <cell r="J231">
            <v>40800</v>
          </cell>
          <cell r="L231" t="str">
            <v>@@</v>
          </cell>
          <cell r="M231" t="str">
            <v>@@</v>
          </cell>
          <cell r="N231" t="str">
            <v>@@</v>
          </cell>
          <cell r="O231" t="str">
            <v>@@</v>
          </cell>
          <cell r="P231" t="str">
            <v>@@</v>
          </cell>
          <cell r="Q231" t="str">
            <v>@@</v>
          </cell>
          <cell r="R231" t="str">
            <v>@@</v>
          </cell>
          <cell r="S231" t="str">
            <v>@@</v>
          </cell>
          <cell r="AB231" t="str">
            <v>@@</v>
          </cell>
          <cell r="AC231" t="str">
            <v>@@</v>
          </cell>
          <cell r="AD231" t="str">
            <v>@@</v>
          </cell>
          <cell r="AL231" t="str">
            <v>@@</v>
          </cell>
        </row>
        <row r="232">
          <cell r="J232">
            <v>40900</v>
          </cell>
          <cell r="L232" t="str">
            <v>@@</v>
          </cell>
          <cell r="M232" t="str">
            <v>@@</v>
          </cell>
          <cell r="N232" t="str">
            <v>@@</v>
          </cell>
          <cell r="O232" t="str">
            <v>@@</v>
          </cell>
          <cell r="P232" t="str">
            <v>@@</v>
          </cell>
          <cell r="Q232" t="str">
            <v>@@</v>
          </cell>
          <cell r="R232" t="str">
            <v>@@</v>
          </cell>
          <cell r="S232" t="str">
            <v>@@</v>
          </cell>
          <cell r="AB232" t="str">
            <v>@@</v>
          </cell>
          <cell r="AC232" t="str">
            <v>@@</v>
          </cell>
          <cell r="AD232" t="str">
            <v>@@</v>
          </cell>
          <cell r="AL232" t="str">
            <v>@@</v>
          </cell>
        </row>
        <row r="233">
          <cell r="J233">
            <v>41000</v>
          </cell>
          <cell r="L233" t="str">
            <v>@@</v>
          </cell>
          <cell r="M233" t="str">
            <v>@@</v>
          </cell>
          <cell r="N233" t="str">
            <v>@@</v>
          </cell>
          <cell r="O233" t="str">
            <v>@@</v>
          </cell>
          <cell r="P233" t="str">
            <v>@@</v>
          </cell>
          <cell r="Q233" t="str">
            <v>@@</v>
          </cell>
          <cell r="R233" t="str">
            <v>@@</v>
          </cell>
          <cell r="S233" t="str">
            <v>@@</v>
          </cell>
          <cell r="AB233" t="str">
            <v>@@</v>
          </cell>
          <cell r="AC233" t="str">
            <v>@@</v>
          </cell>
          <cell r="AD233" t="str">
            <v>@@</v>
          </cell>
          <cell r="AL233" t="str">
            <v>@@</v>
          </cell>
        </row>
        <row r="234">
          <cell r="J234">
            <v>41100</v>
          </cell>
          <cell r="L234" t="str">
            <v>@@</v>
          </cell>
          <cell r="M234" t="str">
            <v>@@</v>
          </cell>
          <cell r="N234" t="str">
            <v>@@</v>
          </cell>
          <cell r="O234" t="str">
            <v>@@</v>
          </cell>
          <cell r="P234" t="str">
            <v>@@</v>
          </cell>
          <cell r="Q234" t="str">
            <v>@@</v>
          </cell>
          <cell r="R234" t="str">
            <v>@@</v>
          </cell>
          <cell r="S234" t="str">
            <v>@@</v>
          </cell>
          <cell r="AB234" t="str">
            <v>@@</v>
          </cell>
          <cell r="AC234" t="str">
            <v>@@</v>
          </cell>
          <cell r="AD234" t="str">
            <v>@@</v>
          </cell>
          <cell r="AL234" t="str">
            <v>@@</v>
          </cell>
        </row>
        <row r="235">
          <cell r="J235">
            <v>41200</v>
          </cell>
          <cell r="L235" t="str">
            <v>@@</v>
          </cell>
          <cell r="M235" t="str">
            <v>@@</v>
          </cell>
          <cell r="N235" t="str">
            <v>@@</v>
          </cell>
          <cell r="O235" t="str">
            <v>@@</v>
          </cell>
          <cell r="P235" t="str">
            <v>@@</v>
          </cell>
          <cell r="Q235" t="str">
            <v>@@</v>
          </cell>
          <cell r="R235" t="str">
            <v>@@</v>
          </cell>
          <cell r="S235" t="str">
            <v>@@</v>
          </cell>
          <cell r="AB235" t="str">
            <v>@@</v>
          </cell>
          <cell r="AC235" t="str">
            <v>@@</v>
          </cell>
          <cell r="AD235" t="str">
            <v>@@</v>
          </cell>
          <cell r="AL235" t="str">
            <v>@@</v>
          </cell>
        </row>
        <row r="236">
          <cell r="J236">
            <v>41300</v>
          </cell>
          <cell r="L236" t="str">
            <v>@@</v>
          </cell>
          <cell r="M236" t="str">
            <v>@@</v>
          </cell>
          <cell r="N236" t="str">
            <v>@@</v>
          </cell>
          <cell r="O236" t="str">
            <v>@@</v>
          </cell>
          <cell r="P236" t="str">
            <v>@@</v>
          </cell>
          <cell r="Q236" t="str">
            <v>@@</v>
          </cell>
          <cell r="R236" t="str">
            <v>@@</v>
          </cell>
          <cell r="S236" t="str">
            <v>@@</v>
          </cell>
          <cell r="AB236" t="str">
            <v>@@</v>
          </cell>
          <cell r="AC236" t="str">
            <v>@@</v>
          </cell>
          <cell r="AD236" t="str">
            <v>@@</v>
          </cell>
          <cell r="AL236" t="str">
            <v>@@</v>
          </cell>
        </row>
        <row r="237">
          <cell r="J237">
            <v>41400</v>
          </cell>
          <cell r="L237" t="str">
            <v>@@</v>
          </cell>
          <cell r="M237" t="str">
            <v>@@</v>
          </cell>
          <cell r="N237" t="str">
            <v>@@</v>
          </cell>
          <cell r="O237" t="str">
            <v>@@</v>
          </cell>
          <cell r="P237" t="str">
            <v>@@</v>
          </cell>
          <cell r="Q237" t="str">
            <v>@@</v>
          </cell>
          <cell r="R237" t="str">
            <v>@@</v>
          </cell>
          <cell r="S237" t="str">
            <v>@@</v>
          </cell>
          <cell r="AB237" t="str">
            <v>@@</v>
          </cell>
          <cell r="AC237" t="str">
            <v>@@</v>
          </cell>
          <cell r="AD237" t="str">
            <v>@@</v>
          </cell>
          <cell r="AL237" t="str">
            <v>@@</v>
          </cell>
        </row>
        <row r="238">
          <cell r="J238">
            <v>41500</v>
          </cell>
          <cell r="L238" t="str">
            <v>@@</v>
          </cell>
          <cell r="M238" t="str">
            <v>@@</v>
          </cell>
          <cell r="N238" t="str">
            <v>@@</v>
          </cell>
          <cell r="O238" t="str">
            <v>@@</v>
          </cell>
          <cell r="P238" t="str">
            <v>@@</v>
          </cell>
          <cell r="Q238" t="str">
            <v>@@</v>
          </cell>
          <cell r="R238" t="str">
            <v>@@</v>
          </cell>
          <cell r="S238" t="str">
            <v>@@</v>
          </cell>
          <cell r="AB238" t="str">
            <v>@@</v>
          </cell>
          <cell r="AC238" t="str">
            <v>@@</v>
          </cell>
          <cell r="AD238" t="str">
            <v>@@</v>
          </cell>
          <cell r="AL238" t="str">
            <v>@@</v>
          </cell>
        </row>
        <row r="239">
          <cell r="J239">
            <v>41600</v>
          </cell>
          <cell r="L239" t="str">
            <v>@@</v>
          </cell>
          <cell r="M239" t="str">
            <v>@@</v>
          </cell>
          <cell r="N239" t="str">
            <v>@@</v>
          </cell>
          <cell r="O239" t="str">
            <v>@@</v>
          </cell>
          <cell r="P239" t="str">
            <v>@@</v>
          </cell>
          <cell r="Q239" t="str">
            <v>@@</v>
          </cell>
          <cell r="R239" t="str">
            <v>@@</v>
          </cell>
          <cell r="S239" t="str">
            <v>@@</v>
          </cell>
          <cell r="AB239" t="str">
            <v>@@</v>
          </cell>
          <cell r="AC239" t="str">
            <v>@@</v>
          </cell>
          <cell r="AD239" t="str">
            <v>@@</v>
          </cell>
          <cell r="AL239" t="str">
            <v>@@</v>
          </cell>
        </row>
        <row r="240">
          <cell r="J240">
            <v>41700</v>
          </cell>
          <cell r="L240" t="str">
            <v>@@</v>
          </cell>
          <cell r="M240" t="str">
            <v>@@</v>
          </cell>
          <cell r="N240" t="str">
            <v>@@</v>
          </cell>
          <cell r="O240" t="str">
            <v>@@</v>
          </cell>
          <cell r="P240" t="str">
            <v>@@</v>
          </cell>
          <cell r="Q240" t="str">
            <v>@@</v>
          </cell>
          <cell r="R240" t="str">
            <v>@@</v>
          </cell>
          <cell r="S240" t="str">
            <v>@@</v>
          </cell>
          <cell r="AB240" t="str">
            <v>@@</v>
          </cell>
          <cell r="AC240" t="str">
            <v>@@</v>
          </cell>
          <cell r="AD240" t="str">
            <v>@@</v>
          </cell>
          <cell r="AL240" t="str">
            <v>@@</v>
          </cell>
        </row>
        <row r="241">
          <cell r="J241">
            <v>41800</v>
          </cell>
          <cell r="L241" t="str">
            <v>@@</v>
          </cell>
          <cell r="M241" t="str">
            <v>@@</v>
          </cell>
          <cell r="N241" t="str">
            <v>@@</v>
          </cell>
          <cell r="O241" t="str">
            <v>@@</v>
          </cell>
          <cell r="P241" t="str">
            <v>@@</v>
          </cell>
          <cell r="Q241" t="str">
            <v>@@</v>
          </cell>
          <cell r="R241" t="str">
            <v>@@</v>
          </cell>
          <cell r="S241" t="str">
            <v>@@</v>
          </cell>
          <cell r="AB241" t="str">
            <v>@@</v>
          </cell>
          <cell r="AC241" t="str">
            <v>@@</v>
          </cell>
          <cell r="AD241" t="str">
            <v>@@</v>
          </cell>
          <cell r="AL241" t="str">
            <v>@@</v>
          </cell>
        </row>
        <row r="242">
          <cell r="J242">
            <v>41900</v>
          </cell>
          <cell r="L242" t="str">
            <v>@@</v>
          </cell>
          <cell r="M242" t="str">
            <v>@@</v>
          </cell>
          <cell r="N242" t="str">
            <v>@@</v>
          </cell>
          <cell r="O242" t="str">
            <v>@@</v>
          </cell>
          <cell r="P242" t="str">
            <v>@@</v>
          </cell>
          <cell r="Q242" t="str">
            <v>@@</v>
          </cell>
          <cell r="R242" t="str">
            <v>@@</v>
          </cell>
          <cell r="S242" t="str">
            <v>@@</v>
          </cell>
          <cell r="AB242" t="str">
            <v>@@</v>
          </cell>
          <cell r="AC242" t="str">
            <v>@@</v>
          </cell>
          <cell r="AD242" t="str">
            <v>@@</v>
          </cell>
          <cell r="AL242" t="str">
            <v>@@</v>
          </cell>
        </row>
        <row r="243">
          <cell r="J243">
            <v>42000</v>
          </cell>
          <cell r="L243" t="str">
            <v>@@</v>
          </cell>
          <cell r="M243" t="str">
            <v>@@</v>
          </cell>
          <cell r="N243" t="str">
            <v>@@</v>
          </cell>
          <cell r="O243" t="str">
            <v>@@</v>
          </cell>
          <cell r="P243" t="str">
            <v>@@</v>
          </cell>
          <cell r="Q243" t="str">
            <v>@@</v>
          </cell>
          <cell r="R243" t="str">
            <v>@@</v>
          </cell>
          <cell r="S243" t="str">
            <v>@@</v>
          </cell>
          <cell r="AB243" t="str">
            <v>@@</v>
          </cell>
          <cell r="AC243" t="str">
            <v>@@</v>
          </cell>
          <cell r="AD243" t="str">
            <v>@@</v>
          </cell>
          <cell r="AL243" t="str">
            <v>@@</v>
          </cell>
        </row>
        <row r="244">
          <cell r="J244">
            <v>42100</v>
          </cell>
          <cell r="L244" t="str">
            <v>@@</v>
          </cell>
          <cell r="M244" t="str">
            <v>@@</v>
          </cell>
          <cell r="N244" t="str">
            <v>@@</v>
          </cell>
          <cell r="O244" t="str">
            <v>@@</v>
          </cell>
          <cell r="P244" t="str">
            <v>@@</v>
          </cell>
          <cell r="Q244" t="str">
            <v>@@</v>
          </cell>
          <cell r="R244" t="str">
            <v>@@</v>
          </cell>
          <cell r="S244" t="str">
            <v>@@</v>
          </cell>
          <cell r="AB244" t="str">
            <v>@@</v>
          </cell>
          <cell r="AC244" t="str">
            <v>@@</v>
          </cell>
          <cell r="AD244" t="str">
            <v>@@</v>
          </cell>
          <cell r="AL244" t="str">
            <v>@@</v>
          </cell>
        </row>
        <row r="245">
          <cell r="J245">
            <v>42200</v>
          </cell>
          <cell r="L245" t="str">
            <v>@@</v>
          </cell>
          <cell r="M245" t="str">
            <v>@@</v>
          </cell>
          <cell r="N245" t="str">
            <v>@@</v>
          </cell>
          <cell r="O245" t="str">
            <v>@@</v>
          </cell>
          <cell r="P245" t="str">
            <v>@@</v>
          </cell>
          <cell r="Q245" t="str">
            <v>@@</v>
          </cell>
          <cell r="R245" t="str">
            <v>@@</v>
          </cell>
          <cell r="S245" t="str">
            <v>@@</v>
          </cell>
          <cell r="AB245" t="str">
            <v>@@</v>
          </cell>
          <cell r="AC245" t="str">
            <v>@@</v>
          </cell>
          <cell r="AD245" t="str">
            <v>@@</v>
          </cell>
          <cell r="AL245" t="str">
            <v>@@</v>
          </cell>
        </row>
        <row r="246">
          <cell r="J246">
            <v>42300</v>
          </cell>
          <cell r="L246" t="str">
            <v>@@</v>
          </cell>
          <cell r="M246" t="str">
            <v>@@</v>
          </cell>
          <cell r="N246" t="str">
            <v>@@</v>
          </cell>
          <cell r="O246" t="str">
            <v>@@</v>
          </cell>
          <cell r="P246" t="str">
            <v>@@</v>
          </cell>
          <cell r="Q246" t="str">
            <v>@@</v>
          </cell>
          <cell r="R246" t="str">
            <v>@@</v>
          </cell>
          <cell r="S246" t="str">
            <v>@@</v>
          </cell>
          <cell r="AB246" t="str">
            <v>@@</v>
          </cell>
          <cell r="AC246" t="str">
            <v>@@</v>
          </cell>
          <cell r="AD246" t="str">
            <v>@@</v>
          </cell>
          <cell r="AL246" t="str">
            <v>@@</v>
          </cell>
        </row>
        <row r="247">
          <cell r="J247">
            <v>42400</v>
          </cell>
          <cell r="L247" t="str">
            <v>@@</v>
          </cell>
          <cell r="M247" t="str">
            <v>@@</v>
          </cell>
          <cell r="N247" t="str">
            <v>@@</v>
          </cell>
          <cell r="O247" t="str">
            <v>@@</v>
          </cell>
          <cell r="P247" t="str">
            <v>@@</v>
          </cell>
          <cell r="Q247" t="str">
            <v>@@</v>
          </cell>
          <cell r="R247" t="str">
            <v>@@</v>
          </cell>
          <cell r="S247" t="str">
            <v>@@</v>
          </cell>
          <cell r="AB247" t="str">
            <v>@@</v>
          </cell>
          <cell r="AC247" t="str">
            <v>@@</v>
          </cell>
          <cell r="AD247" t="str">
            <v>@@</v>
          </cell>
          <cell r="AL247" t="str">
            <v>@@</v>
          </cell>
        </row>
        <row r="248">
          <cell r="J248">
            <v>42500</v>
          </cell>
          <cell r="L248" t="str">
            <v>@@</v>
          </cell>
          <cell r="M248" t="str">
            <v>@@</v>
          </cell>
          <cell r="N248" t="str">
            <v>@@</v>
          </cell>
          <cell r="O248" t="str">
            <v>@@</v>
          </cell>
          <cell r="P248" t="str">
            <v>@@</v>
          </cell>
          <cell r="Q248" t="str">
            <v>@@</v>
          </cell>
          <cell r="R248" t="str">
            <v>@@</v>
          </cell>
          <cell r="S248" t="str">
            <v>@@</v>
          </cell>
          <cell r="AB248" t="str">
            <v>@@</v>
          </cell>
          <cell r="AC248" t="str">
            <v>@@</v>
          </cell>
          <cell r="AD248" t="str">
            <v>@@</v>
          </cell>
          <cell r="AL248" t="str">
            <v>@@</v>
          </cell>
        </row>
        <row r="249">
          <cell r="J249">
            <v>42600</v>
          </cell>
          <cell r="L249" t="str">
            <v>@@</v>
          </cell>
          <cell r="M249" t="str">
            <v>@@</v>
          </cell>
          <cell r="N249" t="str">
            <v>@@</v>
          </cell>
          <cell r="O249" t="str">
            <v>@@</v>
          </cell>
          <cell r="P249" t="str">
            <v>@@</v>
          </cell>
          <cell r="Q249" t="str">
            <v>@@</v>
          </cell>
          <cell r="R249" t="str">
            <v>@@</v>
          </cell>
          <cell r="S249" t="str">
            <v>@@</v>
          </cell>
          <cell r="AB249" t="str">
            <v>@@</v>
          </cell>
          <cell r="AC249" t="str">
            <v>@@</v>
          </cell>
          <cell r="AD249" t="str">
            <v>@@</v>
          </cell>
          <cell r="AL249" t="str">
            <v>@@</v>
          </cell>
        </row>
        <row r="250">
          <cell r="J250">
            <v>42700</v>
          </cell>
          <cell r="L250" t="str">
            <v>@@</v>
          </cell>
          <cell r="M250" t="str">
            <v>@@</v>
          </cell>
          <cell r="N250" t="str">
            <v>@@</v>
          </cell>
          <cell r="O250" t="str">
            <v>@@</v>
          </cell>
          <cell r="P250" t="str">
            <v>@@</v>
          </cell>
          <cell r="Q250" t="str">
            <v>@@</v>
          </cell>
          <cell r="R250" t="str">
            <v>@@</v>
          </cell>
          <cell r="S250" t="str">
            <v>@@</v>
          </cell>
          <cell r="AB250" t="str">
            <v>@@</v>
          </cell>
          <cell r="AC250" t="str">
            <v>@@</v>
          </cell>
          <cell r="AD250" t="str">
            <v>@@</v>
          </cell>
          <cell r="AL250" t="str">
            <v>@@</v>
          </cell>
        </row>
        <row r="251">
          <cell r="J251">
            <v>42800</v>
          </cell>
          <cell r="L251" t="str">
            <v>@@</v>
          </cell>
          <cell r="M251" t="str">
            <v>@@</v>
          </cell>
          <cell r="N251" t="str">
            <v>@@</v>
          </cell>
          <cell r="O251" t="str">
            <v>@@</v>
          </cell>
          <cell r="P251" t="str">
            <v>@@</v>
          </cell>
          <cell r="Q251" t="str">
            <v>@@</v>
          </cell>
          <cell r="R251" t="str">
            <v>@@</v>
          </cell>
          <cell r="S251" t="str">
            <v>@@</v>
          </cell>
          <cell r="AB251" t="str">
            <v>@@</v>
          </cell>
          <cell r="AC251">
            <v>-9.9600000000000009</v>
          </cell>
          <cell r="AD251">
            <v>3.3</v>
          </cell>
          <cell r="AF251">
            <v>-9.9600000000000009</v>
          </cell>
          <cell r="AG251">
            <v>3.3</v>
          </cell>
          <cell r="AL251" t="str">
            <v>@@</v>
          </cell>
        </row>
        <row r="252">
          <cell r="J252">
            <v>42900</v>
          </cell>
          <cell r="L252">
            <v>42900</v>
          </cell>
          <cell r="M252">
            <v>-9.9600000000000009</v>
          </cell>
          <cell r="N252">
            <v>3.3</v>
          </cell>
          <cell r="O252">
            <v>-33.950000000000003</v>
          </cell>
          <cell r="P252">
            <v>4.3</v>
          </cell>
          <cell r="Q252">
            <v>-48.26</v>
          </cell>
          <cell r="R252">
            <v>2.9</v>
          </cell>
          <cell r="S252">
            <v>1</v>
          </cell>
          <cell r="T252">
            <v>42900</v>
          </cell>
          <cell r="U252">
            <v>-9.9600000000000009</v>
          </cell>
          <cell r="V252">
            <v>3.3</v>
          </cell>
          <cell r="W252">
            <v>-33.950000000000003</v>
          </cell>
          <cell r="X252">
            <v>4.3</v>
          </cell>
          <cell r="Y252">
            <v>-48.26</v>
          </cell>
          <cell r="Z252">
            <v>2.9</v>
          </cell>
          <cell r="AA252">
            <v>1</v>
          </cell>
          <cell r="AB252">
            <v>42900</v>
          </cell>
          <cell r="AC252">
            <v>-33.950000000000003</v>
          </cell>
          <cell r="AD252">
            <v>4.3</v>
          </cell>
          <cell r="AE252">
            <v>42900</v>
          </cell>
          <cell r="AF252">
            <v>-33.950000000000003</v>
          </cell>
          <cell r="AG252">
            <v>4.3</v>
          </cell>
          <cell r="AL252">
            <v>10.5</v>
          </cell>
          <cell r="AM252">
            <v>10.5</v>
          </cell>
        </row>
        <row r="253">
          <cell r="J253">
            <v>43000</v>
          </cell>
          <cell r="L253" t="str">
            <v>@@</v>
          </cell>
          <cell r="M253" t="str">
            <v>@@</v>
          </cell>
          <cell r="N253" t="str">
            <v>@@</v>
          </cell>
          <cell r="O253" t="str">
            <v>@@</v>
          </cell>
          <cell r="P253" t="str">
            <v>@@</v>
          </cell>
          <cell r="Q253" t="str">
            <v>@@</v>
          </cell>
          <cell r="R253" t="str">
            <v>@@</v>
          </cell>
          <cell r="S253" t="str">
            <v>@@</v>
          </cell>
          <cell r="AB253" t="str">
            <v>@@</v>
          </cell>
          <cell r="AC253">
            <v>-48.26</v>
          </cell>
          <cell r="AD253">
            <v>2.9</v>
          </cell>
          <cell r="AF253">
            <v>-48.26</v>
          </cell>
          <cell r="AG253">
            <v>2.9</v>
          </cell>
          <cell r="AL253" t="str">
            <v>@@</v>
          </cell>
        </row>
        <row r="254">
          <cell r="J254">
            <v>43100</v>
          </cell>
          <cell r="L254" t="str">
            <v>@@</v>
          </cell>
          <cell r="M254" t="str">
            <v>@@</v>
          </cell>
          <cell r="N254" t="str">
            <v>@@</v>
          </cell>
          <cell r="O254" t="str">
            <v>@@</v>
          </cell>
          <cell r="P254" t="str">
            <v>@@</v>
          </cell>
          <cell r="Q254" t="str">
            <v>@@</v>
          </cell>
          <cell r="R254" t="str">
            <v>@@</v>
          </cell>
          <cell r="S254" t="str">
            <v>@@</v>
          </cell>
          <cell r="AB254" t="str">
            <v>@@</v>
          </cell>
          <cell r="AC254" t="str">
            <v>@@</v>
          </cell>
          <cell r="AD254" t="str">
            <v>@@</v>
          </cell>
          <cell r="AL254" t="str">
            <v>@@</v>
          </cell>
        </row>
        <row r="255">
          <cell r="J255">
            <v>43200</v>
          </cell>
          <cell r="L255" t="str">
            <v>@@</v>
          </cell>
          <cell r="M255" t="str">
            <v>@@</v>
          </cell>
          <cell r="N255" t="str">
            <v>@@</v>
          </cell>
          <cell r="O255" t="str">
            <v>@@</v>
          </cell>
          <cell r="P255" t="str">
            <v>@@</v>
          </cell>
          <cell r="Q255" t="str">
            <v>@@</v>
          </cell>
          <cell r="R255" t="str">
            <v>@@</v>
          </cell>
          <cell r="S255" t="str">
            <v>@@</v>
          </cell>
          <cell r="AB255" t="str">
            <v>@@</v>
          </cell>
          <cell r="AC255" t="str">
            <v>@@</v>
          </cell>
          <cell r="AD255" t="str">
            <v>@@</v>
          </cell>
          <cell r="AL255" t="str">
            <v>@@</v>
          </cell>
        </row>
        <row r="256">
          <cell r="J256">
            <v>43300</v>
          </cell>
          <cell r="L256" t="str">
            <v>@@</v>
          </cell>
          <cell r="M256" t="str">
            <v>@@</v>
          </cell>
          <cell r="N256" t="str">
            <v>@@</v>
          </cell>
          <cell r="O256" t="str">
            <v>@@</v>
          </cell>
          <cell r="P256" t="str">
            <v>@@</v>
          </cell>
          <cell r="Q256" t="str">
            <v>@@</v>
          </cell>
          <cell r="R256" t="str">
            <v>@@</v>
          </cell>
          <cell r="S256" t="str">
            <v>@@</v>
          </cell>
          <cell r="AB256" t="str">
            <v>@@</v>
          </cell>
          <cell r="AC256" t="str">
            <v>@@</v>
          </cell>
          <cell r="AD256" t="str">
            <v>@@</v>
          </cell>
          <cell r="AL256" t="str">
            <v>@@</v>
          </cell>
        </row>
        <row r="257">
          <cell r="J257">
            <v>43400</v>
          </cell>
          <cell r="L257" t="str">
            <v>@@</v>
          </cell>
          <cell r="M257" t="str">
            <v>@@</v>
          </cell>
          <cell r="N257" t="str">
            <v>@@</v>
          </cell>
          <cell r="O257" t="str">
            <v>@@</v>
          </cell>
          <cell r="P257" t="str">
            <v>@@</v>
          </cell>
          <cell r="Q257" t="str">
            <v>@@</v>
          </cell>
          <cell r="R257" t="str">
            <v>@@</v>
          </cell>
          <cell r="S257" t="str">
            <v>@@</v>
          </cell>
          <cell r="AB257" t="str">
            <v>@@</v>
          </cell>
          <cell r="AC257" t="str">
            <v>@@</v>
          </cell>
          <cell r="AD257" t="str">
            <v>@@</v>
          </cell>
          <cell r="AL257" t="str">
            <v>@@</v>
          </cell>
        </row>
        <row r="258">
          <cell r="J258">
            <v>43500</v>
          </cell>
          <cell r="L258" t="str">
            <v>@@</v>
          </cell>
          <cell r="M258" t="str">
            <v>@@</v>
          </cell>
          <cell r="N258" t="str">
            <v>@@</v>
          </cell>
          <cell r="O258" t="str">
            <v>@@</v>
          </cell>
          <cell r="P258" t="str">
            <v>@@</v>
          </cell>
          <cell r="Q258" t="str">
            <v>@@</v>
          </cell>
          <cell r="R258" t="str">
            <v>@@</v>
          </cell>
          <cell r="S258" t="str">
            <v>@@</v>
          </cell>
          <cell r="AB258" t="str">
            <v>@@</v>
          </cell>
          <cell r="AC258" t="str">
            <v>@@</v>
          </cell>
          <cell r="AD258" t="str">
            <v>@@</v>
          </cell>
          <cell r="AL258" t="str">
            <v>@@</v>
          </cell>
        </row>
        <row r="259">
          <cell r="J259">
            <v>43600</v>
          </cell>
          <cell r="L259" t="str">
            <v>@@</v>
          </cell>
          <cell r="M259" t="str">
            <v>@@</v>
          </cell>
          <cell r="N259" t="str">
            <v>@@</v>
          </cell>
          <cell r="O259" t="str">
            <v>@@</v>
          </cell>
          <cell r="P259" t="str">
            <v>@@</v>
          </cell>
          <cell r="Q259" t="str">
            <v>@@</v>
          </cell>
          <cell r="R259" t="str">
            <v>@@</v>
          </cell>
          <cell r="S259" t="str">
            <v>@@</v>
          </cell>
          <cell r="AB259" t="str">
            <v>@@</v>
          </cell>
          <cell r="AC259" t="str">
            <v>@@</v>
          </cell>
          <cell r="AD259" t="str">
            <v>@@</v>
          </cell>
          <cell r="AL259" t="str">
            <v>@@</v>
          </cell>
        </row>
        <row r="260">
          <cell r="J260">
            <v>43700</v>
          </cell>
          <cell r="L260" t="str">
            <v>@@</v>
          </cell>
          <cell r="M260" t="str">
            <v>@@</v>
          </cell>
          <cell r="N260" t="str">
            <v>@@</v>
          </cell>
          <cell r="O260" t="str">
            <v>@@</v>
          </cell>
          <cell r="P260" t="str">
            <v>@@</v>
          </cell>
          <cell r="Q260" t="str">
            <v>@@</v>
          </cell>
          <cell r="R260" t="str">
            <v>@@</v>
          </cell>
          <cell r="S260" t="str">
            <v>@@</v>
          </cell>
          <cell r="AB260" t="str">
            <v>@@</v>
          </cell>
          <cell r="AC260" t="str">
            <v>@@</v>
          </cell>
          <cell r="AD260" t="str">
            <v>@@</v>
          </cell>
          <cell r="AL260" t="str">
            <v>@@</v>
          </cell>
        </row>
        <row r="261">
          <cell r="J261">
            <v>43800</v>
          </cell>
          <cell r="L261" t="str">
            <v>@@</v>
          </cell>
          <cell r="M261" t="str">
            <v>@@</v>
          </cell>
          <cell r="N261" t="str">
            <v>@@</v>
          </cell>
          <cell r="O261" t="str">
            <v>@@</v>
          </cell>
          <cell r="P261" t="str">
            <v>@@</v>
          </cell>
          <cell r="Q261" t="str">
            <v>@@</v>
          </cell>
          <cell r="R261" t="str">
            <v>@@</v>
          </cell>
          <cell r="S261" t="str">
            <v>@@</v>
          </cell>
          <cell r="AB261" t="str">
            <v>@@</v>
          </cell>
          <cell r="AC261">
            <v>-3.26</v>
          </cell>
          <cell r="AD261">
            <v>3.7</v>
          </cell>
          <cell r="AF261">
            <v>-3.26</v>
          </cell>
          <cell r="AG261">
            <v>3.7</v>
          </cell>
          <cell r="AL261" t="str">
            <v>@@</v>
          </cell>
        </row>
        <row r="262">
          <cell r="J262">
            <v>43900</v>
          </cell>
          <cell r="L262">
            <v>43900</v>
          </cell>
          <cell r="M262">
            <v>-3.26</v>
          </cell>
          <cell r="N262">
            <v>3.7</v>
          </cell>
          <cell r="O262">
            <v>-13.19</v>
          </cell>
          <cell r="P262">
            <v>5</v>
          </cell>
          <cell r="Q262">
            <v>-48.89</v>
          </cell>
          <cell r="R262">
            <v>3.4</v>
          </cell>
          <cell r="S262">
            <v>1</v>
          </cell>
          <cell r="T262">
            <v>43900</v>
          </cell>
          <cell r="U262">
            <v>-3.26</v>
          </cell>
          <cell r="V262">
            <v>3.7</v>
          </cell>
          <cell r="W262">
            <v>-13.19</v>
          </cell>
          <cell r="X262">
            <v>5</v>
          </cell>
          <cell r="Y262">
            <v>-48.89</v>
          </cell>
          <cell r="Z262">
            <v>3.4</v>
          </cell>
          <cell r="AA262">
            <v>1</v>
          </cell>
          <cell r="AB262">
            <v>43900</v>
          </cell>
          <cell r="AC262">
            <v>-13.19</v>
          </cell>
          <cell r="AD262">
            <v>5</v>
          </cell>
          <cell r="AE262">
            <v>43900</v>
          </cell>
          <cell r="AF262">
            <v>-13.19</v>
          </cell>
          <cell r="AG262">
            <v>5</v>
          </cell>
          <cell r="AL262">
            <v>12.1</v>
          </cell>
          <cell r="AM262">
            <v>12.1</v>
          </cell>
        </row>
        <row r="263">
          <cell r="J263">
            <v>44000</v>
          </cell>
          <cell r="L263" t="str">
            <v>@@</v>
          </cell>
          <cell r="M263" t="str">
            <v>@@</v>
          </cell>
          <cell r="N263" t="str">
            <v>@@</v>
          </cell>
          <cell r="O263" t="str">
            <v>@@</v>
          </cell>
          <cell r="P263" t="str">
            <v>@@</v>
          </cell>
          <cell r="Q263" t="str">
            <v>@@</v>
          </cell>
          <cell r="R263" t="str">
            <v>@@</v>
          </cell>
          <cell r="S263" t="str">
            <v>@@</v>
          </cell>
          <cell r="AB263" t="str">
            <v>@@</v>
          </cell>
          <cell r="AC263">
            <v>-48.89</v>
          </cell>
          <cell r="AD263">
            <v>3.4</v>
          </cell>
          <cell r="AF263">
            <v>-48.89</v>
          </cell>
          <cell r="AG263">
            <v>3.4</v>
          </cell>
          <cell r="AL263" t="str">
            <v>@@</v>
          </cell>
        </row>
        <row r="264">
          <cell r="J264">
            <v>44100</v>
          </cell>
          <cell r="L264" t="str">
            <v>@@</v>
          </cell>
          <cell r="M264" t="str">
            <v>@@</v>
          </cell>
          <cell r="N264" t="str">
            <v>@@</v>
          </cell>
          <cell r="O264" t="str">
            <v>@@</v>
          </cell>
          <cell r="P264" t="str">
            <v>@@</v>
          </cell>
          <cell r="Q264" t="str">
            <v>@@</v>
          </cell>
          <cell r="R264" t="str">
            <v>@@</v>
          </cell>
          <cell r="S264" t="str">
            <v>@@</v>
          </cell>
          <cell r="AB264" t="str">
            <v>@@</v>
          </cell>
          <cell r="AC264" t="str">
            <v>@@</v>
          </cell>
          <cell r="AD264" t="str">
            <v>@@</v>
          </cell>
          <cell r="AL264" t="str">
            <v>@@</v>
          </cell>
        </row>
        <row r="265">
          <cell r="J265">
            <v>44200</v>
          </cell>
          <cell r="L265" t="str">
            <v>@@</v>
          </cell>
          <cell r="M265" t="str">
            <v>@@</v>
          </cell>
          <cell r="N265" t="str">
            <v>@@</v>
          </cell>
          <cell r="O265" t="str">
            <v>@@</v>
          </cell>
          <cell r="P265" t="str">
            <v>@@</v>
          </cell>
          <cell r="Q265" t="str">
            <v>@@</v>
          </cell>
          <cell r="R265" t="str">
            <v>@@</v>
          </cell>
          <cell r="S265" t="str">
            <v>@@</v>
          </cell>
          <cell r="AB265" t="str">
            <v>@@</v>
          </cell>
          <cell r="AC265" t="str">
            <v>@@</v>
          </cell>
          <cell r="AD265" t="str">
            <v>@@</v>
          </cell>
          <cell r="AL265" t="str">
            <v>@@</v>
          </cell>
        </row>
        <row r="266">
          <cell r="J266">
            <v>44300</v>
          </cell>
          <cell r="L266" t="str">
            <v>@@</v>
          </cell>
          <cell r="M266" t="str">
            <v>@@</v>
          </cell>
          <cell r="N266" t="str">
            <v>@@</v>
          </cell>
          <cell r="O266" t="str">
            <v>@@</v>
          </cell>
          <cell r="P266" t="str">
            <v>@@</v>
          </cell>
          <cell r="Q266" t="str">
            <v>@@</v>
          </cell>
          <cell r="R266" t="str">
            <v>@@</v>
          </cell>
          <cell r="S266" t="str">
            <v>@@</v>
          </cell>
          <cell r="AB266" t="str">
            <v>@@</v>
          </cell>
          <cell r="AC266" t="str">
            <v>@@</v>
          </cell>
          <cell r="AD266" t="str">
            <v>@@</v>
          </cell>
          <cell r="AL266" t="str">
            <v>@@</v>
          </cell>
        </row>
        <row r="267">
          <cell r="J267">
            <v>44400</v>
          </cell>
          <cell r="L267" t="str">
            <v>@@</v>
          </cell>
          <cell r="M267" t="str">
            <v>@@</v>
          </cell>
          <cell r="N267" t="str">
            <v>@@</v>
          </cell>
          <cell r="O267" t="str">
            <v>@@</v>
          </cell>
          <cell r="P267" t="str">
            <v>@@</v>
          </cell>
          <cell r="Q267" t="str">
            <v>@@</v>
          </cell>
          <cell r="R267" t="str">
            <v>@@</v>
          </cell>
          <cell r="S267" t="str">
            <v>@@</v>
          </cell>
          <cell r="AB267" t="str">
            <v>@@</v>
          </cell>
          <cell r="AC267" t="str">
            <v>@@</v>
          </cell>
          <cell r="AD267" t="str">
            <v>@@</v>
          </cell>
          <cell r="AL267" t="str">
            <v>@@</v>
          </cell>
        </row>
        <row r="268">
          <cell r="J268">
            <v>44500</v>
          </cell>
          <cell r="L268" t="str">
            <v>@@</v>
          </cell>
          <cell r="M268" t="str">
            <v>@@</v>
          </cell>
          <cell r="N268" t="str">
            <v>@@</v>
          </cell>
          <cell r="O268" t="str">
            <v>@@</v>
          </cell>
          <cell r="P268" t="str">
            <v>@@</v>
          </cell>
          <cell r="Q268" t="str">
            <v>@@</v>
          </cell>
          <cell r="R268" t="str">
            <v>@@</v>
          </cell>
          <cell r="S268" t="str">
            <v>@@</v>
          </cell>
          <cell r="AB268" t="str">
            <v>@@</v>
          </cell>
          <cell r="AC268" t="str">
            <v>@@</v>
          </cell>
          <cell r="AD268" t="str">
            <v>@@</v>
          </cell>
          <cell r="AL268" t="str">
            <v>@@</v>
          </cell>
        </row>
        <row r="269">
          <cell r="J269">
            <v>44600</v>
          </cell>
          <cell r="L269" t="str">
            <v>@@</v>
          </cell>
          <cell r="M269" t="str">
            <v>@@</v>
          </cell>
          <cell r="N269" t="str">
            <v>@@</v>
          </cell>
          <cell r="O269" t="str">
            <v>@@</v>
          </cell>
          <cell r="P269" t="str">
            <v>@@</v>
          </cell>
          <cell r="Q269" t="str">
            <v>@@</v>
          </cell>
          <cell r="R269" t="str">
            <v>@@</v>
          </cell>
          <cell r="S269" t="str">
            <v>@@</v>
          </cell>
          <cell r="AB269" t="str">
            <v>@@</v>
          </cell>
          <cell r="AC269" t="str">
            <v>@@</v>
          </cell>
          <cell r="AD269" t="str">
            <v>@@</v>
          </cell>
          <cell r="AL269" t="str">
            <v>@@</v>
          </cell>
        </row>
        <row r="270">
          <cell r="J270">
            <v>44700</v>
          </cell>
          <cell r="L270" t="str">
            <v>@@</v>
          </cell>
          <cell r="M270" t="str">
            <v>@@</v>
          </cell>
          <cell r="N270" t="str">
            <v>@@</v>
          </cell>
          <cell r="O270" t="str">
            <v>@@</v>
          </cell>
          <cell r="P270" t="str">
            <v>@@</v>
          </cell>
          <cell r="Q270" t="str">
            <v>@@</v>
          </cell>
          <cell r="R270" t="str">
            <v>@@</v>
          </cell>
          <cell r="S270" t="str">
            <v>@@</v>
          </cell>
          <cell r="AB270" t="str">
            <v>@@</v>
          </cell>
          <cell r="AC270" t="str">
            <v>@@</v>
          </cell>
          <cell r="AD270" t="str">
            <v>@@</v>
          </cell>
          <cell r="AL270" t="str">
            <v>@@</v>
          </cell>
        </row>
        <row r="271">
          <cell r="J271">
            <v>44800</v>
          </cell>
          <cell r="L271" t="str">
            <v>@@</v>
          </cell>
          <cell r="M271" t="str">
            <v>@@</v>
          </cell>
          <cell r="N271" t="str">
            <v>@@</v>
          </cell>
          <cell r="O271" t="str">
            <v>@@</v>
          </cell>
          <cell r="P271" t="str">
            <v>@@</v>
          </cell>
          <cell r="Q271" t="str">
            <v>@@</v>
          </cell>
          <cell r="R271" t="str">
            <v>@@</v>
          </cell>
          <cell r="S271" t="str">
            <v>@@</v>
          </cell>
          <cell r="AB271" t="str">
            <v>@@</v>
          </cell>
          <cell r="AC271">
            <v>-18.5</v>
          </cell>
          <cell r="AD271">
            <v>4.0999999999999996</v>
          </cell>
          <cell r="AF271">
            <v>-18.5</v>
          </cell>
          <cell r="AG271">
            <v>4.0999999999999996</v>
          </cell>
          <cell r="AL271" t="str">
            <v>@@</v>
          </cell>
        </row>
        <row r="272">
          <cell r="J272">
            <v>44900</v>
          </cell>
          <cell r="L272">
            <v>44900</v>
          </cell>
          <cell r="M272">
            <v>-18.5</v>
          </cell>
          <cell r="N272">
            <v>4.0999999999999996</v>
          </cell>
          <cell r="O272">
            <v>-40.67</v>
          </cell>
          <cell r="P272">
            <v>3.8</v>
          </cell>
          <cell r="Q272">
            <v>-51.14</v>
          </cell>
          <cell r="R272">
            <v>4.2</v>
          </cell>
          <cell r="S272">
            <v>1</v>
          </cell>
          <cell r="T272">
            <v>44900</v>
          </cell>
          <cell r="U272">
            <v>-18.5</v>
          </cell>
          <cell r="V272">
            <v>4.0999999999999996</v>
          </cell>
          <cell r="W272">
            <v>-40.67</v>
          </cell>
          <cell r="X272">
            <v>3.8</v>
          </cell>
          <cell r="Y272">
            <v>-51.14</v>
          </cell>
          <cell r="Z272">
            <v>4.2</v>
          </cell>
          <cell r="AA272">
            <v>1</v>
          </cell>
          <cell r="AB272">
            <v>44900</v>
          </cell>
          <cell r="AC272">
            <v>-40.67</v>
          </cell>
          <cell r="AD272">
            <v>3.8</v>
          </cell>
          <cell r="AE272">
            <v>44900</v>
          </cell>
          <cell r="AF272">
            <v>-40.67</v>
          </cell>
          <cell r="AG272">
            <v>3.8</v>
          </cell>
          <cell r="AL272">
            <v>12.1</v>
          </cell>
          <cell r="AM272">
            <v>12.1</v>
          </cell>
        </row>
        <row r="273">
          <cell r="J273">
            <v>45000</v>
          </cell>
          <cell r="L273" t="str">
            <v>@@</v>
          </cell>
          <cell r="M273" t="str">
            <v>@@</v>
          </cell>
          <cell r="N273" t="str">
            <v>@@</v>
          </cell>
          <cell r="O273" t="str">
            <v>@@</v>
          </cell>
          <cell r="P273" t="str">
            <v>@@</v>
          </cell>
          <cell r="Q273" t="str">
            <v>@@</v>
          </cell>
          <cell r="R273" t="str">
            <v>@@</v>
          </cell>
          <cell r="S273" t="str">
            <v>@@</v>
          </cell>
          <cell r="AB273" t="str">
            <v>@@</v>
          </cell>
          <cell r="AC273">
            <v>-51.14</v>
          </cell>
          <cell r="AD273">
            <v>4.2</v>
          </cell>
          <cell r="AF273">
            <v>-51.14</v>
          </cell>
          <cell r="AG273">
            <v>4.2</v>
          </cell>
          <cell r="AL273" t="str">
            <v>@@</v>
          </cell>
        </row>
        <row r="274">
          <cell r="J274">
            <v>45100</v>
          </cell>
          <cell r="L274" t="str">
            <v>@@</v>
          </cell>
          <cell r="M274" t="str">
            <v>@@</v>
          </cell>
          <cell r="N274" t="str">
            <v>@@</v>
          </cell>
          <cell r="O274" t="str">
            <v>@@</v>
          </cell>
          <cell r="P274" t="str">
            <v>@@</v>
          </cell>
          <cell r="Q274" t="str">
            <v>@@</v>
          </cell>
          <cell r="R274" t="str">
            <v>@@</v>
          </cell>
          <cell r="S274" t="str">
            <v>@@</v>
          </cell>
          <cell r="AB274" t="str">
            <v>@@</v>
          </cell>
          <cell r="AC274" t="str">
            <v>@@</v>
          </cell>
          <cell r="AD274" t="str">
            <v>@@</v>
          </cell>
          <cell r="AL274" t="str">
            <v>@@</v>
          </cell>
        </row>
        <row r="275">
          <cell r="J275">
            <v>45200</v>
          </cell>
          <cell r="L275" t="str">
            <v>@@</v>
          </cell>
          <cell r="M275" t="str">
            <v>@@</v>
          </cell>
          <cell r="N275" t="str">
            <v>@@</v>
          </cell>
          <cell r="O275" t="str">
            <v>@@</v>
          </cell>
          <cell r="P275" t="str">
            <v>@@</v>
          </cell>
          <cell r="Q275" t="str">
            <v>@@</v>
          </cell>
          <cell r="R275" t="str">
            <v>@@</v>
          </cell>
          <cell r="S275" t="str">
            <v>@@</v>
          </cell>
          <cell r="AB275" t="str">
            <v>@@</v>
          </cell>
          <cell r="AC275" t="str">
            <v>@@</v>
          </cell>
          <cell r="AD275" t="str">
            <v>@@</v>
          </cell>
          <cell r="AL275" t="str">
            <v>@@</v>
          </cell>
        </row>
        <row r="276">
          <cell r="J276">
            <v>45300</v>
          </cell>
          <cell r="L276" t="str">
            <v>@@</v>
          </cell>
          <cell r="M276" t="str">
            <v>@@</v>
          </cell>
          <cell r="N276" t="str">
            <v>@@</v>
          </cell>
          <cell r="O276" t="str">
            <v>@@</v>
          </cell>
          <cell r="P276" t="str">
            <v>@@</v>
          </cell>
          <cell r="Q276" t="str">
            <v>@@</v>
          </cell>
          <cell r="R276" t="str">
            <v>@@</v>
          </cell>
          <cell r="S276" t="str">
            <v>@@</v>
          </cell>
          <cell r="AB276" t="str">
            <v>@@</v>
          </cell>
          <cell r="AC276" t="str">
            <v>@@</v>
          </cell>
          <cell r="AD276" t="str">
            <v>@@</v>
          </cell>
          <cell r="AL276" t="str">
            <v>@@</v>
          </cell>
        </row>
        <row r="277">
          <cell r="J277">
            <v>45400</v>
          </cell>
          <cell r="L277" t="str">
            <v>@@</v>
          </cell>
          <cell r="M277" t="str">
            <v>@@</v>
          </cell>
          <cell r="N277" t="str">
            <v>@@</v>
          </cell>
          <cell r="O277" t="str">
            <v>@@</v>
          </cell>
          <cell r="P277" t="str">
            <v>@@</v>
          </cell>
          <cell r="Q277" t="str">
            <v>@@</v>
          </cell>
          <cell r="R277" t="str">
            <v>@@</v>
          </cell>
          <cell r="S277" t="str">
            <v>@@</v>
          </cell>
          <cell r="AB277" t="str">
            <v>@@</v>
          </cell>
          <cell r="AC277" t="str">
            <v>@@</v>
          </cell>
          <cell r="AD277" t="str">
            <v>@@</v>
          </cell>
          <cell r="AL277" t="str">
            <v>@@</v>
          </cell>
        </row>
        <row r="278">
          <cell r="J278">
            <v>45500</v>
          </cell>
          <cell r="L278" t="str">
            <v>@@</v>
          </cell>
          <cell r="M278" t="str">
            <v>@@</v>
          </cell>
          <cell r="N278" t="str">
            <v>@@</v>
          </cell>
          <cell r="O278" t="str">
            <v>@@</v>
          </cell>
          <cell r="P278" t="str">
            <v>@@</v>
          </cell>
          <cell r="Q278" t="str">
            <v>@@</v>
          </cell>
          <cell r="R278" t="str">
            <v>@@</v>
          </cell>
          <cell r="S278" t="str">
            <v>@@</v>
          </cell>
          <cell r="AB278" t="str">
            <v>@@</v>
          </cell>
          <cell r="AC278" t="str">
            <v>@@</v>
          </cell>
          <cell r="AD278" t="str">
            <v>@@</v>
          </cell>
          <cell r="AL278" t="str">
            <v>@@</v>
          </cell>
        </row>
        <row r="279">
          <cell r="J279">
            <v>45600</v>
          </cell>
          <cell r="L279" t="str">
            <v>@@</v>
          </cell>
          <cell r="M279" t="str">
            <v>@@</v>
          </cell>
          <cell r="N279" t="str">
            <v>@@</v>
          </cell>
          <cell r="O279" t="str">
            <v>@@</v>
          </cell>
          <cell r="P279" t="str">
            <v>@@</v>
          </cell>
          <cell r="Q279" t="str">
            <v>@@</v>
          </cell>
          <cell r="R279" t="str">
            <v>@@</v>
          </cell>
          <cell r="S279" t="str">
            <v>@@</v>
          </cell>
          <cell r="AB279" t="str">
            <v>@@</v>
          </cell>
          <cell r="AC279" t="str">
            <v>@@</v>
          </cell>
          <cell r="AD279" t="str">
            <v>@@</v>
          </cell>
          <cell r="AL279" t="str">
            <v>@@</v>
          </cell>
        </row>
        <row r="280">
          <cell r="J280">
            <v>45700</v>
          </cell>
          <cell r="L280" t="str">
            <v>@@</v>
          </cell>
          <cell r="M280" t="str">
            <v>@@</v>
          </cell>
          <cell r="N280" t="str">
            <v>@@</v>
          </cell>
          <cell r="O280" t="str">
            <v>@@</v>
          </cell>
          <cell r="P280" t="str">
            <v>@@</v>
          </cell>
          <cell r="Q280" t="str">
            <v>@@</v>
          </cell>
          <cell r="R280" t="str">
            <v>@@</v>
          </cell>
          <cell r="S280" t="str">
            <v>@@</v>
          </cell>
          <cell r="AB280" t="str">
            <v>@@</v>
          </cell>
          <cell r="AC280" t="str">
            <v>@@</v>
          </cell>
          <cell r="AD280" t="str">
            <v>@@</v>
          </cell>
          <cell r="AL280" t="str">
            <v>@@</v>
          </cell>
        </row>
        <row r="281">
          <cell r="J281">
            <v>45800</v>
          </cell>
          <cell r="L281" t="str">
            <v>@@</v>
          </cell>
          <cell r="M281" t="str">
            <v>@@</v>
          </cell>
          <cell r="N281" t="str">
            <v>@@</v>
          </cell>
          <cell r="O281" t="str">
            <v>@@</v>
          </cell>
          <cell r="P281" t="str">
            <v>@@</v>
          </cell>
          <cell r="Q281" t="str">
            <v>@@</v>
          </cell>
          <cell r="R281" t="str">
            <v>@@</v>
          </cell>
          <cell r="S281" t="str">
            <v>@@</v>
          </cell>
          <cell r="AB281" t="str">
            <v>@@</v>
          </cell>
          <cell r="AC281">
            <v>-14.15</v>
          </cell>
          <cell r="AD281">
            <v>4.5</v>
          </cell>
          <cell r="AF281">
            <v>-14.15</v>
          </cell>
          <cell r="AG281">
            <v>4.5</v>
          </cell>
          <cell r="AL281" t="str">
            <v>@@</v>
          </cell>
        </row>
        <row r="282">
          <cell r="J282">
            <v>45900</v>
          </cell>
          <cell r="L282">
            <v>45900</v>
          </cell>
          <cell r="M282">
            <v>-14.15</v>
          </cell>
          <cell r="N282">
            <v>4.5</v>
          </cell>
          <cell r="O282">
            <v>-34.17</v>
          </cell>
          <cell r="P282">
            <v>3.3</v>
          </cell>
          <cell r="Q282">
            <v>-35.42</v>
          </cell>
          <cell r="R282">
            <v>7.3</v>
          </cell>
          <cell r="S282">
            <v>1</v>
          </cell>
          <cell r="T282">
            <v>45900</v>
          </cell>
          <cell r="U282">
            <v>-14.15</v>
          </cell>
          <cell r="V282">
            <v>4.5</v>
          </cell>
          <cell r="W282">
            <v>-34.17</v>
          </cell>
          <cell r="X282">
            <v>3.3</v>
          </cell>
          <cell r="Y282">
            <v>-35.42</v>
          </cell>
          <cell r="Z282">
            <v>7.3</v>
          </cell>
          <cell r="AA282">
            <v>1</v>
          </cell>
          <cell r="AB282">
            <v>45900</v>
          </cell>
          <cell r="AC282">
            <v>-34.17</v>
          </cell>
          <cell r="AD282">
            <v>3.3</v>
          </cell>
          <cell r="AE282">
            <v>45900</v>
          </cell>
          <cell r="AF282">
            <v>-34.17</v>
          </cell>
          <cell r="AG282">
            <v>3.3</v>
          </cell>
          <cell r="AL282">
            <v>15.1</v>
          </cell>
          <cell r="AM282">
            <v>15.1</v>
          </cell>
        </row>
        <row r="283">
          <cell r="J283">
            <v>46000</v>
          </cell>
          <cell r="L283" t="str">
            <v>@@</v>
          </cell>
          <cell r="M283" t="str">
            <v>@@</v>
          </cell>
          <cell r="N283" t="str">
            <v>@@</v>
          </cell>
          <cell r="O283" t="str">
            <v>@@</v>
          </cell>
          <cell r="P283" t="str">
            <v>@@</v>
          </cell>
          <cell r="Q283" t="str">
            <v>@@</v>
          </cell>
          <cell r="R283" t="str">
            <v>@@</v>
          </cell>
          <cell r="S283" t="str">
            <v>@@</v>
          </cell>
          <cell r="AB283" t="str">
            <v>@@</v>
          </cell>
          <cell r="AC283">
            <v>-35.42</v>
          </cell>
          <cell r="AD283">
            <v>7.3</v>
          </cell>
          <cell r="AF283">
            <v>-35.42</v>
          </cell>
          <cell r="AG283">
            <v>7.3</v>
          </cell>
          <cell r="AL283" t="str">
            <v>@@</v>
          </cell>
        </row>
        <row r="284">
          <cell r="J284">
            <v>46100</v>
          </cell>
          <cell r="L284" t="str">
            <v>@@</v>
          </cell>
          <cell r="M284" t="str">
            <v>@@</v>
          </cell>
          <cell r="N284" t="str">
            <v>@@</v>
          </cell>
          <cell r="O284" t="str">
            <v>@@</v>
          </cell>
          <cell r="P284" t="str">
            <v>@@</v>
          </cell>
          <cell r="Q284" t="str">
            <v>@@</v>
          </cell>
          <cell r="R284" t="str">
            <v>@@</v>
          </cell>
          <cell r="S284" t="str">
            <v>@@</v>
          </cell>
          <cell r="AB284" t="str">
            <v>@@</v>
          </cell>
          <cell r="AC284" t="str">
            <v>@@</v>
          </cell>
          <cell r="AD284" t="str">
            <v>@@</v>
          </cell>
          <cell r="AL284" t="str">
            <v>@@</v>
          </cell>
        </row>
        <row r="285">
          <cell r="J285">
            <v>46200</v>
          </cell>
          <cell r="L285" t="str">
            <v>@@</v>
          </cell>
          <cell r="M285" t="str">
            <v>@@</v>
          </cell>
          <cell r="N285" t="str">
            <v>@@</v>
          </cell>
          <cell r="O285" t="str">
            <v>@@</v>
          </cell>
          <cell r="P285" t="str">
            <v>@@</v>
          </cell>
          <cell r="Q285" t="str">
            <v>@@</v>
          </cell>
          <cell r="R285" t="str">
            <v>@@</v>
          </cell>
          <cell r="S285" t="str">
            <v>@@</v>
          </cell>
          <cell r="AB285" t="str">
            <v>@@</v>
          </cell>
          <cell r="AC285" t="str">
            <v>@@</v>
          </cell>
          <cell r="AD285" t="str">
            <v>@@</v>
          </cell>
          <cell r="AL285" t="str">
            <v>@@</v>
          </cell>
        </row>
        <row r="286">
          <cell r="J286">
            <v>46300</v>
          </cell>
          <cell r="L286" t="str">
            <v>@@</v>
          </cell>
          <cell r="M286" t="str">
            <v>@@</v>
          </cell>
          <cell r="N286" t="str">
            <v>@@</v>
          </cell>
          <cell r="O286" t="str">
            <v>@@</v>
          </cell>
          <cell r="P286" t="str">
            <v>@@</v>
          </cell>
          <cell r="Q286" t="str">
            <v>@@</v>
          </cell>
          <cell r="R286" t="str">
            <v>@@</v>
          </cell>
          <cell r="S286" t="str">
            <v>@@</v>
          </cell>
          <cell r="AB286" t="str">
            <v>@@</v>
          </cell>
          <cell r="AC286" t="str">
            <v>@@</v>
          </cell>
          <cell r="AD286" t="str">
            <v>@@</v>
          </cell>
          <cell r="AL286" t="str">
            <v>@@</v>
          </cell>
        </row>
        <row r="287">
          <cell r="J287">
            <v>46400</v>
          </cell>
          <cell r="L287" t="str">
            <v>@@</v>
          </cell>
          <cell r="M287" t="str">
            <v>@@</v>
          </cell>
          <cell r="N287" t="str">
            <v>@@</v>
          </cell>
          <cell r="O287" t="str">
            <v>@@</v>
          </cell>
          <cell r="P287" t="str">
            <v>@@</v>
          </cell>
          <cell r="Q287" t="str">
            <v>@@</v>
          </cell>
          <cell r="R287" t="str">
            <v>@@</v>
          </cell>
          <cell r="S287" t="str">
            <v>@@</v>
          </cell>
          <cell r="AB287" t="str">
            <v>@@</v>
          </cell>
          <cell r="AC287" t="str">
            <v>@@</v>
          </cell>
          <cell r="AD287" t="str">
            <v>@@</v>
          </cell>
          <cell r="AL287" t="str">
            <v>@@</v>
          </cell>
        </row>
        <row r="288">
          <cell r="J288">
            <v>46500</v>
          </cell>
          <cell r="L288" t="str">
            <v>@@</v>
          </cell>
          <cell r="M288" t="str">
            <v>@@</v>
          </cell>
          <cell r="N288" t="str">
            <v>@@</v>
          </cell>
          <cell r="O288" t="str">
            <v>@@</v>
          </cell>
          <cell r="P288" t="str">
            <v>@@</v>
          </cell>
          <cell r="Q288" t="str">
            <v>@@</v>
          </cell>
          <cell r="R288" t="str">
            <v>@@</v>
          </cell>
          <cell r="S288" t="str">
            <v>@@</v>
          </cell>
          <cell r="AB288" t="str">
            <v>@@</v>
          </cell>
          <cell r="AC288" t="str">
            <v>@@</v>
          </cell>
          <cell r="AD288" t="str">
            <v>@@</v>
          </cell>
          <cell r="AL288" t="str">
            <v>@@</v>
          </cell>
        </row>
        <row r="289">
          <cell r="J289">
            <v>46600</v>
          </cell>
          <cell r="L289" t="str">
            <v>@@</v>
          </cell>
          <cell r="M289" t="str">
            <v>@@</v>
          </cell>
          <cell r="N289" t="str">
            <v>@@</v>
          </cell>
          <cell r="O289" t="str">
            <v>@@</v>
          </cell>
          <cell r="P289" t="str">
            <v>@@</v>
          </cell>
          <cell r="Q289" t="str">
            <v>@@</v>
          </cell>
          <cell r="R289" t="str">
            <v>@@</v>
          </cell>
          <cell r="S289" t="str">
            <v>@@</v>
          </cell>
          <cell r="AB289" t="str">
            <v>@@</v>
          </cell>
          <cell r="AC289" t="str">
            <v>@@</v>
          </cell>
          <cell r="AD289" t="str">
            <v>@@</v>
          </cell>
          <cell r="AL289" t="str">
            <v>@@</v>
          </cell>
        </row>
        <row r="290">
          <cell r="J290">
            <v>46700</v>
          </cell>
          <cell r="L290" t="str">
            <v>@@</v>
          </cell>
          <cell r="M290" t="str">
            <v>@@</v>
          </cell>
          <cell r="N290" t="str">
            <v>@@</v>
          </cell>
          <cell r="O290" t="str">
            <v>@@</v>
          </cell>
          <cell r="P290" t="str">
            <v>@@</v>
          </cell>
          <cell r="Q290" t="str">
            <v>@@</v>
          </cell>
          <cell r="R290" t="str">
            <v>@@</v>
          </cell>
          <cell r="S290" t="str">
            <v>@@</v>
          </cell>
          <cell r="AB290" t="str">
            <v>@@</v>
          </cell>
          <cell r="AC290" t="str">
            <v>@@</v>
          </cell>
          <cell r="AD290" t="str">
            <v>@@</v>
          </cell>
          <cell r="AL290" t="str">
            <v>@@</v>
          </cell>
        </row>
        <row r="291">
          <cell r="J291">
            <v>46800</v>
          </cell>
          <cell r="L291" t="str">
            <v>@@</v>
          </cell>
          <cell r="M291" t="str">
            <v>@@</v>
          </cell>
          <cell r="N291" t="str">
            <v>@@</v>
          </cell>
          <cell r="O291" t="str">
            <v>@@</v>
          </cell>
          <cell r="P291" t="str">
            <v>@@</v>
          </cell>
          <cell r="Q291" t="str">
            <v>@@</v>
          </cell>
          <cell r="R291" t="str">
            <v>@@</v>
          </cell>
          <cell r="S291" t="str">
            <v>@@</v>
          </cell>
          <cell r="AB291" t="str">
            <v>@@</v>
          </cell>
          <cell r="AC291">
            <v>-4.4400000000000004</v>
          </cell>
          <cell r="AD291">
            <v>7.1</v>
          </cell>
          <cell r="AF291">
            <v>-4.4400000000000004</v>
          </cell>
          <cell r="AG291">
            <v>7.1</v>
          </cell>
          <cell r="AL291" t="str">
            <v>@@</v>
          </cell>
        </row>
        <row r="292">
          <cell r="J292">
            <v>46900</v>
          </cell>
          <cell r="L292">
            <v>46900</v>
          </cell>
          <cell r="M292">
            <v>-4.4400000000000004</v>
          </cell>
          <cell r="N292">
            <v>7.1</v>
          </cell>
          <cell r="O292">
            <v>-44.78</v>
          </cell>
          <cell r="P292">
            <v>5</v>
          </cell>
          <cell r="Q292">
            <v>-5</v>
          </cell>
          <cell r="R292">
            <v>2.4</v>
          </cell>
          <cell r="S292">
            <v>1</v>
          </cell>
          <cell r="T292">
            <v>46900</v>
          </cell>
          <cell r="U292">
            <v>-4.4400000000000004</v>
          </cell>
          <cell r="V292">
            <v>7.1</v>
          </cell>
          <cell r="W292">
            <v>-44.78</v>
          </cell>
          <cell r="X292">
            <v>5</v>
          </cell>
          <cell r="Y292">
            <v>-5</v>
          </cell>
          <cell r="Z292">
            <v>2.4</v>
          </cell>
          <cell r="AA292">
            <v>1</v>
          </cell>
          <cell r="AB292">
            <v>46900</v>
          </cell>
          <cell r="AC292">
            <v>-44.78</v>
          </cell>
          <cell r="AD292">
            <v>5</v>
          </cell>
          <cell r="AE292">
            <v>46900</v>
          </cell>
          <cell r="AF292">
            <v>-44.78</v>
          </cell>
          <cell r="AG292">
            <v>5</v>
          </cell>
          <cell r="AL292">
            <v>14.5</v>
          </cell>
          <cell r="AM292">
            <v>14.5</v>
          </cell>
        </row>
        <row r="293">
          <cell r="J293">
            <v>47000</v>
          </cell>
          <cell r="L293" t="str">
            <v>@@</v>
          </cell>
          <cell r="M293" t="str">
            <v>@@</v>
          </cell>
          <cell r="N293" t="str">
            <v>@@</v>
          </cell>
          <cell r="O293" t="str">
            <v>@@</v>
          </cell>
          <cell r="P293" t="str">
            <v>@@</v>
          </cell>
          <cell r="Q293" t="str">
            <v>@@</v>
          </cell>
          <cell r="R293" t="str">
            <v>@@</v>
          </cell>
          <cell r="S293" t="str">
            <v>@@</v>
          </cell>
          <cell r="AB293" t="str">
            <v>@@</v>
          </cell>
          <cell r="AC293">
            <v>-5</v>
          </cell>
          <cell r="AD293">
            <v>2.4</v>
          </cell>
          <cell r="AF293">
            <v>-5</v>
          </cell>
          <cell r="AG293">
            <v>2.4</v>
          </cell>
          <cell r="AL293" t="str">
            <v>@@</v>
          </cell>
        </row>
        <row r="294">
          <cell r="J294">
            <v>47100</v>
          </cell>
          <cell r="L294" t="str">
            <v>@@</v>
          </cell>
          <cell r="M294" t="str">
            <v>@@</v>
          </cell>
          <cell r="N294" t="str">
            <v>@@</v>
          </cell>
          <cell r="O294" t="str">
            <v>@@</v>
          </cell>
          <cell r="P294" t="str">
            <v>@@</v>
          </cell>
          <cell r="Q294" t="str">
            <v>@@</v>
          </cell>
          <cell r="R294" t="str">
            <v>@@</v>
          </cell>
          <cell r="S294" t="str">
            <v>@@</v>
          </cell>
          <cell r="AB294" t="str">
            <v>@@</v>
          </cell>
          <cell r="AC294" t="str">
            <v>@@</v>
          </cell>
          <cell r="AD294" t="str">
            <v>@@</v>
          </cell>
          <cell r="AL294" t="str">
            <v>@@</v>
          </cell>
        </row>
        <row r="295">
          <cell r="J295">
            <v>47200</v>
          </cell>
          <cell r="L295" t="str">
            <v>@@</v>
          </cell>
          <cell r="M295" t="str">
            <v>@@</v>
          </cell>
          <cell r="N295" t="str">
            <v>@@</v>
          </cell>
          <cell r="O295" t="str">
            <v>@@</v>
          </cell>
          <cell r="P295" t="str">
            <v>@@</v>
          </cell>
          <cell r="Q295" t="str">
            <v>@@</v>
          </cell>
          <cell r="R295" t="str">
            <v>@@</v>
          </cell>
          <cell r="S295" t="str">
            <v>@@</v>
          </cell>
          <cell r="AB295" t="str">
            <v>@@</v>
          </cell>
          <cell r="AC295" t="str">
            <v>@@</v>
          </cell>
          <cell r="AD295" t="str">
            <v>@@</v>
          </cell>
          <cell r="AL295" t="str">
            <v>@@</v>
          </cell>
        </row>
        <row r="296">
          <cell r="J296">
            <v>47300</v>
          </cell>
          <cell r="L296" t="str">
            <v>@@</v>
          </cell>
          <cell r="M296" t="str">
            <v>@@</v>
          </cell>
          <cell r="N296" t="str">
            <v>@@</v>
          </cell>
          <cell r="O296" t="str">
            <v>@@</v>
          </cell>
          <cell r="P296" t="str">
            <v>@@</v>
          </cell>
          <cell r="Q296" t="str">
            <v>@@</v>
          </cell>
          <cell r="R296" t="str">
            <v>@@</v>
          </cell>
          <cell r="S296" t="str">
            <v>@@</v>
          </cell>
          <cell r="AB296" t="str">
            <v>@@</v>
          </cell>
          <cell r="AC296" t="str">
            <v>@@</v>
          </cell>
          <cell r="AD296" t="str">
            <v>@@</v>
          </cell>
          <cell r="AL296" t="str">
            <v>@@</v>
          </cell>
        </row>
        <row r="297">
          <cell r="J297">
            <v>47400</v>
          </cell>
          <cell r="L297" t="str">
            <v>@@</v>
          </cell>
          <cell r="M297" t="str">
            <v>@@</v>
          </cell>
          <cell r="N297" t="str">
            <v>@@</v>
          </cell>
          <cell r="O297" t="str">
            <v>@@</v>
          </cell>
          <cell r="P297" t="str">
            <v>@@</v>
          </cell>
          <cell r="Q297" t="str">
            <v>@@</v>
          </cell>
          <cell r="R297" t="str">
            <v>@@</v>
          </cell>
          <cell r="S297" t="str">
            <v>@@</v>
          </cell>
          <cell r="AB297" t="str">
            <v>@@</v>
          </cell>
          <cell r="AC297" t="str">
            <v>@@</v>
          </cell>
          <cell r="AD297" t="str">
            <v>@@</v>
          </cell>
          <cell r="AL297" t="str">
            <v>@@</v>
          </cell>
        </row>
        <row r="298">
          <cell r="J298">
            <v>47500</v>
          </cell>
          <cell r="L298" t="str">
            <v>@@</v>
          </cell>
          <cell r="M298" t="str">
            <v>@@</v>
          </cell>
          <cell r="N298" t="str">
            <v>@@</v>
          </cell>
          <cell r="O298" t="str">
            <v>@@</v>
          </cell>
          <cell r="P298" t="str">
            <v>@@</v>
          </cell>
          <cell r="Q298" t="str">
            <v>@@</v>
          </cell>
          <cell r="R298" t="str">
            <v>@@</v>
          </cell>
          <cell r="S298" t="str">
            <v>@@</v>
          </cell>
          <cell r="AB298" t="str">
            <v>@@</v>
          </cell>
          <cell r="AC298" t="str">
            <v>@@</v>
          </cell>
          <cell r="AD298" t="str">
            <v>@@</v>
          </cell>
          <cell r="AL298" t="str">
            <v>@@</v>
          </cell>
        </row>
        <row r="299">
          <cell r="J299">
            <v>47600</v>
          </cell>
          <cell r="L299" t="str">
            <v>@@</v>
          </cell>
          <cell r="M299" t="str">
            <v>@@</v>
          </cell>
          <cell r="N299" t="str">
            <v>@@</v>
          </cell>
          <cell r="O299" t="str">
            <v>@@</v>
          </cell>
          <cell r="P299" t="str">
            <v>@@</v>
          </cell>
          <cell r="Q299" t="str">
            <v>@@</v>
          </cell>
          <cell r="R299" t="str">
            <v>@@</v>
          </cell>
          <cell r="S299" t="str">
            <v>@@</v>
          </cell>
          <cell r="AB299" t="str">
            <v>@@</v>
          </cell>
          <cell r="AC299" t="str">
            <v>@@</v>
          </cell>
          <cell r="AD299" t="str">
            <v>@@</v>
          </cell>
          <cell r="AL299" t="str">
            <v>@@</v>
          </cell>
        </row>
        <row r="300">
          <cell r="J300">
            <v>47700</v>
          </cell>
          <cell r="L300" t="str">
            <v>@@</v>
          </cell>
          <cell r="M300" t="str">
            <v>@@</v>
          </cell>
          <cell r="N300" t="str">
            <v>@@</v>
          </cell>
          <cell r="O300" t="str">
            <v>@@</v>
          </cell>
          <cell r="P300" t="str">
            <v>@@</v>
          </cell>
          <cell r="Q300" t="str">
            <v>@@</v>
          </cell>
          <cell r="R300" t="str">
            <v>@@</v>
          </cell>
          <cell r="S300" t="str">
            <v>@@</v>
          </cell>
          <cell r="AB300" t="str">
            <v>@@</v>
          </cell>
          <cell r="AC300" t="str">
            <v>@@</v>
          </cell>
          <cell r="AD300" t="str">
            <v>@@</v>
          </cell>
          <cell r="AL300" t="str">
            <v>@@</v>
          </cell>
        </row>
        <row r="301">
          <cell r="J301">
            <v>47800</v>
          </cell>
          <cell r="L301" t="str">
            <v>@@</v>
          </cell>
          <cell r="M301" t="str">
            <v>@@</v>
          </cell>
          <cell r="N301" t="str">
            <v>@@</v>
          </cell>
          <cell r="O301" t="str">
            <v>@@</v>
          </cell>
          <cell r="P301" t="str">
            <v>@@</v>
          </cell>
          <cell r="Q301" t="str">
            <v>@@</v>
          </cell>
          <cell r="R301" t="str">
            <v>@@</v>
          </cell>
          <cell r="S301" t="str">
            <v>@@</v>
          </cell>
          <cell r="AB301" t="str">
            <v>@@</v>
          </cell>
          <cell r="AC301">
            <v>-35.840000000000003</v>
          </cell>
          <cell r="AD301">
            <v>3.2</v>
          </cell>
          <cell r="AF301">
            <v>-35.840000000000003</v>
          </cell>
          <cell r="AG301">
            <v>3.2</v>
          </cell>
          <cell r="AL301" t="str">
            <v>@@</v>
          </cell>
        </row>
        <row r="302">
          <cell r="J302">
            <v>47900</v>
          </cell>
          <cell r="L302">
            <v>47900</v>
          </cell>
          <cell r="M302">
            <v>-35.840000000000003</v>
          </cell>
          <cell r="N302">
            <v>3.2</v>
          </cell>
          <cell r="O302">
            <v>-51.11</v>
          </cell>
          <cell r="P302">
            <v>4.8</v>
          </cell>
          <cell r="Q302">
            <v>-8.36</v>
          </cell>
          <cell r="R302">
            <v>6.4</v>
          </cell>
          <cell r="S302">
            <v>1</v>
          </cell>
          <cell r="T302">
            <v>47900</v>
          </cell>
          <cell r="U302">
            <v>-35.840000000000003</v>
          </cell>
          <cell r="V302">
            <v>3.2</v>
          </cell>
          <cell r="W302">
            <v>-51.11</v>
          </cell>
          <cell r="X302">
            <v>4.8</v>
          </cell>
          <cell r="Y302">
            <v>-8.36</v>
          </cell>
          <cell r="Z302">
            <v>6.4</v>
          </cell>
          <cell r="AA302">
            <v>1</v>
          </cell>
          <cell r="AB302">
            <v>47900</v>
          </cell>
          <cell r="AC302">
            <v>-51.11</v>
          </cell>
          <cell r="AD302">
            <v>4.8</v>
          </cell>
          <cell r="AE302">
            <v>47900</v>
          </cell>
          <cell r="AF302">
            <v>-51.11</v>
          </cell>
          <cell r="AG302">
            <v>4.8</v>
          </cell>
          <cell r="AL302">
            <v>14.4</v>
          </cell>
          <cell r="AM302">
            <v>14.4</v>
          </cell>
        </row>
        <row r="303">
          <cell r="J303">
            <v>48000</v>
          </cell>
          <cell r="L303" t="str">
            <v>@@</v>
          </cell>
          <cell r="M303" t="str">
            <v>@@</v>
          </cell>
          <cell r="N303" t="str">
            <v>@@</v>
          </cell>
          <cell r="O303" t="str">
            <v>@@</v>
          </cell>
          <cell r="P303" t="str">
            <v>@@</v>
          </cell>
          <cell r="Q303" t="str">
            <v>@@</v>
          </cell>
          <cell r="R303" t="str">
            <v>@@</v>
          </cell>
          <cell r="S303" t="str">
            <v>@@</v>
          </cell>
          <cell r="AB303" t="str">
            <v>@@</v>
          </cell>
          <cell r="AC303">
            <v>-8.36</v>
          </cell>
          <cell r="AD303">
            <v>6.4</v>
          </cell>
          <cell r="AF303">
            <v>-8.36</v>
          </cell>
          <cell r="AG303">
            <v>6.4</v>
          </cell>
          <cell r="AL303" t="str">
            <v>@@</v>
          </cell>
        </row>
        <row r="304">
          <cell r="J304">
            <v>48100</v>
          </cell>
          <cell r="L304" t="str">
            <v>@@</v>
          </cell>
          <cell r="M304" t="str">
            <v>@@</v>
          </cell>
          <cell r="N304" t="str">
            <v>@@</v>
          </cell>
          <cell r="O304" t="str">
            <v>@@</v>
          </cell>
          <cell r="P304" t="str">
            <v>@@</v>
          </cell>
          <cell r="Q304" t="str">
            <v>@@</v>
          </cell>
          <cell r="R304" t="str">
            <v>@@</v>
          </cell>
          <cell r="S304" t="str">
            <v>@@</v>
          </cell>
          <cell r="AB304" t="str">
            <v>@@</v>
          </cell>
          <cell r="AC304" t="str">
            <v>@@</v>
          </cell>
          <cell r="AD304" t="str">
            <v>@@</v>
          </cell>
          <cell r="AL304" t="str">
            <v>@@</v>
          </cell>
        </row>
        <row r="305">
          <cell r="J305">
            <v>48200</v>
          </cell>
          <cell r="L305" t="str">
            <v>@@</v>
          </cell>
          <cell r="M305" t="str">
            <v>@@</v>
          </cell>
          <cell r="N305" t="str">
            <v>@@</v>
          </cell>
          <cell r="O305" t="str">
            <v>@@</v>
          </cell>
          <cell r="P305" t="str">
            <v>@@</v>
          </cell>
          <cell r="Q305" t="str">
            <v>@@</v>
          </cell>
          <cell r="R305" t="str">
            <v>@@</v>
          </cell>
          <cell r="S305" t="str">
            <v>@@</v>
          </cell>
          <cell r="AB305" t="str">
            <v>@@</v>
          </cell>
          <cell r="AC305" t="str">
            <v>@@</v>
          </cell>
          <cell r="AD305" t="str">
            <v>@@</v>
          </cell>
          <cell r="AL305" t="str">
            <v>@@</v>
          </cell>
        </row>
        <row r="306">
          <cell r="J306">
            <v>48300</v>
          </cell>
          <cell r="L306" t="str">
            <v>@@</v>
          </cell>
          <cell r="M306" t="str">
            <v>@@</v>
          </cell>
          <cell r="N306" t="str">
            <v>@@</v>
          </cell>
          <cell r="O306" t="str">
            <v>@@</v>
          </cell>
          <cell r="P306" t="str">
            <v>@@</v>
          </cell>
          <cell r="Q306" t="str">
            <v>@@</v>
          </cell>
          <cell r="R306" t="str">
            <v>@@</v>
          </cell>
          <cell r="S306" t="str">
            <v>@@</v>
          </cell>
          <cell r="AB306" t="str">
            <v>@@</v>
          </cell>
          <cell r="AC306" t="str">
            <v>@@</v>
          </cell>
          <cell r="AD306" t="str">
            <v>@@</v>
          </cell>
          <cell r="AL306" t="str">
            <v>@@</v>
          </cell>
        </row>
        <row r="307">
          <cell r="J307">
            <v>48400</v>
          </cell>
          <cell r="L307" t="str">
            <v>@@</v>
          </cell>
          <cell r="M307" t="str">
            <v>@@</v>
          </cell>
          <cell r="N307" t="str">
            <v>@@</v>
          </cell>
          <cell r="O307" t="str">
            <v>@@</v>
          </cell>
          <cell r="P307" t="str">
            <v>@@</v>
          </cell>
          <cell r="Q307" t="str">
            <v>@@</v>
          </cell>
          <cell r="R307" t="str">
            <v>@@</v>
          </cell>
          <cell r="S307" t="str">
            <v>@@</v>
          </cell>
          <cell r="AB307" t="str">
            <v>@@</v>
          </cell>
          <cell r="AC307" t="str">
            <v>@@</v>
          </cell>
          <cell r="AD307" t="str">
            <v>@@</v>
          </cell>
          <cell r="AL307" t="str">
            <v>@@</v>
          </cell>
        </row>
        <row r="308">
          <cell r="J308">
            <v>48500</v>
          </cell>
          <cell r="L308" t="str">
            <v>@@</v>
          </cell>
          <cell r="M308" t="str">
            <v>@@</v>
          </cell>
          <cell r="N308" t="str">
            <v>@@</v>
          </cell>
          <cell r="O308" t="str">
            <v>@@</v>
          </cell>
          <cell r="P308" t="str">
            <v>@@</v>
          </cell>
          <cell r="Q308" t="str">
            <v>@@</v>
          </cell>
          <cell r="R308" t="str">
            <v>@@</v>
          </cell>
          <cell r="S308" t="str">
            <v>@@</v>
          </cell>
          <cell r="AB308" t="str">
            <v>@@</v>
          </cell>
          <cell r="AC308" t="str">
            <v>@@</v>
          </cell>
          <cell r="AD308" t="str">
            <v>@@</v>
          </cell>
          <cell r="AL308" t="str">
            <v>@@</v>
          </cell>
        </row>
        <row r="309">
          <cell r="J309">
            <v>48600</v>
          </cell>
          <cell r="L309" t="str">
            <v>@@</v>
          </cell>
          <cell r="M309" t="str">
            <v>@@</v>
          </cell>
          <cell r="N309" t="str">
            <v>@@</v>
          </cell>
          <cell r="O309" t="str">
            <v>@@</v>
          </cell>
          <cell r="P309" t="str">
            <v>@@</v>
          </cell>
          <cell r="Q309" t="str">
            <v>@@</v>
          </cell>
          <cell r="R309" t="str">
            <v>@@</v>
          </cell>
          <cell r="S309" t="str">
            <v>@@</v>
          </cell>
          <cell r="AB309" t="str">
            <v>@@</v>
          </cell>
          <cell r="AC309" t="str">
            <v>@@</v>
          </cell>
          <cell r="AD309" t="str">
            <v>@@</v>
          </cell>
          <cell r="AL309" t="str">
            <v>@@</v>
          </cell>
        </row>
        <row r="310">
          <cell r="J310">
            <v>48700</v>
          </cell>
          <cell r="L310" t="str">
            <v>@@</v>
          </cell>
          <cell r="M310" t="str">
            <v>@@</v>
          </cell>
          <cell r="N310" t="str">
            <v>@@</v>
          </cell>
          <cell r="O310" t="str">
            <v>@@</v>
          </cell>
          <cell r="P310" t="str">
            <v>@@</v>
          </cell>
          <cell r="Q310" t="str">
            <v>@@</v>
          </cell>
          <cell r="R310" t="str">
            <v>@@</v>
          </cell>
          <cell r="S310" t="str">
            <v>@@</v>
          </cell>
          <cell r="AB310" t="str">
            <v>@@</v>
          </cell>
          <cell r="AC310" t="str">
            <v>@@</v>
          </cell>
          <cell r="AD310" t="str">
            <v>@@</v>
          </cell>
          <cell r="AL310" t="str">
            <v>@@</v>
          </cell>
        </row>
        <row r="311">
          <cell r="J311">
            <v>48800</v>
          </cell>
          <cell r="L311" t="str">
            <v>@@</v>
          </cell>
          <cell r="M311" t="str">
            <v>@@</v>
          </cell>
          <cell r="N311" t="str">
            <v>@@</v>
          </cell>
          <cell r="O311" t="str">
            <v>@@</v>
          </cell>
          <cell r="P311" t="str">
            <v>@@</v>
          </cell>
          <cell r="Q311" t="str">
            <v>@@</v>
          </cell>
          <cell r="R311" t="str">
            <v>@@</v>
          </cell>
          <cell r="S311" t="str">
            <v>@@</v>
          </cell>
          <cell r="AB311" t="str">
            <v>@@</v>
          </cell>
          <cell r="AC311">
            <v>-17.829999999999998</v>
          </cell>
          <cell r="AD311">
            <v>8</v>
          </cell>
          <cell r="AF311">
            <v>-17.829999999999998</v>
          </cell>
          <cell r="AG311">
            <v>8</v>
          </cell>
          <cell r="AL311" t="str">
            <v>@@</v>
          </cell>
        </row>
        <row r="312">
          <cell r="J312">
            <v>48900</v>
          </cell>
          <cell r="L312">
            <v>48900</v>
          </cell>
          <cell r="M312">
            <v>-17.829999999999998</v>
          </cell>
          <cell r="N312">
            <v>8</v>
          </cell>
          <cell r="O312">
            <v>-14.84</v>
          </cell>
          <cell r="P312">
            <v>6.1</v>
          </cell>
          <cell r="Q312">
            <v>-40.36</v>
          </cell>
          <cell r="R312">
            <v>6</v>
          </cell>
          <cell r="S312">
            <v>1</v>
          </cell>
          <cell r="T312">
            <v>48900</v>
          </cell>
          <cell r="U312">
            <v>-17.829999999999998</v>
          </cell>
          <cell r="V312">
            <v>8</v>
          </cell>
          <cell r="W312">
            <v>-14.84</v>
          </cell>
          <cell r="X312">
            <v>6.1</v>
          </cell>
          <cell r="Y312">
            <v>-40.36</v>
          </cell>
          <cell r="Z312">
            <v>6</v>
          </cell>
          <cell r="AA312">
            <v>1</v>
          </cell>
          <cell r="AB312">
            <v>48900</v>
          </cell>
          <cell r="AC312">
            <v>-14.84</v>
          </cell>
          <cell r="AD312">
            <v>6.1</v>
          </cell>
          <cell r="AE312">
            <v>48900</v>
          </cell>
          <cell r="AF312">
            <v>-14.84</v>
          </cell>
          <cell r="AG312">
            <v>6.1</v>
          </cell>
          <cell r="AL312">
            <v>20.100000000000001</v>
          </cell>
          <cell r="AM312">
            <v>20.100000000000001</v>
          </cell>
        </row>
        <row r="313">
          <cell r="J313">
            <v>49000</v>
          </cell>
          <cell r="L313" t="str">
            <v>@@</v>
          </cell>
          <cell r="M313" t="str">
            <v>@@</v>
          </cell>
          <cell r="N313" t="str">
            <v>@@</v>
          </cell>
          <cell r="O313" t="str">
            <v>@@</v>
          </cell>
          <cell r="P313" t="str">
            <v>@@</v>
          </cell>
          <cell r="Q313" t="str">
            <v>@@</v>
          </cell>
          <cell r="R313" t="str">
            <v>@@</v>
          </cell>
          <cell r="S313" t="str">
            <v>@@</v>
          </cell>
          <cell r="AB313" t="str">
            <v>@@</v>
          </cell>
          <cell r="AC313">
            <v>-40.36</v>
          </cell>
          <cell r="AD313">
            <v>6</v>
          </cell>
          <cell r="AF313">
            <v>-40.36</v>
          </cell>
          <cell r="AG313">
            <v>6</v>
          </cell>
          <cell r="AL313" t="str">
            <v>@@</v>
          </cell>
        </row>
        <row r="314">
          <cell r="J314">
            <v>49100</v>
          </cell>
          <cell r="L314" t="str">
            <v>@@</v>
          </cell>
          <cell r="M314" t="str">
            <v>@@</v>
          </cell>
          <cell r="N314" t="str">
            <v>@@</v>
          </cell>
          <cell r="O314" t="str">
            <v>@@</v>
          </cell>
          <cell r="P314" t="str">
            <v>@@</v>
          </cell>
          <cell r="Q314" t="str">
            <v>@@</v>
          </cell>
          <cell r="R314" t="str">
            <v>@@</v>
          </cell>
          <cell r="S314" t="str">
            <v>@@</v>
          </cell>
          <cell r="AB314" t="str">
            <v>@@</v>
          </cell>
          <cell r="AC314" t="str">
            <v>@@</v>
          </cell>
          <cell r="AD314" t="str">
            <v>@@</v>
          </cell>
          <cell r="AL314" t="str">
            <v>@@</v>
          </cell>
        </row>
        <row r="315">
          <cell r="J315">
            <v>49200</v>
          </cell>
          <cell r="L315" t="str">
            <v>@@</v>
          </cell>
          <cell r="M315" t="str">
            <v>@@</v>
          </cell>
          <cell r="N315" t="str">
            <v>@@</v>
          </cell>
          <cell r="O315" t="str">
            <v>@@</v>
          </cell>
          <cell r="P315" t="str">
            <v>@@</v>
          </cell>
          <cell r="Q315" t="str">
            <v>@@</v>
          </cell>
          <cell r="R315" t="str">
            <v>@@</v>
          </cell>
          <cell r="S315" t="str">
            <v>@@</v>
          </cell>
          <cell r="AB315" t="str">
            <v>@@</v>
          </cell>
          <cell r="AC315" t="str">
            <v>@@</v>
          </cell>
          <cell r="AD315" t="str">
            <v>@@</v>
          </cell>
          <cell r="AL315" t="str">
            <v>@@</v>
          </cell>
        </row>
        <row r="316">
          <cell r="J316">
            <v>49300</v>
          </cell>
          <cell r="L316" t="str">
            <v>@@</v>
          </cell>
          <cell r="M316" t="str">
            <v>@@</v>
          </cell>
          <cell r="N316" t="str">
            <v>@@</v>
          </cell>
          <cell r="O316" t="str">
            <v>@@</v>
          </cell>
          <cell r="P316" t="str">
            <v>@@</v>
          </cell>
          <cell r="Q316" t="str">
            <v>@@</v>
          </cell>
          <cell r="R316" t="str">
            <v>@@</v>
          </cell>
          <cell r="S316" t="str">
            <v>@@</v>
          </cell>
          <cell r="AB316" t="str">
            <v>@@</v>
          </cell>
          <cell r="AC316" t="str">
            <v>@@</v>
          </cell>
          <cell r="AD316" t="str">
            <v>@@</v>
          </cell>
          <cell r="AL316" t="str">
            <v>@@</v>
          </cell>
        </row>
        <row r="317">
          <cell r="J317">
            <v>49400</v>
          </cell>
          <cell r="L317" t="str">
            <v>@@</v>
          </cell>
          <cell r="M317" t="str">
            <v>@@</v>
          </cell>
          <cell r="N317" t="str">
            <v>@@</v>
          </cell>
          <cell r="O317" t="str">
            <v>@@</v>
          </cell>
          <cell r="P317" t="str">
            <v>@@</v>
          </cell>
          <cell r="Q317" t="str">
            <v>@@</v>
          </cell>
          <cell r="R317" t="str">
            <v>@@</v>
          </cell>
          <cell r="S317" t="str">
            <v>@@</v>
          </cell>
          <cell r="AB317" t="str">
            <v>@@</v>
          </cell>
          <cell r="AC317" t="str">
            <v>@@</v>
          </cell>
          <cell r="AD317" t="str">
            <v>@@</v>
          </cell>
          <cell r="AL317" t="str">
            <v>@@</v>
          </cell>
        </row>
        <row r="318">
          <cell r="J318">
            <v>49500</v>
          </cell>
          <cell r="L318" t="str">
            <v>@@</v>
          </cell>
          <cell r="M318" t="str">
            <v>@@</v>
          </cell>
          <cell r="N318" t="str">
            <v>@@</v>
          </cell>
          <cell r="O318" t="str">
            <v>@@</v>
          </cell>
          <cell r="P318" t="str">
            <v>@@</v>
          </cell>
          <cell r="Q318" t="str">
            <v>@@</v>
          </cell>
          <cell r="R318" t="str">
            <v>@@</v>
          </cell>
          <cell r="S318" t="str">
            <v>@@</v>
          </cell>
          <cell r="AB318" t="str">
            <v>@@</v>
          </cell>
          <cell r="AC318" t="str">
            <v>@@</v>
          </cell>
          <cell r="AD318" t="str">
            <v>@@</v>
          </cell>
          <cell r="AL318" t="str">
            <v>@@</v>
          </cell>
        </row>
        <row r="319">
          <cell r="J319">
            <v>49600</v>
          </cell>
          <cell r="L319" t="str">
            <v>@@</v>
          </cell>
          <cell r="M319" t="str">
            <v>@@</v>
          </cell>
          <cell r="N319" t="str">
            <v>@@</v>
          </cell>
          <cell r="O319" t="str">
            <v>@@</v>
          </cell>
          <cell r="P319" t="str">
            <v>@@</v>
          </cell>
          <cell r="Q319" t="str">
            <v>@@</v>
          </cell>
          <cell r="R319" t="str">
            <v>@@</v>
          </cell>
          <cell r="S319" t="str">
            <v>@@</v>
          </cell>
          <cell r="AB319" t="str">
            <v>@@</v>
          </cell>
          <cell r="AC319" t="str">
            <v>@@</v>
          </cell>
          <cell r="AD319" t="str">
            <v>@@</v>
          </cell>
          <cell r="AL319" t="str">
            <v>@@</v>
          </cell>
        </row>
        <row r="320">
          <cell r="J320">
            <v>49700</v>
          </cell>
          <cell r="L320" t="str">
            <v>@@</v>
          </cell>
          <cell r="M320" t="str">
            <v>@@</v>
          </cell>
          <cell r="N320" t="str">
            <v>@@</v>
          </cell>
          <cell r="O320" t="str">
            <v>@@</v>
          </cell>
          <cell r="P320" t="str">
            <v>@@</v>
          </cell>
          <cell r="Q320" t="str">
            <v>@@</v>
          </cell>
          <cell r="R320" t="str">
            <v>@@</v>
          </cell>
          <cell r="S320" t="str">
            <v>@@</v>
          </cell>
          <cell r="AB320" t="str">
            <v>@@</v>
          </cell>
          <cell r="AC320" t="str">
            <v>@@</v>
          </cell>
          <cell r="AD320" t="str">
            <v>@@</v>
          </cell>
          <cell r="AL320" t="str">
            <v>@@</v>
          </cell>
        </row>
        <row r="321">
          <cell r="J321">
            <v>49800</v>
          </cell>
          <cell r="L321" t="str">
            <v>@@</v>
          </cell>
          <cell r="M321" t="str">
            <v>@@</v>
          </cell>
          <cell r="N321" t="str">
            <v>@@</v>
          </cell>
          <cell r="O321" t="str">
            <v>@@</v>
          </cell>
          <cell r="P321" t="str">
            <v>@@</v>
          </cell>
          <cell r="Q321" t="str">
            <v>@@</v>
          </cell>
          <cell r="R321" t="str">
            <v>@@</v>
          </cell>
          <cell r="S321" t="str">
            <v>@@</v>
          </cell>
          <cell r="AB321" t="str">
            <v>@@</v>
          </cell>
          <cell r="AC321">
            <v>-11.57</v>
          </cell>
          <cell r="AD321">
            <v>10.5</v>
          </cell>
          <cell r="AF321">
            <v>-11.57</v>
          </cell>
          <cell r="AG321">
            <v>10.5</v>
          </cell>
          <cell r="AL321" t="str">
            <v>@@</v>
          </cell>
        </row>
        <row r="322">
          <cell r="J322">
            <v>49900</v>
          </cell>
          <cell r="L322">
            <v>49900</v>
          </cell>
          <cell r="M322">
            <v>-11.57</v>
          </cell>
          <cell r="N322">
            <v>10.5</v>
          </cell>
          <cell r="O322">
            <v>-20.43</v>
          </cell>
          <cell r="P322">
            <v>4.5</v>
          </cell>
          <cell r="Q322">
            <v>-49.57</v>
          </cell>
          <cell r="R322">
            <v>5.0999999999999996</v>
          </cell>
          <cell r="S322">
            <v>1</v>
          </cell>
          <cell r="T322">
            <v>49900</v>
          </cell>
          <cell r="U322">
            <v>-11.57</v>
          </cell>
          <cell r="V322">
            <v>10.5</v>
          </cell>
          <cell r="W322">
            <v>-20.43</v>
          </cell>
          <cell r="X322">
            <v>4.5</v>
          </cell>
          <cell r="Y322">
            <v>-49.57</v>
          </cell>
          <cell r="Z322">
            <v>5.0999999999999996</v>
          </cell>
          <cell r="AA322">
            <v>1</v>
          </cell>
          <cell r="AB322">
            <v>49900</v>
          </cell>
          <cell r="AC322">
            <v>-20.43</v>
          </cell>
          <cell r="AD322">
            <v>4.5</v>
          </cell>
          <cell r="AE322">
            <v>49900</v>
          </cell>
          <cell r="AF322">
            <v>-20.43</v>
          </cell>
          <cell r="AG322">
            <v>4.5</v>
          </cell>
          <cell r="AL322">
            <v>20.100000000000001</v>
          </cell>
          <cell r="AM322">
            <v>20.100000000000001</v>
          </cell>
        </row>
        <row r="323">
          <cell r="J323">
            <v>50000</v>
          </cell>
          <cell r="L323" t="str">
            <v>@@</v>
          </cell>
          <cell r="M323" t="str">
            <v>@@</v>
          </cell>
          <cell r="N323" t="str">
            <v>@@</v>
          </cell>
          <cell r="O323" t="str">
            <v>@@</v>
          </cell>
          <cell r="P323" t="str">
            <v>@@</v>
          </cell>
          <cell r="Q323" t="str">
            <v>@@</v>
          </cell>
          <cell r="R323" t="str">
            <v>@@</v>
          </cell>
          <cell r="S323" t="str">
            <v>@@</v>
          </cell>
          <cell r="AB323" t="str">
            <v>@@</v>
          </cell>
          <cell r="AC323">
            <v>-49.57</v>
          </cell>
          <cell r="AD323">
            <v>5.0999999999999996</v>
          </cell>
          <cell r="AF323">
            <v>-49.57</v>
          </cell>
          <cell r="AG323">
            <v>5.0999999999999996</v>
          </cell>
          <cell r="AL323" t="str">
            <v>@@</v>
          </cell>
        </row>
        <row r="324">
          <cell r="J324">
            <v>50100</v>
          </cell>
          <cell r="L324" t="str">
            <v>@@</v>
          </cell>
          <cell r="M324" t="str">
            <v>@@</v>
          </cell>
          <cell r="N324" t="str">
            <v>@@</v>
          </cell>
          <cell r="O324" t="str">
            <v>@@</v>
          </cell>
          <cell r="P324" t="str">
            <v>@@</v>
          </cell>
          <cell r="Q324" t="str">
            <v>@@</v>
          </cell>
          <cell r="R324" t="str">
            <v>@@</v>
          </cell>
          <cell r="S324" t="str">
            <v>@@</v>
          </cell>
          <cell r="AB324" t="str">
            <v>@@</v>
          </cell>
          <cell r="AC324" t="str">
            <v>@@</v>
          </cell>
          <cell r="AD324" t="str">
            <v>@@</v>
          </cell>
          <cell r="AL324" t="str">
            <v>@@</v>
          </cell>
        </row>
        <row r="325">
          <cell r="J325">
            <v>50200</v>
          </cell>
          <cell r="L325" t="str">
            <v>@@</v>
          </cell>
          <cell r="M325" t="str">
            <v>@@</v>
          </cell>
          <cell r="N325" t="str">
            <v>@@</v>
          </cell>
          <cell r="O325" t="str">
            <v>@@</v>
          </cell>
          <cell r="P325" t="str">
            <v>@@</v>
          </cell>
          <cell r="Q325" t="str">
            <v>@@</v>
          </cell>
          <cell r="R325" t="str">
            <v>@@</v>
          </cell>
          <cell r="S325" t="str">
            <v>@@</v>
          </cell>
          <cell r="AB325" t="str">
            <v>@@</v>
          </cell>
          <cell r="AC325" t="str">
            <v>@@</v>
          </cell>
          <cell r="AD325" t="str">
            <v>@@</v>
          </cell>
          <cell r="AL325" t="str">
            <v>@@</v>
          </cell>
        </row>
        <row r="326">
          <cell r="J326">
            <v>50300</v>
          </cell>
          <cell r="L326" t="str">
            <v>@@</v>
          </cell>
          <cell r="M326" t="str">
            <v>@@</v>
          </cell>
          <cell r="N326" t="str">
            <v>@@</v>
          </cell>
          <cell r="O326" t="str">
            <v>@@</v>
          </cell>
          <cell r="P326" t="str">
            <v>@@</v>
          </cell>
          <cell r="Q326" t="str">
            <v>@@</v>
          </cell>
          <cell r="R326" t="str">
            <v>@@</v>
          </cell>
          <cell r="S326" t="str">
            <v>@@</v>
          </cell>
          <cell r="AB326" t="str">
            <v>@@</v>
          </cell>
          <cell r="AC326" t="str">
            <v>@@</v>
          </cell>
          <cell r="AD326" t="str">
            <v>@@</v>
          </cell>
          <cell r="AL326" t="str">
            <v>@@</v>
          </cell>
        </row>
        <row r="327">
          <cell r="J327">
            <v>50400</v>
          </cell>
          <cell r="L327" t="str">
            <v>@@</v>
          </cell>
          <cell r="M327" t="str">
            <v>@@</v>
          </cell>
          <cell r="N327" t="str">
            <v>@@</v>
          </cell>
          <cell r="O327" t="str">
            <v>@@</v>
          </cell>
          <cell r="P327" t="str">
            <v>@@</v>
          </cell>
          <cell r="Q327" t="str">
            <v>@@</v>
          </cell>
          <cell r="R327" t="str">
            <v>@@</v>
          </cell>
          <cell r="S327" t="str">
            <v>@@</v>
          </cell>
          <cell r="AB327" t="str">
            <v>@@</v>
          </cell>
          <cell r="AC327" t="str">
            <v>@@</v>
          </cell>
          <cell r="AD327" t="str">
            <v>@@</v>
          </cell>
          <cell r="AL327" t="str">
            <v>@@</v>
          </cell>
        </row>
        <row r="328">
          <cell r="J328">
            <v>50500</v>
          </cell>
          <cell r="L328" t="str">
            <v>@@</v>
          </cell>
          <cell r="M328" t="str">
            <v>@@</v>
          </cell>
          <cell r="N328" t="str">
            <v>@@</v>
          </cell>
          <cell r="O328" t="str">
            <v>@@</v>
          </cell>
          <cell r="P328" t="str">
            <v>@@</v>
          </cell>
          <cell r="Q328" t="str">
            <v>@@</v>
          </cell>
          <cell r="R328" t="str">
            <v>@@</v>
          </cell>
          <cell r="S328" t="str">
            <v>@@</v>
          </cell>
          <cell r="AB328" t="str">
            <v>@@</v>
          </cell>
          <cell r="AC328" t="str">
            <v>@@</v>
          </cell>
          <cell r="AD328" t="str">
            <v>@@</v>
          </cell>
          <cell r="AL328" t="str">
            <v>@@</v>
          </cell>
        </row>
        <row r="329">
          <cell r="J329">
            <v>50600</v>
          </cell>
          <cell r="L329" t="str">
            <v>@@</v>
          </cell>
          <cell r="M329" t="str">
            <v>@@</v>
          </cell>
          <cell r="N329" t="str">
            <v>@@</v>
          </cell>
          <cell r="O329" t="str">
            <v>@@</v>
          </cell>
          <cell r="P329" t="str">
            <v>@@</v>
          </cell>
          <cell r="Q329" t="str">
            <v>@@</v>
          </cell>
          <cell r="R329" t="str">
            <v>@@</v>
          </cell>
          <cell r="S329" t="str">
            <v>@@</v>
          </cell>
          <cell r="AB329" t="str">
            <v>@@</v>
          </cell>
          <cell r="AC329" t="str">
            <v>@@</v>
          </cell>
          <cell r="AD329" t="str">
            <v>@@</v>
          </cell>
          <cell r="AL329" t="str">
            <v>@@</v>
          </cell>
        </row>
        <row r="330">
          <cell r="J330">
            <v>50700</v>
          </cell>
          <cell r="L330" t="str">
            <v>@@</v>
          </cell>
          <cell r="M330" t="str">
            <v>@@</v>
          </cell>
          <cell r="N330" t="str">
            <v>@@</v>
          </cell>
          <cell r="O330" t="str">
            <v>@@</v>
          </cell>
          <cell r="P330" t="str">
            <v>@@</v>
          </cell>
          <cell r="Q330" t="str">
            <v>@@</v>
          </cell>
          <cell r="R330" t="str">
            <v>@@</v>
          </cell>
          <cell r="S330" t="str">
            <v>@@</v>
          </cell>
          <cell r="AB330" t="str">
            <v>@@</v>
          </cell>
          <cell r="AC330">
            <v>-25.92</v>
          </cell>
          <cell r="AD330">
            <v>6</v>
          </cell>
          <cell r="AF330">
            <v>-25.92</v>
          </cell>
          <cell r="AG330">
            <v>6</v>
          </cell>
          <cell r="AL330" t="str">
            <v>@@</v>
          </cell>
        </row>
        <row r="331">
          <cell r="J331">
            <v>50800</v>
          </cell>
          <cell r="L331">
            <v>50800</v>
          </cell>
          <cell r="M331">
            <v>-25.92</v>
          </cell>
          <cell r="N331">
            <v>6</v>
          </cell>
          <cell r="O331">
            <v>-9.69</v>
          </cell>
          <cell r="P331">
            <v>6.6</v>
          </cell>
          <cell r="Q331">
            <v>-16.21</v>
          </cell>
          <cell r="R331">
            <v>6.4</v>
          </cell>
          <cell r="S331">
            <v>1</v>
          </cell>
          <cell r="T331">
            <v>50800</v>
          </cell>
          <cell r="U331">
            <v>-25.92</v>
          </cell>
          <cell r="V331">
            <v>6</v>
          </cell>
          <cell r="W331">
            <v>-9.69</v>
          </cell>
          <cell r="X331">
            <v>6.6</v>
          </cell>
          <cell r="Y331">
            <v>-16.21</v>
          </cell>
          <cell r="Z331">
            <v>6.4</v>
          </cell>
          <cell r="AA331">
            <v>1</v>
          </cell>
          <cell r="AB331">
            <v>50800</v>
          </cell>
          <cell r="AC331">
            <v>-9.69</v>
          </cell>
          <cell r="AD331">
            <v>6.6</v>
          </cell>
          <cell r="AE331">
            <v>50800</v>
          </cell>
          <cell r="AF331">
            <v>-9.69</v>
          </cell>
          <cell r="AG331">
            <v>6.6</v>
          </cell>
          <cell r="AL331">
            <v>19</v>
          </cell>
          <cell r="AM331">
            <v>19</v>
          </cell>
        </row>
        <row r="332">
          <cell r="J332">
            <v>50900</v>
          </cell>
          <cell r="L332" t="str">
            <v>@@</v>
          </cell>
          <cell r="M332" t="str">
            <v>@@</v>
          </cell>
          <cell r="N332" t="str">
            <v>@@</v>
          </cell>
          <cell r="O332" t="str">
            <v>@@</v>
          </cell>
          <cell r="P332" t="str">
            <v>@@</v>
          </cell>
          <cell r="Q332" t="str">
            <v>@@</v>
          </cell>
          <cell r="R332" t="str">
            <v>@@</v>
          </cell>
          <cell r="S332" t="str">
            <v>@@</v>
          </cell>
          <cell r="AB332" t="str">
            <v>@@</v>
          </cell>
          <cell r="AC332">
            <v>-16.21</v>
          </cell>
          <cell r="AD332">
            <v>6.4</v>
          </cell>
          <cell r="AF332">
            <v>-16.21</v>
          </cell>
          <cell r="AG332">
            <v>6.4</v>
          </cell>
          <cell r="AL332" t="str">
            <v>@@</v>
          </cell>
        </row>
        <row r="333">
          <cell r="J333">
            <v>51000</v>
          </cell>
          <cell r="L333" t="str">
            <v>@@</v>
          </cell>
          <cell r="M333" t="str">
            <v>@@</v>
          </cell>
          <cell r="N333" t="str">
            <v>@@</v>
          </cell>
          <cell r="O333" t="str">
            <v>@@</v>
          </cell>
          <cell r="P333" t="str">
            <v>@@</v>
          </cell>
          <cell r="Q333" t="str">
            <v>@@</v>
          </cell>
          <cell r="R333" t="str">
            <v>@@</v>
          </cell>
          <cell r="S333" t="str">
            <v>@@</v>
          </cell>
          <cell r="AB333" t="str">
            <v>@@</v>
          </cell>
          <cell r="AC333" t="str">
            <v>@@</v>
          </cell>
          <cell r="AD333" t="str">
            <v>@@</v>
          </cell>
          <cell r="AL333" t="str">
            <v>@@</v>
          </cell>
        </row>
        <row r="334">
          <cell r="J334">
            <v>51100</v>
          </cell>
          <cell r="L334" t="str">
            <v>@@</v>
          </cell>
          <cell r="M334" t="str">
            <v>@@</v>
          </cell>
          <cell r="N334" t="str">
            <v>@@</v>
          </cell>
          <cell r="O334" t="str">
            <v>@@</v>
          </cell>
          <cell r="P334" t="str">
            <v>@@</v>
          </cell>
          <cell r="Q334" t="str">
            <v>@@</v>
          </cell>
          <cell r="R334" t="str">
            <v>@@</v>
          </cell>
          <cell r="S334" t="str">
            <v>@@</v>
          </cell>
          <cell r="AB334" t="str">
            <v>@@</v>
          </cell>
          <cell r="AC334" t="str">
            <v>@@</v>
          </cell>
          <cell r="AD334" t="str">
            <v>@@</v>
          </cell>
          <cell r="AL334" t="str">
            <v>@@</v>
          </cell>
        </row>
        <row r="335">
          <cell r="J335">
            <v>51200</v>
          </cell>
          <cell r="L335" t="str">
            <v>@@</v>
          </cell>
          <cell r="M335" t="str">
            <v>@@</v>
          </cell>
          <cell r="N335" t="str">
            <v>@@</v>
          </cell>
          <cell r="O335" t="str">
            <v>@@</v>
          </cell>
          <cell r="P335" t="str">
            <v>@@</v>
          </cell>
          <cell r="Q335" t="str">
            <v>@@</v>
          </cell>
          <cell r="R335" t="str">
            <v>@@</v>
          </cell>
          <cell r="S335" t="str">
            <v>@@</v>
          </cell>
          <cell r="AB335" t="str">
            <v>@@</v>
          </cell>
          <cell r="AC335" t="str">
            <v>@@</v>
          </cell>
          <cell r="AD335" t="str">
            <v>@@</v>
          </cell>
          <cell r="AL335" t="str">
            <v>@@</v>
          </cell>
        </row>
        <row r="336">
          <cell r="J336">
            <v>51300</v>
          </cell>
          <cell r="L336" t="str">
            <v>@@</v>
          </cell>
          <cell r="M336" t="str">
            <v>@@</v>
          </cell>
          <cell r="N336" t="str">
            <v>@@</v>
          </cell>
          <cell r="O336" t="str">
            <v>@@</v>
          </cell>
          <cell r="P336" t="str">
            <v>@@</v>
          </cell>
          <cell r="Q336" t="str">
            <v>@@</v>
          </cell>
          <cell r="R336" t="str">
            <v>@@</v>
          </cell>
          <cell r="S336" t="str">
            <v>@@</v>
          </cell>
          <cell r="AB336" t="str">
            <v>@@</v>
          </cell>
          <cell r="AC336" t="str">
            <v>@@</v>
          </cell>
          <cell r="AD336" t="str">
            <v>@@</v>
          </cell>
          <cell r="AL336" t="str">
            <v>@@</v>
          </cell>
        </row>
        <row r="337">
          <cell r="J337">
            <v>51400</v>
          </cell>
          <cell r="L337" t="str">
            <v>@@</v>
          </cell>
          <cell r="M337" t="str">
            <v>@@</v>
          </cell>
          <cell r="N337" t="str">
            <v>@@</v>
          </cell>
          <cell r="O337" t="str">
            <v>@@</v>
          </cell>
          <cell r="P337" t="str">
            <v>@@</v>
          </cell>
          <cell r="Q337" t="str">
            <v>@@</v>
          </cell>
          <cell r="R337" t="str">
            <v>@@</v>
          </cell>
          <cell r="S337" t="str">
            <v>@@</v>
          </cell>
          <cell r="AB337" t="str">
            <v>@@</v>
          </cell>
          <cell r="AC337" t="str">
            <v>@@</v>
          </cell>
          <cell r="AD337" t="str">
            <v>@@</v>
          </cell>
          <cell r="AL337" t="str">
            <v>@@</v>
          </cell>
        </row>
        <row r="338">
          <cell r="J338">
            <v>51500</v>
          </cell>
          <cell r="L338" t="str">
            <v>@@</v>
          </cell>
          <cell r="M338" t="str">
            <v>@@</v>
          </cell>
          <cell r="N338" t="str">
            <v>@@</v>
          </cell>
          <cell r="O338" t="str">
            <v>@@</v>
          </cell>
          <cell r="P338" t="str">
            <v>@@</v>
          </cell>
          <cell r="Q338" t="str">
            <v>@@</v>
          </cell>
          <cell r="R338" t="str">
            <v>@@</v>
          </cell>
          <cell r="S338" t="str">
            <v>@@</v>
          </cell>
          <cell r="AB338" t="str">
            <v>@@</v>
          </cell>
          <cell r="AC338" t="str">
            <v>@@</v>
          </cell>
          <cell r="AD338" t="str">
            <v>@@</v>
          </cell>
          <cell r="AL338" t="str">
            <v>@@</v>
          </cell>
        </row>
        <row r="339">
          <cell r="J339">
            <v>51600</v>
          </cell>
          <cell r="L339" t="str">
            <v>@@</v>
          </cell>
          <cell r="M339" t="str">
            <v>@@</v>
          </cell>
          <cell r="N339" t="str">
            <v>@@</v>
          </cell>
          <cell r="O339" t="str">
            <v>@@</v>
          </cell>
          <cell r="P339" t="str">
            <v>@@</v>
          </cell>
          <cell r="Q339" t="str">
            <v>@@</v>
          </cell>
          <cell r="R339" t="str">
            <v>@@</v>
          </cell>
          <cell r="S339" t="str">
            <v>@@</v>
          </cell>
          <cell r="AB339" t="str">
            <v>@@</v>
          </cell>
          <cell r="AC339" t="str">
            <v>@@</v>
          </cell>
          <cell r="AD339" t="str">
            <v>@@</v>
          </cell>
          <cell r="AL339" t="str">
            <v>@@</v>
          </cell>
        </row>
        <row r="340">
          <cell r="J340">
            <v>51700</v>
          </cell>
          <cell r="L340" t="str">
            <v>@@</v>
          </cell>
          <cell r="M340" t="str">
            <v>@@</v>
          </cell>
          <cell r="N340" t="str">
            <v>@@</v>
          </cell>
          <cell r="O340" t="str">
            <v>@@</v>
          </cell>
          <cell r="P340" t="str">
            <v>@@</v>
          </cell>
          <cell r="Q340" t="str">
            <v>@@</v>
          </cell>
          <cell r="R340" t="str">
            <v>@@</v>
          </cell>
          <cell r="S340" t="str">
            <v>@@</v>
          </cell>
          <cell r="AB340" t="str">
            <v>@@</v>
          </cell>
          <cell r="AC340" t="str">
            <v>@@</v>
          </cell>
          <cell r="AD340" t="str">
            <v>@@</v>
          </cell>
          <cell r="AL340" t="str">
            <v>@@</v>
          </cell>
        </row>
        <row r="341">
          <cell r="J341">
            <v>51800</v>
          </cell>
          <cell r="L341" t="str">
            <v>@@</v>
          </cell>
          <cell r="M341" t="str">
            <v>@@</v>
          </cell>
          <cell r="N341" t="str">
            <v>@@</v>
          </cell>
          <cell r="O341" t="str">
            <v>@@</v>
          </cell>
          <cell r="P341" t="str">
            <v>@@</v>
          </cell>
          <cell r="Q341" t="str">
            <v>@@</v>
          </cell>
          <cell r="R341" t="str">
            <v>@@</v>
          </cell>
          <cell r="S341" t="str">
            <v>@@</v>
          </cell>
          <cell r="AB341" t="str">
            <v>@@</v>
          </cell>
          <cell r="AC341" t="str">
            <v>@@</v>
          </cell>
          <cell r="AD341" t="str">
            <v>@@</v>
          </cell>
          <cell r="AL341" t="str">
            <v>@@</v>
          </cell>
        </row>
        <row r="342">
          <cell r="J342">
            <v>51900</v>
          </cell>
          <cell r="L342" t="str">
            <v>@@</v>
          </cell>
          <cell r="M342" t="str">
            <v>@@</v>
          </cell>
          <cell r="N342" t="str">
            <v>@@</v>
          </cell>
          <cell r="O342" t="str">
            <v>@@</v>
          </cell>
          <cell r="P342" t="str">
            <v>@@</v>
          </cell>
          <cell r="Q342" t="str">
            <v>@@</v>
          </cell>
          <cell r="R342" t="str">
            <v>@@</v>
          </cell>
          <cell r="S342" t="str">
            <v>@@</v>
          </cell>
          <cell r="AB342" t="str">
            <v>@@</v>
          </cell>
          <cell r="AC342" t="str">
            <v>@@</v>
          </cell>
          <cell r="AD342" t="str">
            <v>@@</v>
          </cell>
          <cell r="AL342" t="str">
            <v>@@</v>
          </cell>
        </row>
        <row r="343">
          <cell r="J343">
            <v>52000</v>
          </cell>
          <cell r="L343" t="str">
            <v>@@</v>
          </cell>
          <cell r="M343" t="str">
            <v>@@</v>
          </cell>
          <cell r="N343" t="str">
            <v>@@</v>
          </cell>
          <cell r="O343" t="str">
            <v>@@</v>
          </cell>
          <cell r="P343" t="str">
            <v>@@</v>
          </cell>
          <cell r="Q343" t="str">
            <v>@@</v>
          </cell>
          <cell r="R343" t="str">
            <v>@@</v>
          </cell>
          <cell r="S343" t="str">
            <v>@@</v>
          </cell>
          <cell r="AB343" t="str">
            <v>@@</v>
          </cell>
          <cell r="AC343" t="str">
            <v>@@</v>
          </cell>
          <cell r="AD343" t="str">
            <v>@@</v>
          </cell>
          <cell r="AL343" t="str">
            <v>@@</v>
          </cell>
        </row>
        <row r="344">
          <cell r="J344">
            <v>52100</v>
          </cell>
          <cell r="L344" t="str">
            <v>@@</v>
          </cell>
          <cell r="M344" t="str">
            <v>@@</v>
          </cell>
          <cell r="N344" t="str">
            <v>@@</v>
          </cell>
          <cell r="O344" t="str">
            <v>@@</v>
          </cell>
          <cell r="P344" t="str">
            <v>@@</v>
          </cell>
          <cell r="Q344" t="str">
            <v>@@</v>
          </cell>
          <cell r="R344" t="str">
            <v>@@</v>
          </cell>
          <cell r="S344" t="str">
            <v>@@</v>
          </cell>
          <cell r="AB344" t="str">
            <v>@@</v>
          </cell>
          <cell r="AC344" t="str">
            <v>@@</v>
          </cell>
          <cell r="AD344" t="str">
            <v>@@</v>
          </cell>
          <cell r="AL344" t="str">
            <v>@@</v>
          </cell>
        </row>
        <row r="345">
          <cell r="J345">
            <v>52200</v>
          </cell>
          <cell r="L345" t="str">
            <v>@@</v>
          </cell>
          <cell r="M345" t="str">
            <v>@@</v>
          </cell>
          <cell r="N345" t="str">
            <v>@@</v>
          </cell>
          <cell r="O345" t="str">
            <v>@@</v>
          </cell>
          <cell r="P345" t="str">
            <v>@@</v>
          </cell>
          <cell r="Q345" t="str">
            <v>@@</v>
          </cell>
          <cell r="R345" t="str">
            <v>@@</v>
          </cell>
          <cell r="S345" t="str">
            <v>@@</v>
          </cell>
          <cell r="AB345" t="str">
            <v>@@</v>
          </cell>
          <cell r="AC345" t="str">
            <v>@@</v>
          </cell>
          <cell r="AD345" t="str">
            <v>@@</v>
          </cell>
          <cell r="AL345" t="str">
            <v>@@</v>
          </cell>
        </row>
        <row r="346">
          <cell r="J346">
            <v>52300</v>
          </cell>
          <cell r="L346" t="str">
            <v>@@</v>
          </cell>
          <cell r="M346" t="str">
            <v>@@</v>
          </cell>
          <cell r="N346" t="str">
            <v>@@</v>
          </cell>
          <cell r="O346" t="str">
            <v>@@</v>
          </cell>
          <cell r="P346" t="str">
            <v>@@</v>
          </cell>
          <cell r="Q346" t="str">
            <v>@@</v>
          </cell>
          <cell r="R346" t="str">
            <v>@@</v>
          </cell>
          <cell r="S346" t="str">
            <v>@@</v>
          </cell>
          <cell r="AB346" t="str">
            <v>@@</v>
          </cell>
          <cell r="AC346" t="str">
            <v>@@</v>
          </cell>
          <cell r="AD346" t="str">
            <v>@@</v>
          </cell>
          <cell r="AL346" t="str">
            <v>@@</v>
          </cell>
        </row>
        <row r="347">
          <cell r="J347">
            <v>52400</v>
          </cell>
          <cell r="L347" t="str">
            <v>@@</v>
          </cell>
          <cell r="M347" t="str">
            <v>@@</v>
          </cell>
          <cell r="N347" t="str">
            <v>@@</v>
          </cell>
          <cell r="O347" t="str">
            <v>@@</v>
          </cell>
          <cell r="P347" t="str">
            <v>@@</v>
          </cell>
          <cell r="Q347" t="str">
            <v>@@</v>
          </cell>
          <cell r="R347" t="str">
            <v>@@</v>
          </cell>
          <cell r="S347" t="str">
            <v>@@</v>
          </cell>
          <cell r="AB347" t="str">
            <v>@@</v>
          </cell>
          <cell r="AC347" t="str">
            <v>@@</v>
          </cell>
          <cell r="AD347" t="str">
            <v>@@</v>
          </cell>
          <cell r="AL347" t="str">
            <v>@@</v>
          </cell>
        </row>
        <row r="348">
          <cell r="J348">
            <v>52500</v>
          </cell>
          <cell r="L348" t="str">
            <v>@@</v>
          </cell>
          <cell r="M348" t="str">
            <v>@@</v>
          </cell>
          <cell r="N348" t="str">
            <v>@@</v>
          </cell>
          <cell r="O348" t="str">
            <v>@@</v>
          </cell>
          <cell r="P348" t="str">
            <v>@@</v>
          </cell>
          <cell r="Q348" t="str">
            <v>@@</v>
          </cell>
          <cell r="R348" t="str">
            <v>@@</v>
          </cell>
          <cell r="S348" t="str">
            <v>@@</v>
          </cell>
          <cell r="AB348" t="str">
            <v>@@</v>
          </cell>
          <cell r="AC348" t="str">
            <v>@@</v>
          </cell>
          <cell r="AD348" t="str">
            <v>@@</v>
          </cell>
          <cell r="AL348" t="str">
            <v>@@</v>
          </cell>
        </row>
        <row r="349">
          <cell r="J349">
            <v>52600</v>
          </cell>
          <cell r="L349" t="str">
            <v>@@</v>
          </cell>
          <cell r="M349" t="str">
            <v>@@</v>
          </cell>
          <cell r="N349" t="str">
            <v>@@</v>
          </cell>
          <cell r="O349" t="str">
            <v>@@</v>
          </cell>
          <cell r="P349" t="str">
            <v>@@</v>
          </cell>
          <cell r="Q349" t="str">
            <v>@@</v>
          </cell>
          <cell r="R349" t="str">
            <v>@@</v>
          </cell>
          <cell r="S349" t="str">
            <v>@@</v>
          </cell>
          <cell r="AB349" t="str">
            <v>@@</v>
          </cell>
          <cell r="AC349" t="str">
            <v>@@</v>
          </cell>
          <cell r="AD349" t="str">
            <v>@@</v>
          </cell>
          <cell r="AL349" t="str">
            <v>@@</v>
          </cell>
        </row>
        <row r="350">
          <cell r="J350">
            <v>52700</v>
          </cell>
          <cell r="L350" t="str">
            <v>@@</v>
          </cell>
          <cell r="M350" t="str">
            <v>@@</v>
          </cell>
          <cell r="N350" t="str">
            <v>@@</v>
          </cell>
          <cell r="O350" t="str">
            <v>@@</v>
          </cell>
          <cell r="P350" t="str">
            <v>@@</v>
          </cell>
          <cell r="Q350" t="str">
            <v>@@</v>
          </cell>
          <cell r="R350" t="str">
            <v>@@</v>
          </cell>
          <cell r="S350" t="str">
            <v>@@</v>
          </cell>
          <cell r="AB350" t="str">
            <v>@@</v>
          </cell>
          <cell r="AC350" t="str">
            <v>@@</v>
          </cell>
          <cell r="AD350" t="str">
            <v>@@</v>
          </cell>
          <cell r="AL350" t="str">
            <v>@@</v>
          </cell>
        </row>
        <row r="351">
          <cell r="J351">
            <v>52800</v>
          </cell>
          <cell r="L351" t="str">
            <v>@@</v>
          </cell>
          <cell r="M351" t="str">
            <v>@@</v>
          </cell>
          <cell r="N351" t="str">
            <v>@@</v>
          </cell>
          <cell r="O351" t="str">
            <v>@@</v>
          </cell>
          <cell r="P351" t="str">
            <v>@@</v>
          </cell>
          <cell r="Q351" t="str">
            <v>@@</v>
          </cell>
          <cell r="R351" t="str">
            <v>@@</v>
          </cell>
          <cell r="S351" t="str">
            <v>@@</v>
          </cell>
          <cell r="AB351" t="str">
            <v>@@</v>
          </cell>
          <cell r="AC351" t="str">
            <v>@@</v>
          </cell>
          <cell r="AD351" t="str">
            <v>@@</v>
          </cell>
          <cell r="AL351" t="str">
            <v>@@</v>
          </cell>
        </row>
        <row r="352">
          <cell r="J352">
            <v>52900</v>
          </cell>
          <cell r="L352" t="str">
            <v>@@</v>
          </cell>
          <cell r="M352" t="str">
            <v>@@</v>
          </cell>
          <cell r="N352" t="str">
            <v>@@</v>
          </cell>
          <cell r="O352" t="str">
            <v>@@</v>
          </cell>
          <cell r="P352" t="str">
            <v>@@</v>
          </cell>
          <cell r="Q352" t="str">
            <v>@@</v>
          </cell>
          <cell r="R352" t="str">
            <v>@@</v>
          </cell>
          <cell r="S352" t="str">
            <v>@@</v>
          </cell>
          <cell r="AB352" t="str">
            <v>@@</v>
          </cell>
          <cell r="AC352" t="str">
            <v>@@</v>
          </cell>
          <cell r="AD352" t="str">
            <v>@@</v>
          </cell>
          <cell r="AL352" t="str">
            <v>@@</v>
          </cell>
        </row>
        <row r="353">
          <cell r="J353">
            <v>53000</v>
          </cell>
          <cell r="L353" t="str">
            <v>@@</v>
          </cell>
          <cell r="M353" t="str">
            <v>@@</v>
          </cell>
          <cell r="N353" t="str">
            <v>@@</v>
          </cell>
          <cell r="O353" t="str">
            <v>@@</v>
          </cell>
          <cell r="P353" t="str">
            <v>@@</v>
          </cell>
          <cell r="Q353" t="str">
            <v>@@</v>
          </cell>
          <cell r="R353" t="str">
            <v>@@</v>
          </cell>
          <cell r="S353" t="str">
            <v>@@</v>
          </cell>
          <cell r="AB353" t="str">
            <v>@@</v>
          </cell>
          <cell r="AC353" t="str">
            <v>@@</v>
          </cell>
          <cell r="AD353" t="str">
            <v>@@</v>
          </cell>
          <cell r="AL353" t="str">
            <v>@@</v>
          </cell>
        </row>
        <row r="354">
          <cell r="J354">
            <v>53100</v>
          </cell>
          <cell r="L354" t="str">
            <v>@@</v>
          </cell>
          <cell r="M354" t="str">
            <v>@@</v>
          </cell>
          <cell r="N354" t="str">
            <v>@@</v>
          </cell>
          <cell r="O354" t="str">
            <v>@@</v>
          </cell>
          <cell r="P354" t="str">
            <v>@@</v>
          </cell>
          <cell r="Q354" t="str">
            <v>@@</v>
          </cell>
          <cell r="R354" t="str">
            <v>@@</v>
          </cell>
          <cell r="S354" t="str">
            <v>@@</v>
          </cell>
          <cell r="AB354" t="str">
            <v>@@</v>
          </cell>
          <cell r="AC354" t="str">
            <v>@@</v>
          </cell>
          <cell r="AD354" t="str">
            <v>@@</v>
          </cell>
          <cell r="AL354" t="str">
            <v>@@</v>
          </cell>
        </row>
        <row r="355">
          <cell r="J355">
            <v>53200</v>
          </cell>
          <cell r="L355" t="str">
            <v>@@</v>
          </cell>
          <cell r="M355" t="str">
            <v>@@</v>
          </cell>
          <cell r="N355" t="str">
            <v>@@</v>
          </cell>
          <cell r="O355" t="str">
            <v>@@</v>
          </cell>
          <cell r="P355" t="str">
            <v>@@</v>
          </cell>
          <cell r="Q355" t="str">
            <v>@@</v>
          </cell>
          <cell r="R355" t="str">
            <v>@@</v>
          </cell>
          <cell r="S355" t="str">
            <v>@@</v>
          </cell>
          <cell r="AB355" t="str">
            <v>@@</v>
          </cell>
          <cell r="AC355" t="str">
            <v>@@</v>
          </cell>
          <cell r="AD355" t="str">
            <v>@@</v>
          </cell>
          <cell r="AL355" t="str">
            <v>@@</v>
          </cell>
        </row>
        <row r="356">
          <cell r="J356">
            <v>53300</v>
          </cell>
          <cell r="L356" t="str">
            <v>@@</v>
          </cell>
          <cell r="M356" t="str">
            <v>@@</v>
          </cell>
          <cell r="N356" t="str">
            <v>@@</v>
          </cell>
          <cell r="O356" t="str">
            <v>@@</v>
          </cell>
          <cell r="P356" t="str">
            <v>@@</v>
          </cell>
          <cell r="Q356" t="str">
            <v>@@</v>
          </cell>
          <cell r="R356" t="str">
            <v>@@</v>
          </cell>
          <cell r="S356" t="str">
            <v>@@</v>
          </cell>
          <cell r="AB356" t="str">
            <v>@@</v>
          </cell>
          <cell r="AC356" t="str">
            <v>@@</v>
          </cell>
          <cell r="AD356" t="str">
            <v>@@</v>
          </cell>
          <cell r="AL356" t="str">
            <v>@@</v>
          </cell>
        </row>
        <row r="357">
          <cell r="J357">
            <v>53400</v>
          </cell>
          <cell r="L357" t="str">
            <v>@@</v>
          </cell>
          <cell r="M357" t="str">
            <v>@@</v>
          </cell>
          <cell r="N357" t="str">
            <v>@@</v>
          </cell>
          <cell r="O357" t="str">
            <v>@@</v>
          </cell>
          <cell r="P357" t="str">
            <v>@@</v>
          </cell>
          <cell r="Q357" t="str">
            <v>@@</v>
          </cell>
          <cell r="R357" t="str">
            <v>@@</v>
          </cell>
          <cell r="S357" t="str">
            <v>@@</v>
          </cell>
          <cell r="AB357" t="str">
            <v>@@</v>
          </cell>
          <cell r="AC357" t="str">
            <v>@@</v>
          </cell>
          <cell r="AD357" t="str">
            <v>@@</v>
          </cell>
          <cell r="AL357" t="str">
            <v>@@</v>
          </cell>
        </row>
        <row r="358">
          <cell r="J358">
            <v>53500</v>
          </cell>
          <cell r="L358" t="str">
            <v>@@</v>
          </cell>
          <cell r="M358" t="str">
            <v>@@</v>
          </cell>
          <cell r="N358" t="str">
            <v>@@</v>
          </cell>
          <cell r="O358" t="str">
            <v>@@</v>
          </cell>
          <cell r="P358" t="str">
            <v>@@</v>
          </cell>
          <cell r="Q358" t="str">
            <v>@@</v>
          </cell>
          <cell r="R358" t="str">
            <v>@@</v>
          </cell>
          <cell r="S358" t="str">
            <v>@@</v>
          </cell>
          <cell r="AB358" t="str">
            <v>@@</v>
          </cell>
          <cell r="AC358" t="str">
            <v>@@</v>
          </cell>
          <cell r="AD358" t="str">
            <v>@@</v>
          </cell>
          <cell r="AL358" t="str">
            <v>@@</v>
          </cell>
        </row>
        <row r="359">
          <cell r="J359">
            <v>53600</v>
          </cell>
          <cell r="L359" t="str">
            <v>@@</v>
          </cell>
          <cell r="M359" t="str">
            <v>@@</v>
          </cell>
          <cell r="N359" t="str">
            <v>@@</v>
          </cell>
          <cell r="O359" t="str">
            <v>@@</v>
          </cell>
          <cell r="P359" t="str">
            <v>@@</v>
          </cell>
          <cell r="Q359" t="str">
            <v>@@</v>
          </cell>
          <cell r="R359" t="str">
            <v>@@</v>
          </cell>
          <cell r="S359" t="str">
            <v>@@</v>
          </cell>
          <cell r="AB359" t="str">
            <v>@@</v>
          </cell>
          <cell r="AC359" t="str">
            <v>@@</v>
          </cell>
          <cell r="AD359" t="str">
            <v>@@</v>
          </cell>
          <cell r="AL359" t="str">
            <v>@@</v>
          </cell>
        </row>
        <row r="360">
          <cell r="J360">
            <v>53700</v>
          </cell>
          <cell r="L360" t="str">
            <v>@@</v>
          </cell>
          <cell r="M360" t="str">
            <v>@@</v>
          </cell>
          <cell r="N360" t="str">
            <v>@@</v>
          </cell>
          <cell r="O360" t="str">
            <v>@@</v>
          </cell>
          <cell r="P360" t="str">
            <v>@@</v>
          </cell>
          <cell r="Q360" t="str">
            <v>@@</v>
          </cell>
          <cell r="R360" t="str">
            <v>@@</v>
          </cell>
          <cell r="S360" t="str">
            <v>@@</v>
          </cell>
          <cell r="AB360" t="str">
            <v>@@</v>
          </cell>
          <cell r="AC360" t="str">
            <v>@@</v>
          </cell>
          <cell r="AD360" t="str">
            <v>@@</v>
          </cell>
          <cell r="AL360" t="str">
            <v>@@</v>
          </cell>
        </row>
        <row r="361">
          <cell r="J361">
            <v>53800</v>
          </cell>
          <cell r="L361" t="str">
            <v>@@</v>
          </cell>
          <cell r="M361" t="str">
            <v>@@</v>
          </cell>
          <cell r="N361" t="str">
            <v>@@</v>
          </cell>
          <cell r="O361" t="str">
            <v>@@</v>
          </cell>
          <cell r="P361" t="str">
            <v>@@</v>
          </cell>
          <cell r="Q361" t="str">
            <v>@@</v>
          </cell>
          <cell r="R361" t="str">
            <v>@@</v>
          </cell>
          <cell r="S361" t="str">
            <v>@@</v>
          </cell>
          <cell r="AB361" t="str">
            <v>@@</v>
          </cell>
          <cell r="AC361" t="str">
            <v>@@</v>
          </cell>
          <cell r="AD361" t="str">
            <v>@@</v>
          </cell>
          <cell r="AL361" t="str">
            <v>@@</v>
          </cell>
        </row>
        <row r="362">
          <cell r="J362">
            <v>53900</v>
          </cell>
          <cell r="L362" t="str">
            <v>@@</v>
          </cell>
          <cell r="M362" t="str">
            <v>@@</v>
          </cell>
          <cell r="N362" t="str">
            <v>@@</v>
          </cell>
          <cell r="O362" t="str">
            <v>@@</v>
          </cell>
          <cell r="P362" t="str">
            <v>@@</v>
          </cell>
          <cell r="Q362" t="str">
            <v>@@</v>
          </cell>
          <cell r="R362" t="str">
            <v>@@</v>
          </cell>
          <cell r="S362" t="str">
            <v>@@</v>
          </cell>
          <cell r="AB362" t="str">
            <v>@@</v>
          </cell>
          <cell r="AC362" t="str">
            <v>@@</v>
          </cell>
          <cell r="AD362" t="str">
            <v>@@</v>
          </cell>
          <cell r="AL362" t="str">
            <v>@@</v>
          </cell>
        </row>
        <row r="363">
          <cell r="J363">
            <v>54000</v>
          </cell>
          <cell r="L363" t="str">
            <v>@@</v>
          </cell>
          <cell r="M363" t="str">
            <v>@@</v>
          </cell>
          <cell r="N363" t="str">
            <v>@@</v>
          </cell>
          <cell r="O363" t="str">
            <v>@@</v>
          </cell>
          <cell r="P363" t="str">
            <v>@@</v>
          </cell>
          <cell r="Q363" t="str">
            <v>@@</v>
          </cell>
          <cell r="R363" t="str">
            <v>@@</v>
          </cell>
          <cell r="S363" t="str">
            <v>@@</v>
          </cell>
          <cell r="AB363" t="str">
            <v>@@</v>
          </cell>
          <cell r="AC363" t="str">
            <v>@@</v>
          </cell>
          <cell r="AD363" t="str">
            <v>@@</v>
          </cell>
          <cell r="AL363" t="str">
            <v>@@</v>
          </cell>
        </row>
        <row r="364">
          <cell r="J364">
            <v>54100</v>
          </cell>
          <cell r="L364" t="str">
            <v>@@</v>
          </cell>
          <cell r="M364" t="str">
            <v>@@</v>
          </cell>
          <cell r="N364" t="str">
            <v>@@</v>
          </cell>
          <cell r="O364" t="str">
            <v>@@</v>
          </cell>
          <cell r="P364" t="str">
            <v>@@</v>
          </cell>
          <cell r="Q364" t="str">
            <v>@@</v>
          </cell>
          <cell r="R364" t="str">
            <v>@@</v>
          </cell>
          <cell r="S364" t="str">
            <v>@@</v>
          </cell>
          <cell r="AB364" t="str">
            <v>@@</v>
          </cell>
          <cell r="AC364" t="str">
            <v>@@</v>
          </cell>
          <cell r="AD364" t="str">
            <v>@@</v>
          </cell>
          <cell r="AL364" t="str">
            <v>@@</v>
          </cell>
        </row>
        <row r="365">
          <cell r="J365">
            <v>54200</v>
          </cell>
          <cell r="L365" t="str">
            <v>@@</v>
          </cell>
          <cell r="M365" t="str">
            <v>@@</v>
          </cell>
          <cell r="N365" t="str">
            <v>@@</v>
          </cell>
          <cell r="O365" t="str">
            <v>@@</v>
          </cell>
          <cell r="P365" t="str">
            <v>@@</v>
          </cell>
          <cell r="Q365" t="str">
            <v>@@</v>
          </cell>
          <cell r="R365" t="str">
            <v>@@</v>
          </cell>
          <cell r="S365" t="str">
            <v>@@</v>
          </cell>
          <cell r="AB365" t="str">
            <v>@@</v>
          </cell>
          <cell r="AC365" t="str">
            <v>@@</v>
          </cell>
          <cell r="AD365" t="str">
            <v>@@</v>
          </cell>
          <cell r="AL365" t="str">
            <v>@@</v>
          </cell>
        </row>
        <row r="366">
          <cell r="J366">
            <v>54300</v>
          </cell>
          <cell r="L366" t="str">
            <v>@@</v>
          </cell>
          <cell r="M366" t="str">
            <v>@@</v>
          </cell>
          <cell r="N366" t="str">
            <v>@@</v>
          </cell>
          <cell r="O366" t="str">
            <v>@@</v>
          </cell>
          <cell r="P366" t="str">
            <v>@@</v>
          </cell>
          <cell r="Q366" t="str">
            <v>@@</v>
          </cell>
          <cell r="R366" t="str">
            <v>@@</v>
          </cell>
          <cell r="S366" t="str">
            <v>@@</v>
          </cell>
          <cell r="AB366" t="str">
            <v>@@</v>
          </cell>
          <cell r="AC366" t="str">
            <v>@@</v>
          </cell>
          <cell r="AD366" t="str">
            <v>@@</v>
          </cell>
          <cell r="AL366" t="str">
            <v>@@</v>
          </cell>
        </row>
        <row r="367">
          <cell r="J367">
            <v>54400</v>
          </cell>
          <cell r="L367" t="str">
            <v>@@</v>
          </cell>
          <cell r="M367" t="str">
            <v>@@</v>
          </cell>
          <cell r="N367" t="str">
            <v>@@</v>
          </cell>
          <cell r="O367" t="str">
            <v>@@</v>
          </cell>
          <cell r="P367" t="str">
            <v>@@</v>
          </cell>
          <cell r="Q367" t="str">
            <v>@@</v>
          </cell>
          <cell r="R367" t="str">
            <v>@@</v>
          </cell>
          <cell r="S367" t="str">
            <v>@@</v>
          </cell>
          <cell r="AB367" t="str">
            <v>@@</v>
          </cell>
          <cell r="AC367" t="str">
            <v>@@</v>
          </cell>
          <cell r="AD367" t="str">
            <v>@@</v>
          </cell>
          <cell r="AL367" t="str">
            <v>@@</v>
          </cell>
        </row>
        <row r="368">
          <cell r="J368">
            <v>54500</v>
          </cell>
          <cell r="L368" t="str">
            <v>@@</v>
          </cell>
          <cell r="M368" t="str">
            <v>@@</v>
          </cell>
          <cell r="N368" t="str">
            <v>@@</v>
          </cell>
          <cell r="O368" t="str">
            <v>@@</v>
          </cell>
          <cell r="P368" t="str">
            <v>@@</v>
          </cell>
          <cell r="Q368" t="str">
            <v>@@</v>
          </cell>
          <cell r="R368" t="str">
            <v>@@</v>
          </cell>
          <cell r="S368" t="str">
            <v>@@</v>
          </cell>
          <cell r="AB368" t="str">
            <v>@@</v>
          </cell>
          <cell r="AC368" t="str">
            <v>@@</v>
          </cell>
          <cell r="AD368" t="str">
            <v>@@</v>
          </cell>
          <cell r="AL368" t="str">
            <v>@@</v>
          </cell>
        </row>
        <row r="369">
          <cell r="J369">
            <v>54600</v>
          </cell>
          <cell r="L369" t="str">
            <v>@@</v>
          </cell>
          <cell r="M369" t="str">
            <v>@@</v>
          </cell>
          <cell r="N369" t="str">
            <v>@@</v>
          </cell>
          <cell r="O369" t="str">
            <v>@@</v>
          </cell>
          <cell r="P369" t="str">
            <v>@@</v>
          </cell>
          <cell r="Q369" t="str">
            <v>@@</v>
          </cell>
          <cell r="R369" t="str">
            <v>@@</v>
          </cell>
          <cell r="S369" t="str">
            <v>@@</v>
          </cell>
          <cell r="AB369" t="str">
            <v>@@</v>
          </cell>
          <cell r="AC369" t="str">
            <v>@@</v>
          </cell>
          <cell r="AD369" t="str">
            <v>@@</v>
          </cell>
          <cell r="AL369" t="str">
            <v>@@</v>
          </cell>
        </row>
        <row r="370">
          <cell r="J370">
            <v>54700</v>
          </cell>
          <cell r="L370" t="str">
            <v>@@</v>
          </cell>
          <cell r="M370" t="str">
            <v>@@</v>
          </cell>
          <cell r="N370" t="str">
            <v>@@</v>
          </cell>
          <cell r="O370" t="str">
            <v>@@</v>
          </cell>
          <cell r="P370" t="str">
            <v>@@</v>
          </cell>
          <cell r="Q370" t="str">
            <v>@@</v>
          </cell>
          <cell r="R370" t="str">
            <v>@@</v>
          </cell>
          <cell r="S370" t="str">
            <v>@@</v>
          </cell>
          <cell r="AB370" t="str">
            <v>@@</v>
          </cell>
          <cell r="AC370" t="str">
            <v>@@</v>
          </cell>
          <cell r="AD370" t="str">
            <v>@@</v>
          </cell>
          <cell r="AL370" t="str">
            <v>@@</v>
          </cell>
        </row>
        <row r="371">
          <cell r="J371">
            <v>54800</v>
          </cell>
          <cell r="L371" t="str">
            <v>@@</v>
          </cell>
          <cell r="M371" t="str">
            <v>@@</v>
          </cell>
          <cell r="N371" t="str">
            <v>@@</v>
          </cell>
          <cell r="O371" t="str">
            <v>@@</v>
          </cell>
          <cell r="P371" t="str">
            <v>@@</v>
          </cell>
          <cell r="Q371" t="str">
            <v>@@</v>
          </cell>
          <cell r="R371" t="str">
            <v>@@</v>
          </cell>
          <cell r="S371" t="str">
            <v>@@</v>
          </cell>
          <cell r="AB371" t="str">
            <v>@@</v>
          </cell>
          <cell r="AC371" t="str">
            <v>@@</v>
          </cell>
          <cell r="AD371" t="str">
            <v>@@</v>
          </cell>
          <cell r="AL371" t="str">
            <v>@@</v>
          </cell>
        </row>
        <row r="372">
          <cell r="J372">
            <v>54900</v>
          </cell>
          <cell r="L372" t="str">
            <v>@@</v>
          </cell>
          <cell r="M372" t="str">
            <v>@@</v>
          </cell>
          <cell r="N372" t="str">
            <v>@@</v>
          </cell>
          <cell r="O372" t="str">
            <v>@@</v>
          </cell>
          <cell r="P372" t="str">
            <v>@@</v>
          </cell>
          <cell r="Q372" t="str">
            <v>@@</v>
          </cell>
          <cell r="R372" t="str">
            <v>@@</v>
          </cell>
          <cell r="S372" t="str">
            <v>@@</v>
          </cell>
          <cell r="AB372" t="str">
            <v>@@</v>
          </cell>
          <cell r="AC372" t="str">
            <v>@@</v>
          </cell>
          <cell r="AD372" t="str">
            <v>@@</v>
          </cell>
          <cell r="AL372" t="str">
            <v>@@</v>
          </cell>
        </row>
        <row r="373">
          <cell r="J373">
            <v>55000</v>
          </cell>
          <cell r="L373" t="str">
            <v>@@</v>
          </cell>
          <cell r="M373" t="str">
            <v>@@</v>
          </cell>
          <cell r="N373" t="str">
            <v>@@</v>
          </cell>
          <cell r="O373" t="str">
            <v>@@</v>
          </cell>
          <cell r="P373" t="str">
            <v>@@</v>
          </cell>
          <cell r="Q373" t="str">
            <v>@@</v>
          </cell>
          <cell r="R373" t="str">
            <v>@@</v>
          </cell>
          <cell r="S373" t="str">
            <v>@@</v>
          </cell>
          <cell r="AB373" t="str">
            <v>@@</v>
          </cell>
          <cell r="AC373" t="str">
            <v>@@</v>
          </cell>
          <cell r="AD373" t="str">
            <v>@@</v>
          </cell>
          <cell r="AL373" t="str">
            <v>@@</v>
          </cell>
        </row>
        <row r="374">
          <cell r="J374">
            <v>55100</v>
          </cell>
          <cell r="L374" t="str">
            <v>@@</v>
          </cell>
          <cell r="M374" t="str">
            <v>@@</v>
          </cell>
          <cell r="N374" t="str">
            <v>@@</v>
          </cell>
          <cell r="O374" t="str">
            <v>@@</v>
          </cell>
          <cell r="P374" t="str">
            <v>@@</v>
          </cell>
          <cell r="Q374" t="str">
            <v>@@</v>
          </cell>
          <cell r="R374" t="str">
            <v>@@</v>
          </cell>
          <cell r="S374" t="str">
            <v>@@</v>
          </cell>
          <cell r="AB374" t="str">
            <v>@@</v>
          </cell>
          <cell r="AC374" t="str">
            <v>@@</v>
          </cell>
          <cell r="AD374" t="str">
            <v>@@</v>
          </cell>
          <cell r="AL374" t="str">
            <v>@@</v>
          </cell>
        </row>
        <row r="375">
          <cell r="J375">
            <v>55200</v>
          </cell>
          <cell r="L375" t="str">
            <v>@@</v>
          </cell>
          <cell r="M375" t="str">
            <v>@@</v>
          </cell>
          <cell r="N375" t="str">
            <v>@@</v>
          </cell>
          <cell r="O375" t="str">
            <v>@@</v>
          </cell>
          <cell r="P375" t="str">
            <v>@@</v>
          </cell>
          <cell r="Q375" t="str">
            <v>@@</v>
          </cell>
          <cell r="R375" t="str">
            <v>@@</v>
          </cell>
          <cell r="S375" t="str">
            <v>@@</v>
          </cell>
          <cell r="AB375" t="str">
            <v>@@</v>
          </cell>
          <cell r="AC375" t="str">
            <v>@@</v>
          </cell>
          <cell r="AD375" t="str">
            <v>@@</v>
          </cell>
          <cell r="AL375" t="str">
            <v>@@</v>
          </cell>
        </row>
        <row r="376">
          <cell r="J376">
            <v>55300</v>
          </cell>
          <cell r="L376" t="str">
            <v>@@</v>
          </cell>
          <cell r="M376" t="str">
            <v>@@</v>
          </cell>
          <cell r="N376" t="str">
            <v>@@</v>
          </cell>
          <cell r="O376" t="str">
            <v>@@</v>
          </cell>
          <cell r="P376" t="str">
            <v>@@</v>
          </cell>
          <cell r="Q376" t="str">
            <v>@@</v>
          </cell>
          <cell r="R376" t="str">
            <v>@@</v>
          </cell>
          <cell r="S376" t="str">
            <v>@@</v>
          </cell>
          <cell r="AB376" t="str">
            <v>@@</v>
          </cell>
          <cell r="AC376" t="str">
            <v>@@</v>
          </cell>
          <cell r="AD376" t="str">
            <v>@@</v>
          </cell>
          <cell r="AL376" t="str">
            <v>@@</v>
          </cell>
        </row>
        <row r="377">
          <cell r="J377">
            <v>55400</v>
          </cell>
          <cell r="L377" t="str">
            <v>@@</v>
          </cell>
          <cell r="M377" t="str">
            <v>@@</v>
          </cell>
          <cell r="N377" t="str">
            <v>@@</v>
          </cell>
          <cell r="O377" t="str">
            <v>@@</v>
          </cell>
          <cell r="P377" t="str">
            <v>@@</v>
          </cell>
          <cell r="Q377" t="str">
            <v>@@</v>
          </cell>
          <cell r="R377" t="str">
            <v>@@</v>
          </cell>
          <cell r="S377" t="str">
            <v>@@</v>
          </cell>
          <cell r="AB377" t="str">
            <v>@@</v>
          </cell>
          <cell r="AC377" t="str">
            <v>@@</v>
          </cell>
          <cell r="AD377" t="str">
            <v>@@</v>
          </cell>
          <cell r="AL377" t="str">
            <v>@@</v>
          </cell>
        </row>
        <row r="378">
          <cell r="J378">
            <v>55500</v>
          </cell>
          <cell r="L378" t="str">
            <v>@@</v>
          </cell>
          <cell r="M378" t="str">
            <v>@@</v>
          </cell>
          <cell r="N378" t="str">
            <v>@@</v>
          </cell>
          <cell r="O378" t="str">
            <v>@@</v>
          </cell>
          <cell r="P378" t="str">
            <v>@@</v>
          </cell>
          <cell r="Q378" t="str">
            <v>@@</v>
          </cell>
          <cell r="R378" t="str">
            <v>@@</v>
          </cell>
          <cell r="S378" t="str">
            <v>@@</v>
          </cell>
          <cell r="AB378" t="str">
            <v>@@</v>
          </cell>
          <cell r="AC378" t="str">
            <v>@@</v>
          </cell>
          <cell r="AD378" t="str">
            <v>@@</v>
          </cell>
          <cell r="AL378" t="str">
            <v>@@</v>
          </cell>
        </row>
        <row r="379">
          <cell r="J379">
            <v>55600</v>
          </cell>
          <cell r="L379" t="str">
            <v>@@</v>
          </cell>
          <cell r="M379" t="str">
            <v>@@</v>
          </cell>
          <cell r="N379" t="str">
            <v>@@</v>
          </cell>
          <cell r="O379" t="str">
            <v>@@</v>
          </cell>
          <cell r="P379" t="str">
            <v>@@</v>
          </cell>
          <cell r="Q379" t="str">
            <v>@@</v>
          </cell>
          <cell r="R379" t="str">
            <v>@@</v>
          </cell>
          <cell r="S379" t="str">
            <v>@@</v>
          </cell>
          <cell r="AB379" t="str">
            <v>@@</v>
          </cell>
          <cell r="AC379" t="str">
            <v>@@</v>
          </cell>
          <cell r="AD379" t="str">
            <v>@@</v>
          </cell>
          <cell r="AL379" t="str">
            <v>@@</v>
          </cell>
        </row>
        <row r="380">
          <cell r="J380">
            <v>55700</v>
          </cell>
          <cell r="L380" t="str">
            <v>@@</v>
          </cell>
          <cell r="M380" t="str">
            <v>@@</v>
          </cell>
          <cell r="N380" t="str">
            <v>@@</v>
          </cell>
          <cell r="O380" t="str">
            <v>@@</v>
          </cell>
          <cell r="P380" t="str">
            <v>@@</v>
          </cell>
          <cell r="Q380" t="str">
            <v>@@</v>
          </cell>
          <cell r="R380" t="str">
            <v>@@</v>
          </cell>
          <cell r="S380" t="str">
            <v>@@</v>
          </cell>
          <cell r="AB380" t="str">
            <v>@@</v>
          </cell>
          <cell r="AC380" t="str">
            <v>@@</v>
          </cell>
          <cell r="AD380" t="str">
            <v>@@</v>
          </cell>
          <cell r="AL380" t="str">
            <v>@@</v>
          </cell>
        </row>
        <row r="381">
          <cell r="J381">
            <v>55800</v>
          </cell>
          <cell r="L381" t="str">
            <v>@@</v>
          </cell>
          <cell r="M381" t="str">
            <v>@@</v>
          </cell>
          <cell r="N381" t="str">
            <v>@@</v>
          </cell>
          <cell r="O381" t="str">
            <v>@@</v>
          </cell>
          <cell r="P381" t="str">
            <v>@@</v>
          </cell>
          <cell r="Q381" t="str">
            <v>@@</v>
          </cell>
          <cell r="R381" t="str">
            <v>@@</v>
          </cell>
          <cell r="S381" t="str">
            <v>@@</v>
          </cell>
          <cell r="AB381" t="str">
            <v>@@</v>
          </cell>
          <cell r="AC381" t="str">
            <v>@@</v>
          </cell>
          <cell r="AD381" t="str">
            <v>@@</v>
          </cell>
          <cell r="AL381" t="str">
            <v>@@</v>
          </cell>
        </row>
        <row r="382">
          <cell r="J382">
            <v>55900</v>
          </cell>
          <cell r="L382" t="str">
            <v>@@</v>
          </cell>
          <cell r="M382" t="str">
            <v>@@</v>
          </cell>
          <cell r="N382" t="str">
            <v>@@</v>
          </cell>
          <cell r="O382" t="str">
            <v>@@</v>
          </cell>
          <cell r="P382" t="str">
            <v>@@</v>
          </cell>
          <cell r="Q382" t="str">
            <v>@@</v>
          </cell>
          <cell r="R382" t="str">
            <v>@@</v>
          </cell>
          <cell r="S382" t="str">
            <v>@@</v>
          </cell>
          <cell r="AB382" t="str">
            <v>@@</v>
          </cell>
          <cell r="AC382" t="str">
            <v>@@</v>
          </cell>
          <cell r="AD382" t="str">
            <v>@@</v>
          </cell>
          <cell r="AL382" t="str">
            <v>@@</v>
          </cell>
        </row>
        <row r="383">
          <cell r="J383">
            <v>56000</v>
          </cell>
          <cell r="L383" t="str">
            <v>@@</v>
          </cell>
          <cell r="M383" t="str">
            <v>@@</v>
          </cell>
          <cell r="N383" t="str">
            <v>@@</v>
          </cell>
          <cell r="O383" t="str">
            <v>@@</v>
          </cell>
          <cell r="P383" t="str">
            <v>@@</v>
          </cell>
          <cell r="Q383" t="str">
            <v>@@</v>
          </cell>
          <cell r="R383" t="str">
            <v>@@</v>
          </cell>
          <cell r="S383" t="str">
            <v>@@</v>
          </cell>
          <cell r="AB383" t="str">
            <v>@@</v>
          </cell>
          <cell r="AC383" t="str">
            <v>@@</v>
          </cell>
          <cell r="AD383" t="str">
            <v>@@</v>
          </cell>
          <cell r="AL383" t="str">
            <v>@@</v>
          </cell>
        </row>
        <row r="384">
          <cell r="J384">
            <v>56100</v>
          </cell>
          <cell r="L384" t="str">
            <v>@@</v>
          </cell>
          <cell r="M384" t="str">
            <v>@@</v>
          </cell>
          <cell r="N384" t="str">
            <v>@@</v>
          </cell>
          <cell r="O384" t="str">
            <v>@@</v>
          </cell>
          <cell r="P384" t="str">
            <v>@@</v>
          </cell>
          <cell r="Q384" t="str">
            <v>@@</v>
          </cell>
          <cell r="R384" t="str">
            <v>@@</v>
          </cell>
          <cell r="S384" t="str">
            <v>@@</v>
          </cell>
          <cell r="AB384" t="str">
            <v>@@</v>
          </cell>
          <cell r="AC384">
            <v>-5.31</v>
          </cell>
          <cell r="AD384">
            <v>5.6</v>
          </cell>
          <cell r="AF384">
            <v>-5.31</v>
          </cell>
          <cell r="AG384">
            <v>5.6</v>
          </cell>
          <cell r="AL384" t="str">
            <v>@@</v>
          </cell>
        </row>
        <row r="385">
          <cell r="J385">
            <v>56200</v>
          </cell>
          <cell r="L385">
            <v>56200</v>
          </cell>
          <cell r="M385">
            <v>-5.31</v>
          </cell>
          <cell r="N385">
            <v>5.6</v>
          </cell>
          <cell r="O385">
            <v>-22.08</v>
          </cell>
          <cell r="P385">
            <v>5.5</v>
          </cell>
          <cell r="Q385">
            <v>-20.59</v>
          </cell>
          <cell r="R385">
            <v>5.0999999999999996</v>
          </cell>
          <cell r="S385">
            <v>1</v>
          </cell>
          <cell r="T385">
            <v>56200</v>
          </cell>
          <cell r="U385">
            <v>-5.31</v>
          </cell>
          <cell r="V385">
            <v>5.6</v>
          </cell>
          <cell r="W385">
            <v>-22.08</v>
          </cell>
          <cell r="X385">
            <v>5.5</v>
          </cell>
          <cell r="Y385">
            <v>-20.59</v>
          </cell>
          <cell r="Z385">
            <v>5.0999999999999996</v>
          </cell>
          <cell r="AA385">
            <v>1</v>
          </cell>
          <cell r="AB385">
            <v>56200</v>
          </cell>
          <cell r="AC385">
            <v>-22.08</v>
          </cell>
          <cell r="AD385">
            <v>5.5</v>
          </cell>
          <cell r="AE385">
            <v>56200</v>
          </cell>
          <cell r="AF385">
            <v>-22.08</v>
          </cell>
          <cell r="AG385">
            <v>5.5</v>
          </cell>
          <cell r="AL385">
            <v>16.2</v>
          </cell>
          <cell r="AM385">
            <v>16.2</v>
          </cell>
        </row>
        <row r="386">
          <cell r="J386">
            <v>56300</v>
          </cell>
          <cell r="L386" t="str">
            <v>@@</v>
          </cell>
          <cell r="M386" t="str">
            <v>@@</v>
          </cell>
          <cell r="N386" t="str">
            <v>@@</v>
          </cell>
          <cell r="O386" t="str">
            <v>@@</v>
          </cell>
          <cell r="P386" t="str">
            <v>@@</v>
          </cell>
          <cell r="Q386" t="str">
            <v>@@</v>
          </cell>
          <cell r="R386" t="str">
            <v>@@</v>
          </cell>
          <cell r="S386" t="str">
            <v>@@</v>
          </cell>
          <cell r="AB386" t="str">
            <v>@@</v>
          </cell>
          <cell r="AC386">
            <v>-20.59</v>
          </cell>
          <cell r="AD386">
            <v>5.0999999999999996</v>
          </cell>
          <cell r="AF386">
            <v>-20.59</v>
          </cell>
          <cell r="AG386">
            <v>5.0999999999999996</v>
          </cell>
          <cell r="AL386" t="str">
            <v>@@</v>
          </cell>
        </row>
        <row r="387">
          <cell r="J387">
            <v>56400</v>
          </cell>
          <cell r="L387" t="str">
            <v>@@</v>
          </cell>
          <cell r="M387" t="str">
            <v>@@</v>
          </cell>
          <cell r="N387" t="str">
            <v>@@</v>
          </cell>
          <cell r="O387" t="str">
            <v>@@</v>
          </cell>
          <cell r="P387" t="str">
            <v>@@</v>
          </cell>
          <cell r="Q387" t="str">
            <v>@@</v>
          </cell>
          <cell r="R387" t="str">
            <v>@@</v>
          </cell>
          <cell r="S387" t="str">
            <v>@@</v>
          </cell>
          <cell r="AB387" t="str">
            <v>@@</v>
          </cell>
          <cell r="AC387" t="str">
            <v>@@</v>
          </cell>
          <cell r="AD387" t="str">
            <v>@@</v>
          </cell>
          <cell r="AL387" t="str">
            <v>@@</v>
          </cell>
        </row>
        <row r="388">
          <cell r="J388">
            <v>56500</v>
          </cell>
          <cell r="L388" t="str">
            <v>@@</v>
          </cell>
          <cell r="M388" t="str">
            <v>@@</v>
          </cell>
          <cell r="N388" t="str">
            <v>@@</v>
          </cell>
          <cell r="O388" t="str">
            <v>@@</v>
          </cell>
          <cell r="P388" t="str">
            <v>@@</v>
          </cell>
          <cell r="Q388" t="str">
            <v>@@</v>
          </cell>
          <cell r="R388" t="str">
            <v>@@</v>
          </cell>
          <cell r="S388" t="str">
            <v>@@</v>
          </cell>
          <cell r="AB388" t="str">
            <v>@@</v>
          </cell>
          <cell r="AC388" t="str">
            <v>@@</v>
          </cell>
          <cell r="AD388" t="str">
            <v>@@</v>
          </cell>
          <cell r="AL388" t="str">
            <v>@@</v>
          </cell>
        </row>
        <row r="389">
          <cell r="J389">
            <v>56600</v>
          </cell>
          <cell r="L389" t="str">
            <v>@@</v>
          </cell>
          <cell r="M389" t="str">
            <v>@@</v>
          </cell>
          <cell r="N389" t="str">
            <v>@@</v>
          </cell>
          <cell r="O389" t="str">
            <v>@@</v>
          </cell>
          <cell r="P389" t="str">
            <v>@@</v>
          </cell>
          <cell r="Q389" t="str">
            <v>@@</v>
          </cell>
          <cell r="R389" t="str">
            <v>@@</v>
          </cell>
          <cell r="S389" t="str">
            <v>@@</v>
          </cell>
          <cell r="AB389" t="str">
            <v>@@</v>
          </cell>
          <cell r="AC389" t="str">
            <v>@@</v>
          </cell>
          <cell r="AD389" t="str">
            <v>@@</v>
          </cell>
          <cell r="AL389" t="str">
            <v>@@</v>
          </cell>
        </row>
        <row r="390">
          <cell r="J390">
            <v>56700</v>
          </cell>
          <cell r="L390" t="str">
            <v>@@</v>
          </cell>
          <cell r="M390" t="str">
            <v>@@</v>
          </cell>
          <cell r="N390" t="str">
            <v>@@</v>
          </cell>
          <cell r="O390" t="str">
            <v>@@</v>
          </cell>
          <cell r="P390" t="str">
            <v>@@</v>
          </cell>
          <cell r="Q390" t="str">
            <v>@@</v>
          </cell>
          <cell r="R390" t="str">
            <v>@@</v>
          </cell>
          <cell r="S390" t="str">
            <v>@@</v>
          </cell>
          <cell r="AB390" t="str">
            <v>@@</v>
          </cell>
          <cell r="AC390" t="str">
            <v>@@</v>
          </cell>
          <cell r="AD390" t="str">
            <v>@@</v>
          </cell>
          <cell r="AL390" t="str">
            <v>@@</v>
          </cell>
        </row>
        <row r="391">
          <cell r="J391">
            <v>56800</v>
          </cell>
          <cell r="L391" t="str">
            <v>@@</v>
          </cell>
          <cell r="M391" t="str">
            <v>@@</v>
          </cell>
          <cell r="N391" t="str">
            <v>@@</v>
          </cell>
          <cell r="O391" t="str">
            <v>@@</v>
          </cell>
          <cell r="P391" t="str">
            <v>@@</v>
          </cell>
          <cell r="Q391" t="str">
            <v>@@</v>
          </cell>
          <cell r="R391" t="str">
            <v>@@</v>
          </cell>
          <cell r="S391" t="str">
            <v>@@</v>
          </cell>
          <cell r="AB391" t="str">
            <v>@@</v>
          </cell>
          <cell r="AC391" t="str">
            <v>@@</v>
          </cell>
          <cell r="AD391" t="str">
            <v>@@</v>
          </cell>
          <cell r="AL391" t="str">
            <v>@@</v>
          </cell>
        </row>
        <row r="392">
          <cell r="J392">
            <v>56900</v>
          </cell>
          <cell r="L392" t="str">
            <v>@@</v>
          </cell>
          <cell r="M392" t="str">
            <v>@@</v>
          </cell>
          <cell r="N392" t="str">
            <v>@@</v>
          </cell>
          <cell r="O392" t="str">
            <v>@@</v>
          </cell>
          <cell r="P392" t="str">
            <v>@@</v>
          </cell>
          <cell r="Q392" t="str">
            <v>@@</v>
          </cell>
          <cell r="R392" t="str">
            <v>@@</v>
          </cell>
          <cell r="S392" t="str">
            <v>@@</v>
          </cell>
          <cell r="AB392" t="str">
            <v>@@</v>
          </cell>
          <cell r="AC392" t="str">
            <v>@@</v>
          </cell>
          <cell r="AD392" t="str">
            <v>@@</v>
          </cell>
          <cell r="AL392" t="str">
            <v>@@</v>
          </cell>
        </row>
        <row r="393">
          <cell r="J393">
            <v>57000</v>
          </cell>
          <cell r="L393" t="str">
            <v>@@</v>
          </cell>
          <cell r="M393" t="str">
            <v>@@</v>
          </cell>
          <cell r="N393" t="str">
            <v>@@</v>
          </cell>
          <cell r="O393" t="str">
            <v>@@</v>
          </cell>
          <cell r="P393" t="str">
            <v>@@</v>
          </cell>
          <cell r="Q393" t="str">
            <v>@@</v>
          </cell>
          <cell r="R393" t="str">
            <v>@@</v>
          </cell>
          <cell r="S393" t="str">
            <v>@@</v>
          </cell>
          <cell r="AB393" t="str">
            <v>@@</v>
          </cell>
          <cell r="AC393" t="str">
            <v>@@</v>
          </cell>
          <cell r="AD393" t="str">
            <v>@@</v>
          </cell>
          <cell r="AL393" t="str">
            <v>@@</v>
          </cell>
        </row>
        <row r="394">
          <cell r="J394">
            <v>57100</v>
          </cell>
          <cell r="L394" t="str">
            <v>@@</v>
          </cell>
          <cell r="M394" t="str">
            <v>@@</v>
          </cell>
          <cell r="N394" t="str">
            <v>@@</v>
          </cell>
          <cell r="O394" t="str">
            <v>@@</v>
          </cell>
          <cell r="P394" t="str">
            <v>@@</v>
          </cell>
          <cell r="Q394" t="str">
            <v>@@</v>
          </cell>
          <cell r="R394" t="str">
            <v>@@</v>
          </cell>
          <cell r="S394" t="str">
            <v>@@</v>
          </cell>
          <cell r="AB394" t="str">
            <v>@@</v>
          </cell>
          <cell r="AC394" t="str">
            <v>@@</v>
          </cell>
          <cell r="AD394" t="str">
            <v>@@</v>
          </cell>
          <cell r="AL394" t="str">
            <v>@@</v>
          </cell>
        </row>
        <row r="395">
          <cell r="J395">
            <v>57200</v>
          </cell>
          <cell r="L395" t="str">
            <v>@@</v>
          </cell>
          <cell r="M395" t="str">
            <v>@@</v>
          </cell>
          <cell r="N395" t="str">
            <v>@@</v>
          </cell>
          <cell r="O395" t="str">
            <v>@@</v>
          </cell>
          <cell r="P395" t="str">
            <v>@@</v>
          </cell>
          <cell r="Q395" t="str">
            <v>@@</v>
          </cell>
          <cell r="R395" t="str">
            <v>@@</v>
          </cell>
          <cell r="S395" t="str">
            <v>@@</v>
          </cell>
          <cell r="AB395" t="str">
            <v>@@</v>
          </cell>
          <cell r="AC395" t="str">
            <v>@@</v>
          </cell>
          <cell r="AD395" t="str">
            <v>@@</v>
          </cell>
          <cell r="AL395" t="str">
            <v>@@</v>
          </cell>
        </row>
        <row r="396">
          <cell r="J396">
            <v>57300</v>
          </cell>
          <cell r="L396" t="str">
            <v>@@</v>
          </cell>
          <cell r="M396" t="str">
            <v>@@</v>
          </cell>
          <cell r="N396" t="str">
            <v>@@</v>
          </cell>
          <cell r="O396" t="str">
            <v>@@</v>
          </cell>
          <cell r="P396" t="str">
            <v>@@</v>
          </cell>
          <cell r="Q396" t="str">
            <v>@@</v>
          </cell>
          <cell r="R396" t="str">
            <v>@@</v>
          </cell>
          <cell r="S396" t="str">
            <v>@@</v>
          </cell>
          <cell r="AB396" t="str">
            <v>@@</v>
          </cell>
          <cell r="AC396" t="str">
            <v>@@</v>
          </cell>
          <cell r="AD396" t="str">
            <v>@@</v>
          </cell>
          <cell r="AL396" t="str">
            <v>@@</v>
          </cell>
        </row>
        <row r="397">
          <cell r="J397">
            <v>57400</v>
          </cell>
          <cell r="L397" t="str">
            <v>@@</v>
          </cell>
          <cell r="M397" t="str">
            <v>@@</v>
          </cell>
          <cell r="N397" t="str">
            <v>@@</v>
          </cell>
          <cell r="O397" t="str">
            <v>@@</v>
          </cell>
          <cell r="P397" t="str">
            <v>@@</v>
          </cell>
          <cell r="Q397" t="str">
            <v>@@</v>
          </cell>
          <cell r="R397" t="str">
            <v>@@</v>
          </cell>
          <cell r="S397" t="str">
            <v>@@</v>
          </cell>
          <cell r="AB397" t="str">
            <v>@@</v>
          </cell>
          <cell r="AC397" t="str">
            <v>@@</v>
          </cell>
          <cell r="AD397" t="str">
            <v>@@</v>
          </cell>
          <cell r="AL397" t="str">
            <v>@@</v>
          </cell>
        </row>
        <row r="398">
          <cell r="J398">
            <v>57500</v>
          </cell>
          <cell r="L398" t="str">
            <v>@@</v>
          </cell>
          <cell r="M398" t="str">
            <v>@@</v>
          </cell>
          <cell r="N398" t="str">
            <v>@@</v>
          </cell>
          <cell r="O398" t="str">
            <v>@@</v>
          </cell>
          <cell r="P398" t="str">
            <v>@@</v>
          </cell>
          <cell r="Q398" t="str">
            <v>@@</v>
          </cell>
          <cell r="R398" t="str">
            <v>@@</v>
          </cell>
          <cell r="S398" t="str">
            <v>@@</v>
          </cell>
          <cell r="AB398" t="str">
            <v>@@</v>
          </cell>
          <cell r="AC398" t="str">
            <v>@@</v>
          </cell>
          <cell r="AD398" t="str">
            <v>@@</v>
          </cell>
          <cell r="AL398" t="str">
            <v>@@</v>
          </cell>
        </row>
        <row r="399">
          <cell r="J399">
            <v>57600</v>
          </cell>
          <cell r="L399" t="str">
            <v>@@</v>
          </cell>
          <cell r="M399" t="str">
            <v>@@</v>
          </cell>
          <cell r="N399" t="str">
            <v>@@</v>
          </cell>
          <cell r="O399" t="str">
            <v>@@</v>
          </cell>
          <cell r="P399" t="str">
            <v>@@</v>
          </cell>
          <cell r="Q399" t="str">
            <v>@@</v>
          </cell>
          <cell r="R399" t="str">
            <v>@@</v>
          </cell>
          <cell r="S399" t="str">
            <v>@@</v>
          </cell>
          <cell r="AB399" t="str">
            <v>@@</v>
          </cell>
          <cell r="AC399" t="str">
            <v>@@</v>
          </cell>
          <cell r="AD399" t="str">
            <v>@@</v>
          </cell>
          <cell r="AL399" t="str">
            <v>@@</v>
          </cell>
        </row>
        <row r="400">
          <cell r="J400">
            <v>57700</v>
          </cell>
          <cell r="L400" t="str">
            <v>@@</v>
          </cell>
          <cell r="M400" t="str">
            <v>@@</v>
          </cell>
          <cell r="N400" t="str">
            <v>@@</v>
          </cell>
          <cell r="O400" t="str">
            <v>@@</v>
          </cell>
          <cell r="P400" t="str">
            <v>@@</v>
          </cell>
          <cell r="Q400" t="str">
            <v>@@</v>
          </cell>
          <cell r="R400" t="str">
            <v>@@</v>
          </cell>
          <cell r="S400" t="str">
            <v>@@</v>
          </cell>
          <cell r="AB400" t="str">
            <v>@@</v>
          </cell>
          <cell r="AC400" t="str">
            <v>@@</v>
          </cell>
          <cell r="AD400" t="str">
            <v>@@</v>
          </cell>
          <cell r="AL400" t="str">
            <v>@@</v>
          </cell>
        </row>
        <row r="401">
          <cell r="J401">
            <v>57800</v>
          </cell>
          <cell r="L401" t="str">
            <v>@@</v>
          </cell>
          <cell r="M401" t="str">
            <v>@@</v>
          </cell>
          <cell r="N401" t="str">
            <v>@@</v>
          </cell>
          <cell r="O401" t="str">
            <v>@@</v>
          </cell>
          <cell r="P401" t="str">
            <v>@@</v>
          </cell>
          <cell r="Q401" t="str">
            <v>@@</v>
          </cell>
          <cell r="R401" t="str">
            <v>@@</v>
          </cell>
          <cell r="S401" t="str">
            <v>@@</v>
          </cell>
          <cell r="AB401" t="str">
            <v>@@</v>
          </cell>
          <cell r="AC401" t="str">
            <v>@@</v>
          </cell>
          <cell r="AD401" t="str">
            <v>@@</v>
          </cell>
          <cell r="AL401" t="str">
            <v>@@</v>
          </cell>
        </row>
        <row r="402">
          <cell r="J402">
            <v>57900</v>
          </cell>
          <cell r="L402" t="str">
            <v>@@</v>
          </cell>
          <cell r="M402" t="str">
            <v>@@</v>
          </cell>
          <cell r="N402" t="str">
            <v>@@</v>
          </cell>
          <cell r="O402" t="str">
            <v>@@</v>
          </cell>
          <cell r="P402" t="str">
            <v>@@</v>
          </cell>
          <cell r="Q402" t="str">
            <v>@@</v>
          </cell>
          <cell r="R402" t="str">
            <v>@@</v>
          </cell>
          <cell r="S402" t="str">
            <v>@@</v>
          </cell>
          <cell r="AB402" t="str">
            <v>@@</v>
          </cell>
          <cell r="AC402" t="str">
            <v>@@</v>
          </cell>
          <cell r="AD402" t="str">
            <v>@@</v>
          </cell>
          <cell r="AL402" t="str">
            <v>@@</v>
          </cell>
        </row>
        <row r="403">
          <cell r="J403">
            <v>58000</v>
          </cell>
          <cell r="L403" t="str">
            <v>@@</v>
          </cell>
          <cell r="M403" t="str">
            <v>@@</v>
          </cell>
          <cell r="N403" t="str">
            <v>@@</v>
          </cell>
          <cell r="O403" t="str">
            <v>@@</v>
          </cell>
          <cell r="P403" t="str">
            <v>@@</v>
          </cell>
          <cell r="Q403" t="str">
            <v>@@</v>
          </cell>
          <cell r="R403" t="str">
            <v>@@</v>
          </cell>
          <cell r="S403" t="str">
            <v>@@</v>
          </cell>
          <cell r="AB403" t="str">
            <v>@@</v>
          </cell>
          <cell r="AC403" t="str">
            <v>@@</v>
          </cell>
          <cell r="AD403" t="str">
            <v>@@</v>
          </cell>
          <cell r="AL403" t="str">
            <v>@@</v>
          </cell>
        </row>
        <row r="404">
          <cell r="J404">
            <v>58100</v>
          </cell>
          <cell r="L404" t="str">
            <v>@@</v>
          </cell>
          <cell r="M404" t="str">
            <v>@@</v>
          </cell>
          <cell r="N404" t="str">
            <v>@@</v>
          </cell>
          <cell r="O404" t="str">
            <v>@@</v>
          </cell>
          <cell r="P404" t="str">
            <v>@@</v>
          </cell>
          <cell r="Q404" t="str">
            <v>@@</v>
          </cell>
          <cell r="R404" t="str">
            <v>@@</v>
          </cell>
          <cell r="S404" t="str">
            <v>@@</v>
          </cell>
          <cell r="AB404" t="str">
            <v>@@</v>
          </cell>
          <cell r="AC404" t="str">
            <v>@@</v>
          </cell>
          <cell r="AD404" t="str">
            <v>@@</v>
          </cell>
          <cell r="AL404" t="str">
            <v>@@</v>
          </cell>
        </row>
        <row r="405">
          <cell r="J405">
            <v>58200</v>
          </cell>
          <cell r="L405" t="str">
            <v>@@</v>
          </cell>
          <cell r="M405" t="str">
            <v>@@</v>
          </cell>
          <cell r="N405" t="str">
            <v>@@</v>
          </cell>
          <cell r="O405" t="str">
            <v>@@</v>
          </cell>
          <cell r="P405" t="str">
            <v>@@</v>
          </cell>
          <cell r="Q405" t="str">
            <v>@@</v>
          </cell>
          <cell r="R405" t="str">
            <v>@@</v>
          </cell>
          <cell r="S405" t="str">
            <v>@@</v>
          </cell>
          <cell r="AB405" t="str">
            <v>@@</v>
          </cell>
          <cell r="AC405" t="str">
            <v>@@</v>
          </cell>
          <cell r="AD405" t="str">
            <v>@@</v>
          </cell>
          <cell r="AL405" t="str">
            <v>@@</v>
          </cell>
        </row>
        <row r="406">
          <cell r="J406">
            <v>58300</v>
          </cell>
          <cell r="L406" t="str">
            <v>@@</v>
          </cell>
          <cell r="M406" t="str">
            <v>@@</v>
          </cell>
          <cell r="N406" t="str">
            <v>@@</v>
          </cell>
          <cell r="O406" t="str">
            <v>@@</v>
          </cell>
          <cell r="P406" t="str">
            <v>@@</v>
          </cell>
          <cell r="Q406" t="str">
            <v>@@</v>
          </cell>
          <cell r="R406" t="str">
            <v>@@</v>
          </cell>
          <cell r="S406" t="str">
            <v>@@</v>
          </cell>
          <cell r="AB406" t="str">
            <v>@@</v>
          </cell>
          <cell r="AC406" t="str">
            <v>@@</v>
          </cell>
          <cell r="AD406" t="str">
            <v>@@</v>
          </cell>
          <cell r="AL406" t="str">
            <v>@@</v>
          </cell>
        </row>
        <row r="407">
          <cell r="J407">
            <v>58400</v>
          </cell>
          <cell r="L407" t="str">
            <v>@@</v>
          </cell>
          <cell r="M407" t="str">
            <v>@@</v>
          </cell>
          <cell r="N407" t="str">
            <v>@@</v>
          </cell>
          <cell r="O407" t="str">
            <v>@@</v>
          </cell>
          <cell r="P407" t="str">
            <v>@@</v>
          </cell>
          <cell r="Q407" t="str">
            <v>@@</v>
          </cell>
          <cell r="R407" t="str">
            <v>@@</v>
          </cell>
          <cell r="S407" t="str">
            <v>@@</v>
          </cell>
          <cell r="AB407" t="str">
            <v>@@</v>
          </cell>
          <cell r="AC407" t="str">
            <v>@@</v>
          </cell>
          <cell r="AD407" t="str">
            <v>@@</v>
          </cell>
          <cell r="AL407" t="str">
            <v>@@</v>
          </cell>
        </row>
        <row r="408">
          <cell r="J408">
            <v>58500</v>
          </cell>
          <cell r="L408" t="str">
            <v>@@</v>
          </cell>
          <cell r="M408" t="str">
            <v>@@</v>
          </cell>
          <cell r="N408" t="str">
            <v>@@</v>
          </cell>
          <cell r="O408" t="str">
            <v>@@</v>
          </cell>
          <cell r="P408" t="str">
            <v>@@</v>
          </cell>
          <cell r="Q408" t="str">
            <v>@@</v>
          </cell>
          <cell r="R408" t="str">
            <v>@@</v>
          </cell>
          <cell r="S408" t="str">
            <v>@@</v>
          </cell>
          <cell r="AB408" t="str">
            <v>@@</v>
          </cell>
          <cell r="AC408" t="str">
            <v>@@</v>
          </cell>
          <cell r="AD408" t="str">
            <v>@@</v>
          </cell>
          <cell r="AL408" t="str">
            <v>@@</v>
          </cell>
        </row>
        <row r="409">
          <cell r="J409">
            <v>58600</v>
          </cell>
          <cell r="L409" t="str">
            <v>@@</v>
          </cell>
          <cell r="M409" t="str">
            <v>@@</v>
          </cell>
          <cell r="N409" t="str">
            <v>@@</v>
          </cell>
          <cell r="O409" t="str">
            <v>@@</v>
          </cell>
          <cell r="P409" t="str">
            <v>@@</v>
          </cell>
          <cell r="Q409" t="str">
            <v>@@</v>
          </cell>
          <cell r="R409" t="str">
            <v>@@</v>
          </cell>
          <cell r="S409" t="str">
            <v>@@</v>
          </cell>
          <cell r="AB409" t="str">
            <v>@@</v>
          </cell>
          <cell r="AC409" t="str">
            <v>@@</v>
          </cell>
          <cell r="AD409" t="str">
            <v>@@</v>
          </cell>
          <cell r="AL409" t="str">
            <v>@@</v>
          </cell>
        </row>
        <row r="410">
          <cell r="J410">
            <v>58700</v>
          </cell>
          <cell r="L410" t="str">
            <v>@@</v>
          </cell>
          <cell r="M410" t="str">
            <v>@@</v>
          </cell>
          <cell r="N410" t="str">
            <v>@@</v>
          </cell>
          <cell r="O410" t="str">
            <v>@@</v>
          </cell>
          <cell r="P410" t="str">
            <v>@@</v>
          </cell>
          <cell r="Q410" t="str">
            <v>@@</v>
          </cell>
          <cell r="R410" t="str">
            <v>@@</v>
          </cell>
          <cell r="S410" t="str">
            <v>@@</v>
          </cell>
          <cell r="AB410" t="str">
            <v>@@</v>
          </cell>
          <cell r="AC410" t="str">
            <v>@@</v>
          </cell>
          <cell r="AD410" t="str">
            <v>@@</v>
          </cell>
          <cell r="AL410" t="str">
            <v>@@</v>
          </cell>
        </row>
        <row r="411">
          <cell r="J411">
            <v>58800</v>
          </cell>
          <cell r="L411" t="str">
            <v>@@</v>
          </cell>
          <cell r="M411" t="str">
            <v>@@</v>
          </cell>
          <cell r="N411" t="str">
            <v>@@</v>
          </cell>
          <cell r="O411" t="str">
            <v>@@</v>
          </cell>
          <cell r="P411" t="str">
            <v>@@</v>
          </cell>
          <cell r="Q411" t="str">
            <v>@@</v>
          </cell>
          <cell r="R411" t="str">
            <v>@@</v>
          </cell>
          <cell r="S411" t="str">
            <v>@@</v>
          </cell>
          <cell r="AB411" t="str">
            <v>@@</v>
          </cell>
          <cell r="AC411" t="str">
            <v>@@</v>
          </cell>
          <cell r="AD411" t="str">
            <v>@@</v>
          </cell>
          <cell r="AL411" t="str">
            <v>@@</v>
          </cell>
        </row>
        <row r="412">
          <cell r="J412">
            <v>58900</v>
          </cell>
          <cell r="L412" t="str">
            <v>@@</v>
          </cell>
          <cell r="M412" t="str">
            <v>@@</v>
          </cell>
          <cell r="N412" t="str">
            <v>@@</v>
          </cell>
          <cell r="O412" t="str">
            <v>@@</v>
          </cell>
          <cell r="P412" t="str">
            <v>@@</v>
          </cell>
          <cell r="Q412" t="str">
            <v>@@</v>
          </cell>
          <cell r="R412" t="str">
            <v>@@</v>
          </cell>
          <cell r="S412" t="str">
            <v>@@</v>
          </cell>
          <cell r="AB412" t="str">
            <v>@@</v>
          </cell>
          <cell r="AC412" t="str">
            <v>@@</v>
          </cell>
          <cell r="AD412" t="str">
            <v>@@</v>
          </cell>
          <cell r="AL412" t="str">
            <v>@@</v>
          </cell>
        </row>
        <row r="413">
          <cell r="J413">
            <v>59000</v>
          </cell>
          <cell r="L413" t="str">
            <v>@@</v>
          </cell>
          <cell r="M413" t="str">
            <v>@@</v>
          </cell>
          <cell r="N413" t="str">
            <v>@@</v>
          </cell>
          <cell r="O413" t="str">
            <v>@@</v>
          </cell>
          <cell r="P413" t="str">
            <v>@@</v>
          </cell>
          <cell r="Q413" t="str">
            <v>@@</v>
          </cell>
          <cell r="R413" t="str">
            <v>@@</v>
          </cell>
          <cell r="S413" t="str">
            <v>@@</v>
          </cell>
          <cell r="AB413" t="str">
            <v>@@</v>
          </cell>
          <cell r="AC413" t="str">
            <v>@@</v>
          </cell>
          <cell r="AD413" t="str">
            <v>@@</v>
          </cell>
          <cell r="AL413" t="str">
            <v>@@</v>
          </cell>
        </row>
        <row r="414">
          <cell r="J414">
            <v>59100</v>
          </cell>
          <cell r="L414" t="str">
            <v>@@</v>
          </cell>
          <cell r="M414" t="str">
            <v>@@</v>
          </cell>
          <cell r="N414" t="str">
            <v>@@</v>
          </cell>
          <cell r="O414" t="str">
            <v>@@</v>
          </cell>
          <cell r="P414" t="str">
            <v>@@</v>
          </cell>
          <cell r="Q414" t="str">
            <v>@@</v>
          </cell>
          <cell r="R414" t="str">
            <v>@@</v>
          </cell>
          <cell r="S414" t="str">
            <v>@@</v>
          </cell>
          <cell r="AB414" t="str">
            <v>@@</v>
          </cell>
          <cell r="AC414" t="str">
            <v>@@</v>
          </cell>
          <cell r="AD414" t="str">
            <v>@@</v>
          </cell>
          <cell r="AL414" t="str">
            <v>@@</v>
          </cell>
        </row>
        <row r="415">
          <cell r="J415">
            <v>59200</v>
          </cell>
          <cell r="L415" t="str">
            <v>@@</v>
          </cell>
          <cell r="M415" t="str">
            <v>@@</v>
          </cell>
          <cell r="N415" t="str">
            <v>@@</v>
          </cell>
          <cell r="O415" t="str">
            <v>@@</v>
          </cell>
          <cell r="P415" t="str">
            <v>@@</v>
          </cell>
          <cell r="Q415" t="str">
            <v>@@</v>
          </cell>
          <cell r="R415" t="str">
            <v>@@</v>
          </cell>
          <cell r="S415" t="str">
            <v>@@</v>
          </cell>
          <cell r="AB415" t="str">
            <v>@@</v>
          </cell>
          <cell r="AC415" t="str">
            <v>@@</v>
          </cell>
          <cell r="AD415" t="str">
            <v>@@</v>
          </cell>
          <cell r="AL415" t="str">
            <v>@@</v>
          </cell>
        </row>
        <row r="416">
          <cell r="J416">
            <v>59300</v>
          </cell>
          <cell r="L416" t="str">
            <v>@@</v>
          </cell>
          <cell r="M416" t="str">
            <v>@@</v>
          </cell>
          <cell r="N416" t="str">
            <v>@@</v>
          </cell>
          <cell r="O416" t="str">
            <v>@@</v>
          </cell>
          <cell r="P416" t="str">
            <v>@@</v>
          </cell>
          <cell r="Q416" t="str">
            <v>@@</v>
          </cell>
          <cell r="R416" t="str">
            <v>@@</v>
          </cell>
          <cell r="S416" t="str">
            <v>@@</v>
          </cell>
          <cell r="AB416" t="str">
            <v>@@</v>
          </cell>
          <cell r="AC416" t="str">
            <v>@@</v>
          </cell>
          <cell r="AD416" t="str">
            <v>@@</v>
          </cell>
          <cell r="AL416" t="str">
            <v>@@</v>
          </cell>
        </row>
        <row r="417">
          <cell r="J417">
            <v>59400</v>
          </cell>
          <cell r="L417" t="str">
            <v>@@</v>
          </cell>
          <cell r="M417" t="str">
            <v>@@</v>
          </cell>
          <cell r="N417" t="str">
            <v>@@</v>
          </cell>
          <cell r="O417" t="str">
            <v>@@</v>
          </cell>
          <cell r="P417" t="str">
            <v>@@</v>
          </cell>
          <cell r="Q417" t="str">
            <v>@@</v>
          </cell>
          <cell r="R417" t="str">
            <v>@@</v>
          </cell>
          <cell r="S417" t="str">
            <v>@@</v>
          </cell>
          <cell r="AB417" t="str">
            <v>@@</v>
          </cell>
          <cell r="AC417" t="str">
            <v>@@</v>
          </cell>
          <cell r="AD417" t="str">
            <v>@@</v>
          </cell>
          <cell r="AL417" t="str">
            <v>@@</v>
          </cell>
        </row>
        <row r="418">
          <cell r="J418">
            <v>59500</v>
          </cell>
          <cell r="L418" t="str">
            <v>@@</v>
          </cell>
          <cell r="M418" t="str">
            <v>@@</v>
          </cell>
          <cell r="N418" t="str">
            <v>@@</v>
          </cell>
          <cell r="O418" t="str">
            <v>@@</v>
          </cell>
          <cell r="P418" t="str">
            <v>@@</v>
          </cell>
          <cell r="Q418" t="str">
            <v>@@</v>
          </cell>
          <cell r="R418" t="str">
            <v>@@</v>
          </cell>
          <cell r="S418" t="str">
            <v>@@</v>
          </cell>
          <cell r="AB418" t="str">
            <v>@@</v>
          </cell>
          <cell r="AC418" t="str">
            <v>@@</v>
          </cell>
          <cell r="AD418" t="str">
            <v>@@</v>
          </cell>
          <cell r="AL418" t="str">
            <v>@@</v>
          </cell>
        </row>
        <row r="419">
          <cell r="J419">
            <v>59600</v>
          </cell>
          <cell r="L419" t="str">
            <v>@@</v>
          </cell>
          <cell r="M419" t="str">
            <v>@@</v>
          </cell>
          <cell r="N419" t="str">
            <v>@@</v>
          </cell>
          <cell r="O419" t="str">
            <v>@@</v>
          </cell>
          <cell r="P419" t="str">
            <v>@@</v>
          </cell>
          <cell r="Q419" t="str">
            <v>@@</v>
          </cell>
          <cell r="R419" t="str">
            <v>@@</v>
          </cell>
          <cell r="S419" t="str">
            <v>@@</v>
          </cell>
          <cell r="AB419" t="str">
            <v>@@</v>
          </cell>
          <cell r="AC419" t="str">
            <v>@@</v>
          </cell>
          <cell r="AD419" t="str">
            <v>@@</v>
          </cell>
          <cell r="AL419" t="str">
            <v>@@</v>
          </cell>
        </row>
        <row r="420">
          <cell r="J420">
            <v>59700</v>
          </cell>
          <cell r="L420" t="str">
            <v>@@</v>
          </cell>
          <cell r="M420" t="str">
            <v>@@</v>
          </cell>
          <cell r="N420" t="str">
            <v>@@</v>
          </cell>
          <cell r="O420" t="str">
            <v>@@</v>
          </cell>
          <cell r="P420" t="str">
            <v>@@</v>
          </cell>
          <cell r="Q420" t="str">
            <v>@@</v>
          </cell>
          <cell r="R420" t="str">
            <v>@@</v>
          </cell>
          <cell r="S420" t="str">
            <v>@@</v>
          </cell>
          <cell r="AB420" t="str">
            <v>@@</v>
          </cell>
          <cell r="AC420" t="str">
            <v>@@</v>
          </cell>
          <cell r="AD420" t="str">
            <v>@@</v>
          </cell>
          <cell r="AL420" t="str">
            <v>@@</v>
          </cell>
        </row>
        <row r="421">
          <cell r="J421">
            <v>59800</v>
          </cell>
          <cell r="L421" t="str">
            <v>@@</v>
          </cell>
          <cell r="M421" t="str">
            <v>@@</v>
          </cell>
          <cell r="N421" t="str">
            <v>@@</v>
          </cell>
          <cell r="O421" t="str">
            <v>@@</v>
          </cell>
          <cell r="P421" t="str">
            <v>@@</v>
          </cell>
          <cell r="Q421" t="str">
            <v>@@</v>
          </cell>
          <cell r="R421" t="str">
            <v>@@</v>
          </cell>
          <cell r="S421" t="str">
            <v>@@</v>
          </cell>
          <cell r="AB421" t="str">
            <v>@@</v>
          </cell>
          <cell r="AC421" t="str">
            <v>@@</v>
          </cell>
          <cell r="AD421" t="str">
            <v>@@</v>
          </cell>
          <cell r="AL421" t="str">
            <v>@@</v>
          </cell>
        </row>
        <row r="422">
          <cell r="J422">
            <v>59900</v>
          </cell>
          <cell r="L422" t="str">
            <v>@@</v>
          </cell>
          <cell r="M422" t="str">
            <v>@@</v>
          </cell>
          <cell r="N422" t="str">
            <v>@@</v>
          </cell>
          <cell r="O422" t="str">
            <v>@@</v>
          </cell>
          <cell r="P422" t="str">
            <v>@@</v>
          </cell>
          <cell r="Q422" t="str">
            <v>@@</v>
          </cell>
          <cell r="R422" t="str">
            <v>@@</v>
          </cell>
          <cell r="S422" t="str">
            <v>@@</v>
          </cell>
          <cell r="AB422" t="str">
            <v>@@</v>
          </cell>
          <cell r="AC422" t="str">
            <v>@@</v>
          </cell>
          <cell r="AD422" t="str">
            <v>@@</v>
          </cell>
          <cell r="AL422" t="str">
            <v>@@</v>
          </cell>
        </row>
        <row r="423">
          <cell r="J423">
            <v>60000</v>
          </cell>
          <cell r="L423" t="str">
            <v>@@</v>
          </cell>
          <cell r="M423" t="str">
            <v>@@</v>
          </cell>
          <cell r="N423" t="str">
            <v>@@</v>
          </cell>
          <cell r="O423" t="str">
            <v>@@</v>
          </cell>
          <cell r="P423" t="str">
            <v>@@</v>
          </cell>
          <cell r="Q423" t="str">
            <v>@@</v>
          </cell>
          <cell r="R423" t="str">
            <v>@@</v>
          </cell>
          <cell r="S423" t="str">
            <v>@@</v>
          </cell>
          <cell r="AB423" t="str">
            <v>@@</v>
          </cell>
          <cell r="AC423" t="str">
            <v>@@</v>
          </cell>
          <cell r="AD423" t="str">
            <v>@@</v>
          </cell>
          <cell r="AL423" t="str">
            <v>@@</v>
          </cell>
        </row>
        <row r="424">
          <cell r="J424">
            <v>60100</v>
          </cell>
          <cell r="L424" t="str">
            <v>@@</v>
          </cell>
          <cell r="M424" t="str">
            <v>@@</v>
          </cell>
          <cell r="N424" t="str">
            <v>@@</v>
          </cell>
          <cell r="O424" t="str">
            <v>@@</v>
          </cell>
          <cell r="P424" t="str">
            <v>@@</v>
          </cell>
          <cell r="Q424" t="str">
            <v>@@</v>
          </cell>
          <cell r="R424" t="str">
            <v>@@</v>
          </cell>
          <cell r="S424" t="str">
            <v>@@</v>
          </cell>
          <cell r="AB424" t="str">
            <v>@@</v>
          </cell>
          <cell r="AC424" t="str">
            <v>@@</v>
          </cell>
          <cell r="AD424" t="str">
            <v>@@</v>
          </cell>
          <cell r="AL424" t="str">
            <v>@@</v>
          </cell>
        </row>
        <row r="425">
          <cell r="J425">
            <v>60200</v>
          </cell>
          <cell r="L425" t="str">
            <v>@@</v>
          </cell>
          <cell r="M425" t="str">
            <v>@@</v>
          </cell>
          <cell r="N425" t="str">
            <v>@@</v>
          </cell>
          <cell r="O425" t="str">
            <v>@@</v>
          </cell>
          <cell r="P425" t="str">
            <v>@@</v>
          </cell>
          <cell r="Q425" t="str">
            <v>@@</v>
          </cell>
          <cell r="R425" t="str">
            <v>@@</v>
          </cell>
          <cell r="S425" t="str">
            <v>@@</v>
          </cell>
          <cell r="AB425" t="str">
            <v>@@</v>
          </cell>
          <cell r="AC425" t="str">
            <v>@@</v>
          </cell>
          <cell r="AD425" t="str">
            <v>@@</v>
          </cell>
          <cell r="AL425" t="str">
            <v>@@</v>
          </cell>
        </row>
        <row r="426">
          <cell r="J426">
            <v>60300</v>
          </cell>
          <cell r="L426" t="str">
            <v>@@</v>
          </cell>
          <cell r="M426" t="str">
            <v>@@</v>
          </cell>
          <cell r="N426" t="str">
            <v>@@</v>
          </cell>
          <cell r="O426" t="str">
            <v>@@</v>
          </cell>
          <cell r="P426" t="str">
            <v>@@</v>
          </cell>
          <cell r="Q426" t="str">
            <v>@@</v>
          </cell>
          <cell r="R426" t="str">
            <v>@@</v>
          </cell>
          <cell r="S426" t="str">
            <v>@@</v>
          </cell>
          <cell r="AB426" t="str">
            <v>@@</v>
          </cell>
          <cell r="AC426" t="str">
            <v>@@</v>
          </cell>
          <cell r="AD426" t="str">
            <v>@@</v>
          </cell>
          <cell r="AL426" t="str">
            <v>@@</v>
          </cell>
        </row>
        <row r="427">
          <cell r="J427">
            <v>60400</v>
          </cell>
          <cell r="L427" t="str">
            <v>@@</v>
          </cell>
          <cell r="M427" t="str">
            <v>@@</v>
          </cell>
          <cell r="N427" t="str">
            <v>@@</v>
          </cell>
          <cell r="O427" t="str">
            <v>@@</v>
          </cell>
          <cell r="P427" t="str">
            <v>@@</v>
          </cell>
          <cell r="Q427" t="str">
            <v>@@</v>
          </cell>
          <cell r="R427" t="str">
            <v>@@</v>
          </cell>
          <cell r="S427" t="str">
            <v>@@</v>
          </cell>
          <cell r="AB427" t="str">
            <v>@@</v>
          </cell>
          <cell r="AC427" t="str">
            <v>@@</v>
          </cell>
          <cell r="AD427" t="str">
            <v>@@</v>
          </cell>
          <cell r="AL427" t="str">
            <v>@@</v>
          </cell>
        </row>
        <row r="428">
          <cell r="J428">
            <v>60500</v>
          </cell>
          <cell r="L428" t="str">
            <v>@@</v>
          </cell>
          <cell r="M428" t="str">
            <v>@@</v>
          </cell>
          <cell r="N428" t="str">
            <v>@@</v>
          </cell>
          <cell r="O428" t="str">
            <v>@@</v>
          </cell>
          <cell r="P428" t="str">
            <v>@@</v>
          </cell>
          <cell r="Q428" t="str">
            <v>@@</v>
          </cell>
          <cell r="R428" t="str">
            <v>@@</v>
          </cell>
          <cell r="S428" t="str">
            <v>@@</v>
          </cell>
          <cell r="AB428" t="str">
            <v>@@</v>
          </cell>
          <cell r="AC428" t="str">
            <v>@@</v>
          </cell>
          <cell r="AD428" t="str">
            <v>@@</v>
          </cell>
          <cell r="AL428" t="str">
            <v>@@</v>
          </cell>
        </row>
        <row r="429">
          <cell r="J429">
            <v>60600</v>
          </cell>
          <cell r="L429" t="str">
            <v>@@</v>
          </cell>
          <cell r="M429" t="str">
            <v>@@</v>
          </cell>
          <cell r="N429" t="str">
            <v>@@</v>
          </cell>
          <cell r="O429" t="str">
            <v>@@</v>
          </cell>
          <cell r="P429" t="str">
            <v>@@</v>
          </cell>
          <cell r="Q429" t="str">
            <v>@@</v>
          </cell>
          <cell r="R429" t="str">
            <v>@@</v>
          </cell>
          <cell r="S429" t="str">
            <v>@@</v>
          </cell>
          <cell r="AB429" t="str">
            <v>@@</v>
          </cell>
          <cell r="AC429" t="str">
            <v>@@</v>
          </cell>
          <cell r="AD429" t="str">
            <v>@@</v>
          </cell>
          <cell r="AL429" t="str">
            <v>@@</v>
          </cell>
        </row>
        <row r="430">
          <cell r="J430">
            <v>60700</v>
          </cell>
          <cell r="L430" t="str">
            <v>@@</v>
          </cell>
          <cell r="M430" t="str">
            <v>@@</v>
          </cell>
          <cell r="N430" t="str">
            <v>@@</v>
          </cell>
          <cell r="O430" t="str">
            <v>@@</v>
          </cell>
          <cell r="P430" t="str">
            <v>@@</v>
          </cell>
          <cell r="Q430" t="str">
            <v>@@</v>
          </cell>
          <cell r="R430" t="str">
            <v>@@</v>
          </cell>
          <cell r="S430" t="str">
            <v>@@</v>
          </cell>
          <cell r="AB430" t="str">
            <v>@@</v>
          </cell>
          <cell r="AC430" t="str">
            <v>@@</v>
          </cell>
          <cell r="AD430" t="str">
            <v>@@</v>
          </cell>
          <cell r="AL430" t="str">
            <v>@@</v>
          </cell>
        </row>
        <row r="431">
          <cell r="J431">
            <v>60800</v>
          </cell>
          <cell r="L431" t="str">
            <v>@@</v>
          </cell>
          <cell r="M431" t="str">
            <v>@@</v>
          </cell>
          <cell r="N431" t="str">
            <v>@@</v>
          </cell>
          <cell r="O431" t="str">
            <v>@@</v>
          </cell>
          <cell r="P431" t="str">
            <v>@@</v>
          </cell>
          <cell r="Q431" t="str">
            <v>@@</v>
          </cell>
          <cell r="R431" t="str">
            <v>@@</v>
          </cell>
          <cell r="S431" t="str">
            <v>@@</v>
          </cell>
          <cell r="AB431" t="str">
            <v>@@</v>
          </cell>
          <cell r="AC431" t="str">
            <v>@@</v>
          </cell>
          <cell r="AD431" t="str">
            <v>@@</v>
          </cell>
          <cell r="AL431" t="str">
            <v>@@</v>
          </cell>
        </row>
        <row r="432">
          <cell r="J432">
            <v>60900</v>
          </cell>
          <cell r="L432" t="str">
            <v>@@</v>
          </cell>
          <cell r="M432" t="str">
            <v>@@</v>
          </cell>
          <cell r="N432" t="str">
            <v>@@</v>
          </cell>
          <cell r="O432" t="str">
            <v>@@</v>
          </cell>
          <cell r="P432" t="str">
            <v>@@</v>
          </cell>
          <cell r="Q432" t="str">
            <v>@@</v>
          </cell>
          <cell r="R432" t="str">
            <v>@@</v>
          </cell>
          <cell r="S432" t="str">
            <v>@@</v>
          </cell>
          <cell r="AB432" t="str">
            <v>@@</v>
          </cell>
          <cell r="AC432" t="str">
            <v>@@</v>
          </cell>
          <cell r="AD432" t="str">
            <v>@@</v>
          </cell>
          <cell r="AL432" t="str">
            <v>@@</v>
          </cell>
        </row>
        <row r="433">
          <cell r="J433">
            <v>61000</v>
          </cell>
          <cell r="L433" t="str">
            <v>@@</v>
          </cell>
          <cell r="M433" t="str">
            <v>@@</v>
          </cell>
          <cell r="N433" t="str">
            <v>@@</v>
          </cell>
          <cell r="O433" t="str">
            <v>@@</v>
          </cell>
          <cell r="P433" t="str">
            <v>@@</v>
          </cell>
          <cell r="Q433" t="str">
            <v>@@</v>
          </cell>
          <cell r="R433" t="str">
            <v>@@</v>
          </cell>
          <cell r="S433" t="str">
            <v>@@</v>
          </cell>
          <cell r="AB433" t="str">
            <v>@@</v>
          </cell>
          <cell r="AC433" t="str">
            <v>@@</v>
          </cell>
          <cell r="AD433" t="str">
            <v>@@</v>
          </cell>
          <cell r="AL433" t="str">
            <v>@@</v>
          </cell>
        </row>
        <row r="434">
          <cell r="J434">
            <v>61100</v>
          </cell>
          <cell r="L434" t="str">
            <v>@@</v>
          </cell>
          <cell r="M434" t="str">
            <v>@@</v>
          </cell>
          <cell r="N434" t="str">
            <v>@@</v>
          </cell>
          <cell r="O434" t="str">
            <v>@@</v>
          </cell>
          <cell r="P434" t="str">
            <v>@@</v>
          </cell>
          <cell r="Q434" t="str">
            <v>@@</v>
          </cell>
          <cell r="R434" t="str">
            <v>@@</v>
          </cell>
          <cell r="S434" t="str">
            <v>@@</v>
          </cell>
          <cell r="AB434" t="str">
            <v>@@</v>
          </cell>
          <cell r="AC434" t="str">
            <v>@@</v>
          </cell>
          <cell r="AD434" t="str">
            <v>@@</v>
          </cell>
          <cell r="AL434" t="str">
            <v>@@</v>
          </cell>
        </row>
        <row r="435">
          <cell r="J435">
            <v>61200</v>
          </cell>
          <cell r="L435" t="str">
            <v>@@</v>
          </cell>
          <cell r="M435" t="str">
            <v>@@</v>
          </cell>
          <cell r="N435" t="str">
            <v>@@</v>
          </cell>
          <cell r="O435" t="str">
            <v>@@</v>
          </cell>
          <cell r="P435" t="str">
            <v>@@</v>
          </cell>
          <cell r="Q435" t="str">
            <v>@@</v>
          </cell>
          <cell r="R435" t="str">
            <v>@@</v>
          </cell>
          <cell r="S435" t="str">
            <v>@@</v>
          </cell>
          <cell r="AB435" t="str">
            <v>@@</v>
          </cell>
          <cell r="AC435" t="str">
            <v>@@</v>
          </cell>
          <cell r="AD435" t="str">
            <v>@@</v>
          </cell>
          <cell r="AL435" t="str">
            <v>@@</v>
          </cell>
        </row>
        <row r="436">
          <cell r="J436">
            <v>61300</v>
          </cell>
          <cell r="L436" t="str">
            <v>@@</v>
          </cell>
          <cell r="M436" t="str">
            <v>@@</v>
          </cell>
          <cell r="N436" t="str">
            <v>@@</v>
          </cell>
          <cell r="O436" t="str">
            <v>@@</v>
          </cell>
          <cell r="P436" t="str">
            <v>@@</v>
          </cell>
          <cell r="Q436" t="str">
            <v>@@</v>
          </cell>
          <cell r="R436" t="str">
            <v>@@</v>
          </cell>
          <cell r="S436" t="str">
            <v>@@</v>
          </cell>
          <cell r="AB436" t="str">
            <v>@@</v>
          </cell>
          <cell r="AC436" t="str">
            <v>@@</v>
          </cell>
          <cell r="AD436" t="str">
            <v>@@</v>
          </cell>
          <cell r="AL436" t="str">
            <v>@@</v>
          </cell>
        </row>
        <row r="437">
          <cell r="J437">
            <v>61400</v>
          </cell>
          <cell r="L437" t="str">
            <v>@@</v>
          </cell>
          <cell r="M437" t="str">
            <v>@@</v>
          </cell>
          <cell r="N437" t="str">
            <v>@@</v>
          </cell>
          <cell r="O437" t="str">
            <v>@@</v>
          </cell>
          <cell r="P437" t="str">
            <v>@@</v>
          </cell>
          <cell r="Q437" t="str">
            <v>@@</v>
          </cell>
          <cell r="R437" t="str">
            <v>@@</v>
          </cell>
          <cell r="S437" t="str">
            <v>@@</v>
          </cell>
          <cell r="AB437" t="str">
            <v>@@</v>
          </cell>
          <cell r="AC437" t="str">
            <v>@@</v>
          </cell>
          <cell r="AD437" t="str">
            <v>@@</v>
          </cell>
          <cell r="AL437" t="str">
            <v>@@</v>
          </cell>
        </row>
        <row r="438">
          <cell r="J438">
            <v>61500</v>
          </cell>
          <cell r="L438" t="str">
            <v>@@</v>
          </cell>
          <cell r="M438" t="str">
            <v>@@</v>
          </cell>
          <cell r="N438" t="str">
            <v>@@</v>
          </cell>
          <cell r="O438" t="str">
            <v>@@</v>
          </cell>
          <cell r="P438" t="str">
            <v>@@</v>
          </cell>
          <cell r="Q438" t="str">
            <v>@@</v>
          </cell>
          <cell r="R438" t="str">
            <v>@@</v>
          </cell>
          <cell r="S438" t="str">
            <v>@@</v>
          </cell>
          <cell r="AB438" t="str">
            <v>@@</v>
          </cell>
          <cell r="AC438" t="str">
            <v>@@</v>
          </cell>
          <cell r="AD438" t="str">
            <v>@@</v>
          </cell>
          <cell r="AL438" t="str">
            <v>@@</v>
          </cell>
        </row>
        <row r="439">
          <cell r="J439">
            <v>61600</v>
          </cell>
          <cell r="L439" t="str">
            <v>@@</v>
          </cell>
          <cell r="M439" t="str">
            <v>@@</v>
          </cell>
          <cell r="N439" t="str">
            <v>@@</v>
          </cell>
          <cell r="O439" t="str">
            <v>@@</v>
          </cell>
          <cell r="P439" t="str">
            <v>@@</v>
          </cell>
          <cell r="Q439" t="str">
            <v>@@</v>
          </cell>
          <cell r="R439" t="str">
            <v>@@</v>
          </cell>
          <cell r="S439" t="str">
            <v>@@</v>
          </cell>
          <cell r="AB439" t="str">
            <v>@@</v>
          </cell>
          <cell r="AC439" t="str">
            <v>@@</v>
          </cell>
          <cell r="AD439" t="str">
            <v>@@</v>
          </cell>
          <cell r="AL439" t="str">
            <v>@@</v>
          </cell>
        </row>
        <row r="440">
          <cell r="J440">
            <v>61700</v>
          </cell>
          <cell r="L440" t="str">
            <v>@@</v>
          </cell>
          <cell r="M440" t="str">
            <v>@@</v>
          </cell>
          <cell r="N440" t="str">
            <v>@@</v>
          </cell>
          <cell r="O440" t="str">
            <v>@@</v>
          </cell>
          <cell r="P440" t="str">
            <v>@@</v>
          </cell>
          <cell r="Q440" t="str">
            <v>@@</v>
          </cell>
          <cell r="R440" t="str">
            <v>@@</v>
          </cell>
          <cell r="S440" t="str">
            <v>@@</v>
          </cell>
          <cell r="AB440" t="str">
            <v>@@</v>
          </cell>
          <cell r="AC440" t="str">
            <v>@@</v>
          </cell>
          <cell r="AD440" t="str">
            <v>@@</v>
          </cell>
          <cell r="AL440" t="str">
            <v>@@</v>
          </cell>
        </row>
        <row r="441">
          <cell r="J441">
            <v>61800</v>
          </cell>
          <cell r="L441" t="str">
            <v>@@</v>
          </cell>
          <cell r="M441" t="str">
            <v>@@</v>
          </cell>
          <cell r="N441" t="str">
            <v>@@</v>
          </cell>
          <cell r="O441" t="str">
            <v>@@</v>
          </cell>
          <cell r="P441" t="str">
            <v>@@</v>
          </cell>
          <cell r="Q441" t="str">
            <v>@@</v>
          </cell>
          <cell r="R441" t="str">
            <v>@@</v>
          </cell>
          <cell r="S441" t="str">
            <v>@@</v>
          </cell>
          <cell r="AB441" t="str">
            <v>@@</v>
          </cell>
          <cell r="AC441" t="str">
            <v>@@</v>
          </cell>
          <cell r="AD441" t="str">
            <v>@@</v>
          </cell>
          <cell r="AL441" t="str">
            <v>@@</v>
          </cell>
        </row>
        <row r="442">
          <cell r="J442">
            <v>61900</v>
          </cell>
          <cell r="L442" t="str">
            <v>@@</v>
          </cell>
          <cell r="M442" t="str">
            <v>@@</v>
          </cell>
          <cell r="N442" t="str">
            <v>@@</v>
          </cell>
          <cell r="O442" t="str">
            <v>@@</v>
          </cell>
          <cell r="P442" t="str">
            <v>@@</v>
          </cell>
          <cell r="Q442" t="str">
            <v>@@</v>
          </cell>
          <cell r="R442" t="str">
            <v>@@</v>
          </cell>
          <cell r="S442" t="str">
            <v>@@</v>
          </cell>
          <cell r="AB442" t="str">
            <v>@@</v>
          </cell>
          <cell r="AC442" t="str">
            <v>@@</v>
          </cell>
          <cell r="AD442" t="str">
            <v>@@</v>
          </cell>
          <cell r="AL442" t="str">
            <v>@@</v>
          </cell>
        </row>
        <row r="443">
          <cell r="J443">
            <v>62000</v>
          </cell>
          <cell r="L443" t="str">
            <v>@@</v>
          </cell>
          <cell r="M443" t="str">
            <v>@@</v>
          </cell>
          <cell r="N443" t="str">
            <v>@@</v>
          </cell>
          <cell r="O443" t="str">
            <v>@@</v>
          </cell>
          <cell r="P443" t="str">
            <v>@@</v>
          </cell>
          <cell r="Q443" t="str">
            <v>@@</v>
          </cell>
          <cell r="R443" t="str">
            <v>@@</v>
          </cell>
          <cell r="S443" t="str">
            <v>@@</v>
          </cell>
          <cell r="AB443" t="str">
            <v>@@</v>
          </cell>
          <cell r="AC443" t="str">
            <v>@@</v>
          </cell>
          <cell r="AD443" t="str">
            <v>@@</v>
          </cell>
          <cell r="AL443" t="str">
            <v>@@</v>
          </cell>
        </row>
        <row r="444">
          <cell r="J444">
            <v>62100</v>
          </cell>
          <cell r="L444" t="str">
            <v>@@</v>
          </cell>
          <cell r="M444" t="str">
            <v>@@</v>
          </cell>
          <cell r="N444" t="str">
            <v>@@</v>
          </cell>
          <cell r="O444" t="str">
            <v>@@</v>
          </cell>
          <cell r="P444" t="str">
            <v>@@</v>
          </cell>
          <cell r="Q444" t="str">
            <v>@@</v>
          </cell>
          <cell r="R444" t="str">
            <v>@@</v>
          </cell>
          <cell r="S444" t="str">
            <v>@@</v>
          </cell>
          <cell r="AB444" t="str">
            <v>@@</v>
          </cell>
          <cell r="AC444" t="str">
            <v>@@</v>
          </cell>
          <cell r="AD444" t="str">
            <v>@@</v>
          </cell>
          <cell r="AL444" t="str">
            <v>@@</v>
          </cell>
        </row>
        <row r="445">
          <cell r="J445">
            <v>62200</v>
          </cell>
          <cell r="L445" t="str">
            <v>@@</v>
          </cell>
          <cell r="M445" t="str">
            <v>@@</v>
          </cell>
          <cell r="N445" t="str">
            <v>@@</v>
          </cell>
          <cell r="O445" t="str">
            <v>@@</v>
          </cell>
          <cell r="P445" t="str">
            <v>@@</v>
          </cell>
          <cell r="Q445" t="str">
            <v>@@</v>
          </cell>
          <cell r="R445" t="str">
            <v>@@</v>
          </cell>
          <cell r="S445" t="str">
            <v>@@</v>
          </cell>
          <cell r="AB445" t="str">
            <v>@@</v>
          </cell>
          <cell r="AC445" t="str">
            <v>@@</v>
          </cell>
          <cell r="AD445" t="str">
            <v>@@</v>
          </cell>
          <cell r="AL445" t="str">
            <v>@@</v>
          </cell>
        </row>
        <row r="446">
          <cell r="J446">
            <v>62300</v>
          </cell>
          <cell r="L446" t="str">
            <v>@@</v>
          </cell>
          <cell r="M446" t="str">
            <v>@@</v>
          </cell>
          <cell r="N446" t="str">
            <v>@@</v>
          </cell>
          <cell r="O446" t="str">
            <v>@@</v>
          </cell>
          <cell r="P446" t="str">
            <v>@@</v>
          </cell>
          <cell r="Q446" t="str">
            <v>@@</v>
          </cell>
          <cell r="R446" t="str">
            <v>@@</v>
          </cell>
          <cell r="S446" t="str">
            <v>@@</v>
          </cell>
          <cell r="AB446" t="str">
            <v>@@</v>
          </cell>
          <cell r="AC446" t="str">
            <v>@@</v>
          </cell>
          <cell r="AD446" t="str">
            <v>@@</v>
          </cell>
          <cell r="AL446" t="str">
            <v>@@</v>
          </cell>
        </row>
        <row r="447">
          <cell r="J447">
            <v>62400</v>
          </cell>
          <cell r="L447" t="str">
            <v>@@</v>
          </cell>
          <cell r="M447" t="str">
            <v>@@</v>
          </cell>
          <cell r="N447" t="str">
            <v>@@</v>
          </cell>
          <cell r="O447" t="str">
            <v>@@</v>
          </cell>
          <cell r="P447" t="str">
            <v>@@</v>
          </cell>
          <cell r="Q447" t="str">
            <v>@@</v>
          </cell>
          <cell r="R447" t="str">
            <v>@@</v>
          </cell>
          <cell r="S447" t="str">
            <v>@@</v>
          </cell>
          <cell r="AB447" t="str">
            <v>@@</v>
          </cell>
          <cell r="AC447" t="str">
            <v>@@</v>
          </cell>
          <cell r="AD447" t="str">
            <v>@@</v>
          </cell>
          <cell r="AL447" t="str">
            <v>@@</v>
          </cell>
        </row>
        <row r="448">
          <cell r="J448">
            <v>62500</v>
          </cell>
          <cell r="L448" t="str">
            <v>@@</v>
          </cell>
          <cell r="M448" t="str">
            <v>@@</v>
          </cell>
          <cell r="N448" t="str">
            <v>@@</v>
          </cell>
          <cell r="O448" t="str">
            <v>@@</v>
          </cell>
          <cell r="P448" t="str">
            <v>@@</v>
          </cell>
          <cell r="Q448" t="str">
            <v>@@</v>
          </cell>
          <cell r="R448" t="str">
            <v>@@</v>
          </cell>
          <cell r="S448" t="str">
            <v>@@</v>
          </cell>
          <cell r="AB448" t="str">
            <v>@@</v>
          </cell>
          <cell r="AC448" t="str">
            <v>@@</v>
          </cell>
          <cell r="AD448" t="str">
            <v>@@</v>
          </cell>
          <cell r="AL448" t="str">
            <v>@@</v>
          </cell>
        </row>
        <row r="449">
          <cell r="J449">
            <v>62600</v>
          </cell>
          <cell r="L449" t="str">
            <v>@@</v>
          </cell>
          <cell r="M449" t="str">
            <v>@@</v>
          </cell>
          <cell r="N449" t="str">
            <v>@@</v>
          </cell>
          <cell r="O449" t="str">
            <v>@@</v>
          </cell>
          <cell r="P449" t="str">
            <v>@@</v>
          </cell>
          <cell r="Q449" t="str">
            <v>@@</v>
          </cell>
          <cell r="R449" t="str">
            <v>@@</v>
          </cell>
          <cell r="S449" t="str">
            <v>@@</v>
          </cell>
          <cell r="AB449" t="str">
            <v>@@</v>
          </cell>
          <cell r="AC449" t="str">
            <v>@@</v>
          </cell>
          <cell r="AD449" t="str">
            <v>@@</v>
          </cell>
          <cell r="AL449" t="str">
            <v>@@</v>
          </cell>
        </row>
        <row r="450">
          <cell r="J450">
            <v>62700</v>
          </cell>
          <cell r="L450" t="str">
            <v>@@</v>
          </cell>
          <cell r="M450" t="str">
            <v>@@</v>
          </cell>
          <cell r="N450" t="str">
            <v>@@</v>
          </cell>
          <cell r="O450" t="str">
            <v>@@</v>
          </cell>
          <cell r="P450" t="str">
            <v>@@</v>
          </cell>
          <cell r="Q450" t="str">
            <v>@@</v>
          </cell>
          <cell r="R450" t="str">
            <v>@@</v>
          </cell>
          <cell r="S450" t="str">
            <v>@@</v>
          </cell>
          <cell r="AB450" t="str">
            <v>@@</v>
          </cell>
          <cell r="AC450" t="str">
            <v>@@</v>
          </cell>
          <cell r="AD450" t="str">
            <v>@@</v>
          </cell>
          <cell r="AL450" t="str">
            <v>@@</v>
          </cell>
        </row>
        <row r="451">
          <cell r="J451">
            <v>62800</v>
          </cell>
          <cell r="L451" t="str">
            <v>@@</v>
          </cell>
          <cell r="M451" t="str">
            <v>@@</v>
          </cell>
          <cell r="N451" t="str">
            <v>@@</v>
          </cell>
          <cell r="O451" t="str">
            <v>@@</v>
          </cell>
          <cell r="P451" t="str">
            <v>@@</v>
          </cell>
          <cell r="Q451" t="str">
            <v>@@</v>
          </cell>
          <cell r="R451" t="str">
            <v>@@</v>
          </cell>
          <cell r="S451" t="str">
            <v>@@</v>
          </cell>
          <cell r="AB451" t="str">
            <v>@@</v>
          </cell>
          <cell r="AC451" t="str">
            <v>@@</v>
          </cell>
          <cell r="AD451" t="str">
            <v>@@</v>
          </cell>
          <cell r="AL451" t="str">
            <v>@@</v>
          </cell>
        </row>
        <row r="452">
          <cell r="J452">
            <v>62900</v>
          </cell>
          <cell r="L452" t="str">
            <v>@@</v>
          </cell>
          <cell r="M452" t="str">
            <v>@@</v>
          </cell>
          <cell r="N452" t="str">
            <v>@@</v>
          </cell>
          <cell r="O452" t="str">
            <v>@@</v>
          </cell>
          <cell r="P452" t="str">
            <v>@@</v>
          </cell>
          <cell r="Q452" t="str">
            <v>@@</v>
          </cell>
          <cell r="R452" t="str">
            <v>@@</v>
          </cell>
          <cell r="S452" t="str">
            <v>@@</v>
          </cell>
          <cell r="AB452" t="str">
            <v>@@</v>
          </cell>
          <cell r="AC452" t="str">
            <v>@@</v>
          </cell>
          <cell r="AD452" t="str">
            <v>@@</v>
          </cell>
          <cell r="AL452" t="str">
            <v>@@</v>
          </cell>
        </row>
        <row r="453">
          <cell r="J453">
            <v>63000</v>
          </cell>
          <cell r="L453" t="str">
            <v>@@</v>
          </cell>
          <cell r="M453" t="str">
            <v>@@</v>
          </cell>
          <cell r="N453" t="str">
            <v>@@</v>
          </cell>
          <cell r="O453" t="str">
            <v>@@</v>
          </cell>
          <cell r="P453" t="str">
            <v>@@</v>
          </cell>
          <cell r="Q453" t="str">
            <v>@@</v>
          </cell>
          <cell r="R453" t="str">
            <v>@@</v>
          </cell>
          <cell r="S453" t="str">
            <v>@@</v>
          </cell>
          <cell r="AB453" t="str">
            <v>@@</v>
          </cell>
          <cell r="AC453" t="str">
            <v>@@</v>
          </cell>
          <cell r="AD453" t="str">
            <v>@@</v>
          </cell>
          <cell r="AL453" t="str">
            <v>@@</v>
          </cell>
        </row>
        <row r="454">
          <cell r="J454">
            <v>63100</v>
          </cell>
          <cell r="L454" t="str">
            <v>@@</v>
          </cell>
          <cell r="M454" t="str">
            <v>@@</v>
          </cell>
          <cell r="N454" t="str">
            <v>@@</v>
          </cell>
          <cell r="O454" t="str">
            <v>@@</v>
          </cell>
          <cell r="P454" t="str">
            <v>@@</v>
          </cell>
          <cell r="Q454" t="str">
            <v>@@</v>
          </cell>
          <cell r="R454" t="str">
            <v>@@</v>
          </cell>
          <cell r="S454" t="str">
            <v>@@</v>
          </cell>
          <cell r="AB454" t="str">
            <v>@@</v>
          </cell>
          <cell r="AC454" t="str">
            <v>@@</v>
          </cell>
          <cell r="AD454" t="str">
            <v>@@</v>
          </cell>
          <cell r="AL454" t="str">
            <v>@@</v>
          </cell>
        </row>
        <row r="455">
          <cell r="J455">
            <v>63200</v>
          </cell>
          <cell r="L455" t="str">
            <v>@@</v>
          </cell>
          <cell r="M455" t="str">
            <v>@@</v>
          </cell>
          <cell r="N455" t="str">
            <v>@@</v>
          </cell>
          <cell r="O455" t="str">
            <v>@@</v>
          </cell>
          <cell r="P455" t="str">
            <v>@@</v>
          </cell>
          <cell r="Q455" t="str">
            <v>@@</v>
          </cell>
          <cell r="R455" t="str">
            <v>@@</v>
          </cell>
          <cell r="S455" t="str">
            <v>@@</v>
          </cell>
          <cell r="AB455" t="str">
            <v>@@</v>
          </cell>
          <cell r="AC455" t="str">
            <v>@@</v>
          </cell>
          <cell r="AD455" t="str">
            <v>@@</v>
          </cell>
          <cell r="AL455" t="str">
            <v>@@</v>
          </cell>
        </row>
        <row r="456">
          <cell r="J456">
            <v>63300</v>
          </cell>
          <cell r="L456" t="str">
            <v>@@</v>
          </cell>
          <cell r="M456" t="str">
            <v>@@</v>
          </cell>
          <cell r="N456" t="str">
            <v>@@</v>
          </cell>
          <cell r="O456" t="str">
            <v>@@</v>
          </cell>
          <cell r="P456" t="str">
            <v>@@</v>
          </cell>
          <cell r="Q456" t="str">
            <v>@@</v>
          </cell>
          <cell r="R456" t="str">
            <v>@@</v>
          </cell>
          <cell r="S456" t="str">
            <v>@@</v>
          </cell>
          <cell r="AB456" t="str">
            <v>@@</v>
          </cell>
          <cell r="AC456" t="str">
            <v>@@</v>
          </cell>
          <cell r="AD456" t="str">
            <v>@@</v>
          </cell>
          <cell r="AL456" t="str">
            <v>@@</v>
          </cell>
        </row>
        <row r="457">
          <cell r="J457">
            <v>63400</v>
          </cell>
          <cell r="L457" t="str">
            <v>@@</v>
          </cell>
          <cell r="M457" t="str">
            <v>@@</v>
          </cell>
          <cell r="N457" t="str">
            <v>@@</v>
          </cell>
          <cell r="O457" t="str">
            <v>@@</v>
          </cell>
          <cell r="P457" t="str">
            <v>@@</v>
          </cell>
          <cell r="Q457" t="str">
            <v>@@</v>
          </cell>
          <cell r="R457" t="str">
            <v>@@</v>
          </cell>
          <cell r="S457" t="str">
            <v>@@</v>
          </cell>
          <cell r="AB457" t="str">
            <v>@@</v>
          </cell>
          <cell r="AC457" t="str">
            <v>@@</v>
          </cell>
          <cell r="AD457" t="str">
            <v>@@</v>
          </cell>
          <cell r="AL457" t="str">
            <v>@@</v>
          </cell>
        </row>
        <row r="458">
          <cell r="J458">
            <v>63500</v>
          </cell>
          <cell r="L458" t="str">
            <v>@@</v>
          </cell>
          <cell r="M458" t="str">
            <v>@@</v>
          </cell>
          <cell r="N458" t="str">
            <v>@@</v>
          </cell>
          <cell r="O458" t="str">
            <v>@@</v>
          </cell>
          <cell r="P458" t="str">
            <v>@@</v>
          </cell>
          <cell r="Q458" t="str">
            <v>@@</v>
          </cell>
          <cell r="R458" t="str">
            <v>@@</v>
          </cell>
          <cell r="S458" t="str">
            <v>@@</v>
          </cell>
          <cell r="AB458" t="str">
            <v>@@</v>
          </cell>
          <cell r="AC458" t="str">
            <v>@@</v>
          </cell>
          <cell r="AD458" t="str">
            <v>@@</v>
          </cell>
          <cell r="AL458" t="str">
            <v>@@</v>
          </cell>
        </row>
        <row r="459">
          <cell r="J459">
            <v>63600</v>
          </cell>
          <cell r="L459" t="str">
            <v>@@</v>
          </cell>
          <cell r="M459" t="str">
            <v>@@</v>
          </cell>
          <cell r="N459" t="str">
            <v>@@</v>
          </cell>
          <cell r="O459" t="str">
            <v>@@</v>
          </cell>
          <cell r="P459" t="str">
            <v>@@</v>
          </cell>
          <cell r="Q459" t="str">
            <v>@@</v>
          </cell>
          <cell r="R459" t="str">
            <v>@@</v>
          </cell>
          <cell r="S459" t="str">
            <v>@@</v>
          </cell>
          <cell r="AB459" t="str">
            <v>@@</v>
          </cell>
          <cell r="AC459" t="str">
            <v>@@</v>
          </cell>
          <cell r="AD459" t="str">
            <v>@@</v>
          </cell>
          <cell r="AL459" t="str">
            <v>@@</v>
          </cell>
        </row>
        <row r="460">
          <cell r="J460">
            <v>63700</v>
          </cell>
          <cell r="L460" t="str">
            <v>@@</v>
          </cell>
          <cell r="M460" t="str">
            <v>@@</v>
          </cell>
          <cell r="N460" t="str">
            <v>@@</v>
          </cell>
          <cell r="O460" t="str">
            <v>@@</v>
          </cell>
          <cell r="P460" t="str">
            <v>@@</v>
          </cell>
          <cell r="Q460" t="str">
            <v>@@</v>
          </cell>
          <cell r="R460" t="str">
            <v>@@</v>
          </cell>
          <cell r="S460" t="str">
            <v>@@</v>
          </cell>
          <cell r="AB460" t="str">
            <v>@@</v>
          </cell>
          <cell r="AC460" t="str">
            <v>@@</v>
          </cell>
          <cell r="AD460" t="str">
            <v>@@</v>
          </cell>
          <cell r="AL460" t="str">
            <v>@@</v>
          </cell>
        </row>
        <row r="461">
          <cell r="J461">
            <v>63800</v>
          </cell>
          <cell r="L461" t="str">
            <v>@@</v>
          </cell>
          <cell r="M461" t="str">
            <v>@@</v>
          </cell>
          <cell r="N461" t="str">
            <v>@@</v>
          </cell>
          <cell r="O461" t="str">
            <v>@@</v>
          </cell>
          <cell r="P461" t="str">
            <v>@@</v>
          </cell>
          <cell r="Q461" t="str">
            <v>@@</v>
          </cell>
          <cell r="R461" t="str">
            <v>@@</v>
          </cell>
          <cell r="S461" t="str">
            <v>@@</v>
          </cell>
          <cell r="AB461" t="str">
            <v>@@</v>
          </cell>
          <cell r="AC461" t="str">
            <v>@@</v>
          </cell>
          <cell r="AD461" t="str">
            <v>@@</v>
          </cell>
          <cell r="AL461" t="str">
            <v>@@</v>
          </cell>
        </row>
        <row r="462">
          <cell r="J462">
            <v>63900</v>
          </cell>
          <cell r="L462" t="str">
            <v>@@</v>
          </cell>
          <cell r="M462" t="str">
            <v>@@</v>
          </cell>
          <cell r="N462" t="str">
            <v>@@</v>
          </cell>
          <cell r="O462" t="str">
            <v>@@</v>
          </cell>
          <cell r="P462" t="str">
            <v>@@</v>
          </cell>
          <cell r="Q462" t="str">
            <v>@@</v>
          </cell>
          <cell r="R462" t="str">
            <v>@@</v>
          </cell>
          <cell r="S462" t="str">
            <v>@@</v>
          </cell>
          <cell r="AB462" t="str">
            <v>@@</v>
          </cell>
          <cell r="AC462" t="str">
            <v>@@</v>
          </cell>
          <cell r="AD462" t="str">
            <v>@@</v>
          </cell>
          <cell r="AL462" t="str">
            <v>@@</v>
          </cell>
        </row>
        <row r="463">
          <cell r="J463">
            <v>64000</v>
          </cell>
          <cell r="L463" t="str">
            <v>@@</v>
          </cell>
          <cell r="M463" t="str">
            <v>@@</v>
          </cell>
          <cell r="N463" t="str">
            <v>@@</v>
          </cell>
          <cell r="O463" t="str">
            <v>@@</v>
          </cell>
          <cell r="P463" t="str">
            <v>@@</v>
          </cell>
          <cell r="Q463" t="str">
            <v>@@</v>
          </cell>
          <cell r="R463" t="str">
            <v>@@</v>
          </cell>
          <cell r="S463" t="str">
            <v>@@</v>
          </cell>
          <cell r="AB463" t="str">
            <v>@@</v>
          </cell>
          <cell r="AC463" t="str">
            <v>@@</v>
          </cell>
          <cell r="AD463" t="str">
            <v>@@</v>
          </cell>
          <cell r="AL463" t="str">
            <v>@@</v>
          </cell>
        </row>
        <row r="464">
          <cell r="J464">
            <v>64100</v>
          </cell>
          <cell r="L464" t="str">
            <v>@@</v>
          </cell>
          <cell r="M464" t="str">
            <v>@@</v>
          </cell>
          <cell r="N464" t="str">
            <v>@@</v>
          </cell>
          <cell r="O464" t="str">
            <v>@@</v>
          </cell>
          <cell r="P464" t="str">
            <v>@@</v>
          </cell>
          <cell r="Q464" t="str">
            <v>@@</v>
          </cell>
          <cell r="R464" t="str">
            <v>@@</v>
          </cell>
          <cell r="S464" t="str">
            <v>@@</v>
          </cell>
          <cell r="AB464" t="str">
            <v>@@</v>
          </cell>
          <cell r="AC464" t="str">
            <v>@@</v>
          </cell>
          <cell r="AD464" t="str">
            <v>@@</v>
          </cell>
          <cell r="AL464" t="str">
            <v>@@</v>
          </cell>
        </row>
        <row r="465">
          <cell r="J465">
            <v>64200</v>
          </cell>
          <cell r="L465" t="str">
            <v>@@</v>
          </cell>
          <cell r="M465" t="str">
            <v>@@</v>
          </cell>
          <cell r="N465" t="str">
            <v>@@</v>
          </cell>
          <cell r="O465" t="str">
            <v>@@</v>
          </cell>
          <cell r="P465" t="str">
            <v>@@</v>
          </cell>
          <cell r="Q465" t="str">
            <v>@@</v>
          </cell>
          <cell r="R465" t="str">
            <v>@@</v>
          </cell>
          <cell r="S465" t="str">
            <v>@@</v>
          </cell>
          <cell r="AB465" t="str">
            <v>@@</v>
          </cell>
          <cell r="AC465" t="str">
            <v>@@</v>
          </cell>
          <cell r="AD465" t="str">
            <v>@@</v>
          </cell>
          <cell r="AL465" t="str">
            <v>@@</v>
          </cell>
        </row>
        <row r="466">
          <cell r="J466">
            <v>64300</v>
          </cell>
          <cell r="L466" t="str">
            <v>@@</v>
          </cell>
          <cell r="M466" t="str">
            <v>@@</v>
          </cell>
          <cell r="N466" t="str">
            <v>@@</v>
          </cell>
          <cell r="O466" t="str">
            <v>@@</v>
          </cell>
          <cell r="P466" t="str">
            <v>@@</v>
          </cell>
          <cell r="Q466" t="str">
            <v>@@</v>
          </cell>
          <cell r="R466" t="str">
            <v>@@</v>
          </cell>
          <cell r="S466" t="str">
            <v>@@</v>
          </cell>
          <cell r="AB466" t="str">
            <v>@@</v>
          </cell>
          <cell r="AC466" t="str">
            <v>@@</v>
          </cell>
          <cell r="AD466" t="str">
            <v>@@</v>
          </cell>
          <cell r="AL466" t="str">
            <v>@@</v>
          </cell>
        </row>
        <row r="467">
          <cell r="J467">
            <v>64400</v>
          </cell>
          <cell r="L467" t="str">
            <v>@@</v>
          </cell>
          <cell r="M467" t="str">
            <v>@@</v>
          </cell>
          <cell r="N467" t="str">
            <v>@@</v>
          </cell>
          <cell r="O467" t="str">
            <v>@@</v>
          </cell>
          <cell r="P467" t="str">
            <v>@@</v>
          </cell>
          <cell r="Q467" t="str">
            <v>@@</v>
          </cell>
          <cell r="R467" t="str">
            <v>@@</v>
          </cell>
          <cell r="S467" t="str">
            <v>@@</v>
          </cell>
          <cell r="AB467" t="str">
            <v>@@</v>
          </cell>
          <cell r="AC467" t="str">
            <v>@@</v>
          </cell>
          <cell r="AD467" t="str">
            <v>@@</v>
          </cell>
          <cell r="AL467" t="str">
            <v>@@</v>
          </cell>
        </row>
        <row r="468">
          <cell r="J468">
            <v>64500</v>
          </cell>
          <cell r="L468" t="str">
            <v>@@</v>
          </cell>
          <cell r="M468" t="str">
            <v>@@</v>
          </cell>
          <cell r="N468" t="str">
            <v>@@</v>
          </cell>
          <cell r="O468" t="str">
            <v>@@</v>
          </cell>
          <cell r="P468" t="str">
            <v>@@</v>
          </cell>
          <cell r="Q468" t="str">
            <v>@@</v>
          </cell>
          <cell r="R468" t="str">
            <v>@@</v>
          </cell>
          <cell r="S468" t="str">
            <v>@@</v>
          </cell>
          <cell r="AB468" t="str">
            <v>@@</v>
          </cell>
          <cell r="AC468" t="str">
            <v>@@</v>
          </cell>
          <cell r="AD468" t="str">
            <v>@@</v>
          </cell>
          <cell r="AL468" t="str">
            <v>@@</v>
          </cell>
        </row>
        <row r="469">
          <cell r="J469">
            <v>64600</v>
          </cell>
          <cell r="L469" t="str">
            <v>@@</v>
          </cell>
          <cell r="M469" t="str">
            <v>@@</v>
          </cell>
          <cell r="N469" t="str">
            <v>@@</v>
          </cell>
          <cell r="O469" t="str">
            <v>@@</v>
          </cell>
          <cell r="P469" t="str">
            <v>@@</v>
          </cell>
          <cell r="Q469" t="str">
            <v>@@</v>
          </cell>
          <cell r="R469" t="str">
            <v>@@</v>
          </cell>
          <cell r="S469" t="str">
            <v>@@</v>
          </cell>
          <cell r="AB469" t="str">
            <v>@@</v>
          </cell>
          <cell r="AC469" t="str">
            <v>@@</v>
          </cell>
          <cell r="AD469" t="str">
            <v>@@</v>
          </cell>
          <cell r="AL469" t="str">
            <v>@@</v>
          </cell>
        </row>
        <row r="470">
          <cell r="J470">
            <v>64700</v>
          </cell>
          <cell r="L470" t="str">
            <v>@@</v>
          </cell>
          <cell r="M470" t="str">
            <v>@@</v>
          </cell>
          <cell r="N470" t="str">
            <v>@@</v>
          </cell>
          <cell r="O470" t="str">
            <v>@@</v>
          </cell>
          <cell r="P470" t="str">
            <v>@@</v>
          </cell>
          <cell r="Q470" t="str">
            <v>@@</v>
          </cell>
          <cell r="R470" t="str">
            <v>@@</v>
          </cell>
          <cell r="S470" t="str">
            <v>@@</v>
          </cell>
          <cell r="AB470" t="str">
            <v>@@</v>
          </cell>
          <cell r="AC470" t="str">
            <v>@@</v>
          </cell>
          <cell r="AD470" t="str">
            <v>@@</v>
          </cell>
          <cell r="AL470" t="str">
            <v>@@</v>
          </cell>
        </row>
        <row r="471">
          <cell r="J471">
            <v>64800</v>
          </cell>
          <cell r="L471" t="str">
            <v>@@</v>
          </cell>
          <cell r="M471" t="str">
            <v>@@</v>
          </cell>
          <cell r="N471" t="str">
            <v>@@</v>
          </cell>
          <cell r="O471" t="str">
            <v>@@</v>
          </cell>
          <cell r="P471" t="str">
            <v>@@</v>
          </cell>
          <cell r="Q471" t="str">
            <v>@@</v>
          </cell>
          <cell r="R471" t="str">
            <v>@@</v>
          </cell>
          <cell r="S471" t="str">
            <v>@@</v>
          </cell>
          <cell r="AB471" t="str">
            <v>@@</v>
          </cell>
          <cell r="AC471" t="str">
            <v>@@</v>
          </cell>
          <cell r="AD471" t="str">
            <v>@@</v>
          </cell>
          <cell r="AL471" t="str">
            <v>@@</v>
          </cell>
        </row>
        <row r="472">
          <cell r="J472">
            <v>64900</v>
          </cell>
          <cell r="L472" t="str">
            <v>@@</v>
          </cell>
          <cell r="M472" t="str">
            <v>@@</v>
          </cell>
          <cell r="N472" t="str">
            <v>@@</v>
          </cell>
          <cell r="O472" t="str">
            <v>@@</v>
          </cell>
          <cell r="P472" t="str">
            <v>@@</v>
          </cell>
          <cell r="Q472" t="str">
            <v>@@</v>
          </cell>
          <cell r="R472" t="str">
            <v>@@</v>
          </cell>
          <cell r="S472" t="str">
            <v>@@</v>
          </cell>
          <cell r="AB472" t="str">
            <v>@@</v>
          </cell>
          <cell r="AC472" t="str">
            <v>@@</v>
          </cell>
          <cell r="AD472" t="str">
            <v>@@</v>
          </cell>
          <cell r="AL472" t="str">
            <v>@@</v>
          </cell>
        </row>
        <row r="473">
          <cell r="J473">
            <v>65000</v>
          </cell>
          <cell r="L473" t="str">
            <v>@@</v>
          </cell>
          <cell r="M473" t="str">
            <v>@@</v>
          </cell>
          <cell r="N473" t="str">
            <v>@@</v>
          </cell>
          <cell r="O473" t="str">
            <v>@@</v>
          </cell>
          <cell r="P473" t="str">
            <v>@@</v>
          </cell>
          <cell r="Q473" t="str">
            <v>@@</v>
          </cell>
          <cell r="R473" t="str">
            <v>@@</v>
          </cell>
          <cell r="S473" t="str">
            <v>@@</v>
          </cell>
          <cell r="AB473" t="str">
            <v>@@</v>
          </cell>
          <cell r="AC473" t="str">
            <v>@@</v>
          </cell>
          <cell r="AD473" t="str">
            <v>@@</v>
          </cell>
          <cell r="AL473" t="str">
            <v>@@</v>
          </cell>
        </row>
        <row r="474">
          <cell r="J474">
            <v>65100</v>
          </cell>
          <cell r="L474" t="str">
            <v>@@</v>
          </cell>
          <cell r="M474" t="str">
            <v>@@</v>
          </cell>
          <cell r="N474" t="str">
            <v>@@</v>
          </cell>
          <cell r="O474" t="str">
            <v>@@</v>
          </cell>
          <cell r="P474" t="str">
            <v>@@</v>
          </cell>
          <cell r="Q474" t="str">
            <v>@@</v>
          </cell>
          <cell r="R474" t="str">
            <v>@@</v>
          </cell>
          <cell r="S474" t="str">
            <v>@@</v>
          </cell>
          <cell r="AB474" t="str">
            <v>@@</v>
          </cell>
          <cell r="AC474" t="str">
            <v>@@</v>
          </cell>
          <cell r="AD474" t="str">
            <v>@@</v>
          </cell>
          <cell r="AL474" t="str">
            <v>@@</v>
          </cell>
        </row>
        <row r="475">
          <cell r="J475">
            <v>65200</v>
          </cell>
          <cell r="L475" t="str">
            <v>@@</v>
          </cell>
          <cell r="M475" t="str">
            <v>@@</v>
          </cell>
          <cell r="N475" t="str">
            <v>@@</v>
          </cell>
          <cell r="O475" t="str">
            <v>@@</v>
          </cell>
          <cell r="P475" t="str">
            <v>@@</v>
          </cell>
          <cell r="Q475" t="str">
            <v>@@</v>
          </cell>
          <cell r="R475" t="str">
            <v>@@</v>
          </cell>
          <cell r="S475" t="str">
            <v>@@</v>
          </cell>
          <cell r="AB475" t="str">
            <v>@@</v>
          </cell>
          <cell r="AC475" t="str">
            <v>@@</v>
          </cell>
          <cell r="AD475" t="str">
            <v>@@</v>
          </cell>
          <cell r="AL475" t="str">
            <v>@@</v>
          </cell>
        </row>
        <row r="476">
          <cell r="J476">
            <v>65300</v>
          </cell>
          <cell r="L476" t="str">
            <v>@@</v>
          </cell>
          <cell r="M476" t="str">
            <v>@@</v>
          </cell>
          <cell r="N476" t="str">
            <v>@@</v>
          </cell>
          <cell r="O476" t="str">
            <v>@@</v>
          </cell>
          <cell r="P476" t="str">
            <v>@@</v>
          </cell>
          <cell r="Q476" t="str">
            <v>@@</v>
          </cell>
          <cell r="R476" t="str">
            <v>@@</v>
          </cell>
          <cell r="S476" t="str">
            <v>@@</v>
          </cell>
          <cell r="AB476" t="str">
            <v>@@</v>
          </cell>
          <cell r="AC476" t="str">
            <v>@@</v>
          </cell>
          <cell r="AD476" t="str">
            <v>@@</v>
          </cell>
          <cell r="AL476" t="str">
            <v>@@</v>
          </cell>
        </row>
        <row r="477">
          <cell r="J477">
            <v>65400</v>
          </cell>
          <cell r="L477" t="str">
            <v>@@</v>
          </cell>
          <cell r="M477" t="str">
            <v>@@</v>
          </cell>
          <cell r="N477" t="str">
            <v>@@</v>
          </cell>
          <cell r="O477" t="str">
            <v>@@</v>
          </cell>
          <cell r="P477" t="str">
            <v>@@</v>
          </cell>
          <cell r="Q477" t="str">
            <v>@@</v>
          </cell>
          <cell r="R477" t="str">
            <v>@@</v>
          </cell>
          <cell r="S477" t="str">
            <v>@@</v>
          </cell>
          <cell r="AB477" t="str">
            <v>@@</v>
          </cell>
          <cell r="AC477" t="str">
            <v>@@</v>
          </cell>
          <cell r="AD477" t="str">
            <v>@@</v>
          </cell>
          <cell r="AL477" t="str">
            <v>@@</v>
          </cell>
        </row>
        <row r="478">
          <cell r="J478">
            <v>65500</v>
          </cell>
          <cell r="L478" t="str">
            <v>@@</v>
          </cell>
          <cell r="M478" t="str">
            <v>@@</v>
          </cell>
          <cell r="N478" t="str">
            <v>@@</v>
          </cell>
          <cell r="O478" t="str">
            <v>@@</v>
          </cell>
          <cell r="P478" t="str">
            <v>@@</v>
          </cell>
          <cell r="Q478" t="str">
            <v>@@</v>
          </cell>
          <cell r="R478" t="str">
            <v>@@</v>
          </cell>
          <cell r="S478" t="str">
            <v>@@</v>
          </cell>
          <cell r="AB478" t="str">
            <v>@@</v>
          </cell>
          <cell r="AC478" t="str">
            <v>@@</v>
          </cell>
          <cell r="AD478" t="str">
            <v>@@</v>
          </cell>
          <cell r="AL478" t="str">
            <v>@@</v>
          </cell>
        </row>
        <row r="479">
          <cell r="J479">
            <v>65600</v>
          </cell>
          <cell r="L479" t="str">
            <v>@@</v>
          </cell>
          <cell r="M479" t="str">
            <v>@@</v>
          </cell>
          <cell r="N479" t="str">
            <v>@@</v>
          </cell>
          <cell r="O479" t="str">
            <v>@@</v>
          </cell>
          <cell r="P479" t="str">
            <v>@@</v>
          </cell>
          <cell r="Q479" t="str">
            <v>@@</v>
          </cell>
          <cell r="R479" t="str">
            <v>@@</v>
          </cell>
          <cell r="S479" t="str">
            <v>@@</v>
          </cell>
          <cell r="AB479" t="str">
            <v>@@</v>
          </cell>
          <cell r="AC479" t="str">
            <v>@@</v>
          </cell>
          <cell r="AD479" t="str">
            <v>@@</v>
          </cell>
          <cell r="AL479" t="str">
            <v>@@</v>
          </cell>
        </row>
        <row r="480">
          <cell r="J480">
            <v>65700</v>
          </cell>
          <cell r="L480" t="str">
            <v>@@</v>
          </cell>
          <cell r="M480" t="str">
            <v>@@</v>
          </cell>
          <cell r="N480" t="str">
            <v>@@</v>
          </cell>
          <cell r="O480" t="str">
            <v>@@</v>
          </cell>
          <cell r="P480" t="str">
            <v>@@</v>
          </cell>
          <cell r="Q480" t="str">
            <v>@@</v>
          </cell>
          <cell r="R480" t="str">
            <v>@@</v>
          </cell>
          <cell r="S480" t="str">
            <v>@@</v>
          </cell>
          <cell r="AB480" t="str">
            <v>@@</v>
          </cell>
          <cell r="AC480" t="str">
            <v>@@</v>
          </cell>
          <cell r="AD480" t="str">
            <v>@@</v>
          </cell>
          <cell r="AL480" t="str">
            <v>@@</v>
          </cell>
        </row>
        <row r="481">
          <cell r="J481">
            <v>65800</v>
          </cell>
          <cell r="L481" t="str">
            <v>@@</v>
          </cell>
          <cell r="M481" t="str">
            <v>@@</v>
          </cell>
          <cell r="N481" t="str">
            <v>@@</v>
          </cell>
          <cell r="O481" t="str">
            <v>@@</v>
          </cell>
          <cell r="P481" t="str">
            <v>@@</v>
          </cell>
          <cell r="Q481" t="str">
            <v>@@</v>
          </cell>
          <cell r="R481" t="str">
            <v>@@</v>
          </cell>
          <cell r="S481" t="str">
            <v>@@</v>
          </cell>
          <cell r="AB481" t="str">
            <v>@@</v>
          </cell>
          <cell r="AC481" t="str">
            <v>@@</v>
          </cell>
          <cell r="AD481" t="str">
            <v>@@</v>
          </cell>
          <cell r="AL481" t="str">
            <v>@@</v>
          </cell>
        </row>
        <row r="482">
          <cell r="J482">
            <v>65900</v>
          </cell>
          <cell r="L482" t="str">
            <v>@@</v>
          </cell>
          <cell r="M482" t="str">
            <v>@@</v>
          </cell>
          <cell r="N482" t="str">
            <v>@@</v>
          </cell>
          <cell r="O482" t="str">
            <v>@@</v>
          </cell>
          <cell r="P482" t="str">
            <v>@@</v>
          </cell>
          <cell r="Q482" t="str">
            <v>@@</v>
          </cell>
          <cell r="R482" t="str">
            <v>@@</v>
          </cell>
          <cell r="S482" t="str">
            <v>@@</v>
          </cell>
          <cell r="AB482" t="str">
            <v>@@</v>
          </cell>
          <cell r="AC482" t="str">
            <v>@@</v>
          </cell>
          <cell r="AD482" t="str">
            <v>@@</v>
          </cell>
          <cell r="AL482" t="str">
            <v>@@</v>
          </cell>
        </row>
        <row r="483">
          <cell r="J483">
            <v>66000</v>
          </cell>
          <cell r="L483" t="str">
            <v>@@</v>
          </cell>
          <cell r="M483" t="str">
            <v>@@</v>
          </cell>
          <cell r="N483" t="str">
            <v>@@</v>
          </cell>
          <cell r="O483" t="str">
            <v>@@</v>
          </cell>
          <cell r="P483" t="str">
            <v>@@</v>
          </cell>
          <cell r="Q483" t="str">
            <v>@@</v>
          </cell>
          <cell r="R483" t="str">
            <v>@@</v>
          </cell>
          <cell r="S483" t="str">
            <v>@@</v>
          </cell>
          <cell r="AB483" t="str">
            <v>@@</v>
          </cell>
          <cell r="AC483" t="str">
            <v>@@</v>
          </cell>
          <cell r="AD483" t="str">
            <v>@@</v>
          </cell>
          <cell r="AL483" t="str">
            <v>@@</v>
          </cell>
        </row>
        <row r="484">
          <cell r="J484">
            <v>66100</v>
          </cell>
          <cell r="L484" t="str">
            <v>@@</v>
          </cell>
          <cell r="M484" t="str">
            <v>@@</v>
          </cell>
          <cell r="N484" t="str">
            <v>@@</v>
          </cell>
          <cell r="O484" t="str">
            <v>@@</v>
          </cell>
          <cell r="P484" t="str">
            <v>@@</v>
          </cell>
          <cell r="Q484" t="str">
            <v>@@</v>
          </cell>
          <cell r="R484" t="str">
            <v>@@</v>
          </cell>
          <cell r="S484" t="str">
            <v>@@</v>
          </cell>
          <cell r="AB484" t="str">
            <v>@@</v>
          </cell>
          <cell r="AC484" t="str">
            <v>@@</v>
          </cell>
          <cell r="AD484" t="str">
            <v>@@</v>
          </cell>
          <cell r="AL484" t="str">
            <v>@@</v>
          </cell>
        </row>
        <row r="485">
          <cell r="J485">
            <v>66200</v>
          </cell>
          <cell r="L485" t="str">
            <v>@@</v>
          </cell>
          <cell r="M485" t="str">
            <v>@@</v>
          </cell>
          <cell r="N485" t="str">
            <v>@@</v>
          </cell>
          <cell r="O485" t="str">
            <v>@@</v>
          </cell>
          <cell r="P485" t="str">
            <v>@@</v>
          </cell>
          <cell r="Q485" t="str">
            <v>@@</v>
          </cell>
          <cell r="R485" t="str">
            <v>@@</v>
          </cell>
          <cell r="S485" t="str">
            <v>@@</v>
          </cell>
          <cell r="AB485" t="str">
            <v>@@</v>
          </cell>
          <cell r="AC485" t="str">
            <v>@@</v>
          </cell>
          <cell r="AD485" t="str">
            <v>@@</v>
          </cell>
          <cell r="AL485" t="str">
            <v>@@</v>
          </cell>
        </row>
        <row r="486">
          <cell r="J486">
            <v>66300</v>
          </cell>
          <cell r="L486" t="str">
            <v>@@</v>
          </cell>
          <cell r="M486" t="str">
            <v>@@</v>
          </cell>
          <cell r="N486" t="str">
            <v>@@</v>
          </cell>
          <cell r="O486" t="str">
            <v>@@</v>
          </cell>
          <cell r="P486" t="str">
            <v>@@</v>
          </cell>
          <cell r="Q486" t="str">
            <v>@@</v>
          </cell>
          <cell r="R486" t="str">
            <v>@@</v>
          </cell>
          <cell r="S486" t="str">
            <v>@@</v>
          </cell>
          <cell r="AB486" t="str">
            <v>@@</v>
          </cell>
          <cell r="AC486" t="str">
            <v>@@</v>
          </cell>
          <cell r="AD486" t="str">
            <v>@@</v>
          </cell>
          <cell r="AL486" t="str">
            <v>@@</v>
          </cell>
        </row>
        <row r="487">
          <cell r="J487">
            <v>66400</v>
          </cell>
          <cell r="L487" t="str">
            <v>@@</v>
          </cell>
          <cell r="M487" t="str">
            <v>@@</v>
          </cell>
          <cell r="N487" t="str">
            <v>@@</v>
          </cell>
          <cell r="O487" t="str">
            <v>@@</v>
          </cell>
          <cell r="P487" t="str">
            <v>@@</v>
          </cell>
          <cell r="Q487" t="str">
            <v>@@</v>
          </cell>
          <cell r="R487" t="str">
            <v>@@</v>
          </cell>
          <cell r="S487" t="str">
            <v>@@</v>
          </cell>
          <cell r="AB487" t="str">
            <v>@@</v>
          </cell>
          <cell r="AC487" t="str">
            <v>@@</v>
          </cell>
          <cell r="AD487" t="str">
            <v>@@</v>
          </cell>
          <cell r="AL487" t="str">
            <v>@@</v>
          </cell>
        </row>
        <row r="488">
          <cell r="J488">
            <v>66500</v>
          </cell>
          <cell r="L488" t="str">
            <v>@@</v>
          </cell>
          <cell r="M488" t="str">
            <v>@@</v>
          </cell>
          <cell r="N488" t="str">
            <v>@@</v>
          </cell>
          <cell r="O488" t="str">
            <v>@@</v>
          </cell>
          <cell r="P488" t="str">
            <v>@@</v>
          </cell>
          <cell r="Q488" t="str">
            <v>@@</v>
          </cell>
          <cell r="R488" t="str">
            <v>@@</v>
          </cell>
          <cell r="S488" t="str">
            <v>@@</v>
          </cell>
          <cell r="AB488" t="str">
            <v>@@</v>
          </cell>
          <cell r="AC488" t="str">
            <v>@@</v>
          </cell>
          <cell r="AD488" t="str">
            <v>@@</v>
          </cell>
          <cell r="AL488" t="str">
            <v>@@</v>
          </cell>
        </row>
        <row r="489">
          <cell r="J489">
            <v>66600</v>
          </cell>
          <cell r="L489" t="str">
            <v>@@</v>
          </cell>
          <cell r="M489" t="str">
            <v>@@</v>
          </cell>
          <cell r="N489" t="str">
            <v>@@</v>
          </cell>
          <cell r="O489" t="str">
            <v>@@</v>
          </cell>
          <cell r="P489" t="str">
            <v>@@</v>
          </cell>
          <cell r="Q489" t="str">
            <v>@@</v>
          </cell>
          <cell r="R489" t="str">
            <v>@@</v>
          </cell>
          <cell r="S489" t="str">
            <v>@@</v>
          </cell>
          <cell r="AB489" t="str">
            <v>@@</v>
          </cell>
          <cell r="AC489" t="str">
            <v>@@</v>
          </cell>
          <cell r="AD489" t="str">
            <v>@@</v>
          </cell>
          <cell r="AL489" t="str">
            <v>@@</v>
          </cell>
        </row>
        <row r="490">
          <cell r="J490">
            <v>66700</v>
          </cell>
          <cell r="L490" t="str">
            <v>@@</v>
          </cell>
          <cell r="M490" t="str">
            <v>@@</v>
          </cell>
          <cell r="N490" t="str">
            <v>@@</v>
          </cell>
          <cell r="O490" t="str">
            <v>@@</v>
          </cell>
          <cell r="P490" t="str">
            <v>@@</v>
          </cell>
          <cell r="Q490" t="str">
            <v>@@</v>
          </cell>
          <cell r="R490" t="str">
            <v>@@</v>
          </cell>
          <cell r="S490" t="str">
            <v>@@</v>
          </cell>
          <cell r="AB490" t="str">
            <v>@@</v>
          </cell>
          <cell r="AC490" t="str">
            <v>@@</v>
          </cell>
          <cell r="AD490" t="str">
            <v>@@</v>
          </cell>
          <cell r="AL490" t="str">
            <v>@@</v>
          </cell>
        </row>
        <row r="491">
          <cell r="J491">
            <v>66800</v>
          </cell>
          <cell r="L491" t="str">
            <v>@@</v>
          </cell>
          <cell r="M491" t="str">
            <v>@@</v>
          </cell>
          <cell r="N491" t="str">
            <v>@@</v>
          </cell>
          <cell r="O491" t="str">
            <v>@@</v>
          </cell>
          <cell r="P491" t="str">
            <v>@@</v>
          </cell>
          <cell r="Q491" t="str">
            <v>@@</v>
          </cell>
          <cell r="R491" t="str">
            <v>@@</v>
          </cell>
          <cell r="S491" t="str">
            <v>@@</v>
          </cell>
          <cell r="AB491" t="str">
            <v>@@</v>
          </cell>
          <cell r="AC491" t="str">
            <v>@@</v>
          </cell>
          <cell r="AD491" t="str">
            <v>@@</v>
          </cell>
          <cell r="AL491" t="str">
            <v>@@</v>
          </cell>
        </row>
        <row r="492">
          <cell r="J492">
            <v>66900</v>
          </cell>
          <cell r="L492" t="str">
            <v>@@</v>
          </cell>
          <cell r="M492" t="str">
            <v>@@</v>
          </cell>
          <cell r="N492" t="str">
            <v>@@</v>
          </cell>
          <cell r="O492" t="str">
            <v>@@</v>
          </cell>
          <cell r="P492" t="str">
            <v>@@</v>
          </cell>
          <cell r="Q492" t="str">
            <v>@@</v>
          </cell>
          <cell r="R492" t="str">
            <v>@@</v>
          </cell>
          <cell r="S492" t="str">
            <v>@@</v>
          </cell>
          <cell r="AB492" t="str">
            <v>@@</v>
          </cell>
          <cell r="AC492" t="str">
            <v>@@</v>
          </cell>
          <cell r="AD492" t="str">
            <v>@@</v>
          </cell>
          <cell r="AL492" t="str">
            <v>@@</v>
          </cell>
        </row>
        <row r="493">
          <cell r="J493">
            <v>67000</v>
          </cell>
          <cell r="L493" t="str">
            <v>@@</v>
          </cell>
          <cell r="M493" t="str">
            <v>@@</v>
          </cell>
          <cell r="N493" t="str">
            <v>@@</v>
          </cell>
          <cell r="O493" t="str">
            <v>@@</v>
          </cell>
          <cell r="P493" t="str">
            <v>@@</v>
          </cell>
          <cell r="Q493" t="str">
            <v>@@</v>
          </cell>
          <cell r="R493" t="str">
            <v>@@</v>
          </cell>
          <cell r="S493" t="str">
            <v>@@</v>
          </cell>
          <cell r="AB493" t="str">
            <v>@@</v>
          </cell>
          <cell r="AC493" t="str">
            <v>@@</v>
          </cell>
          <cell r="AD493" t="str">
            <v>@@</v>
          </cell>
          <cell r="AL493" t="str">
            <v>@@</v>
          </cell>
        </row>
        <row r="494">
          <cell r="J494">
            <v>67100</v>
          </cell>
          <cell r="L494" t="str">
            <v>@@</v>
          </cell>
          <cell r="M494" t="str">
            <v>@@</v>
          </cell>
          <cell r="N494" t="str">
            <v>@@</v>
          </cell>
          <cell r="O494" t="str">
            <v>@@</v>
          </cell>
          <cell r="P494" t="str">
            <v>@@</v>
          </cell>
          <cell r="Q494" t="str">
            <v>@@</v>
          </cell>
          <cell r="R494" t="str">
            <v>@@</v>
          </cell>
          <cell r="S494" t="str">
            <v>@@</v>
          </cell>
          <cell r="AB494" t="str">
            <v>@@</v>
          </cell>
          <cell r="AC494" t="str">
            <v>@@</v>
          </cell>
          <cell r="AD494" t="str">
            <v>@@</v>
          </cell>
          <cell r="AL494" t="str">
            <v>@@</v>
          </cell>
        </row>
        <row r="495">
          <cell r="J495">
            <v>67200</v>
          </cell>
          <cell r="L495" t="str">
            <v>@@</v>
          </cell>
          <cell r="M495" t="str">
            <v>@@</v>
          </cell>
          <cell r="N495" t="str">
            <v>@@</v>
          </cell>
          <cell r="O495" t="str">
            <v>@@</v>
          </cell>
          <cell r="P495" t="str">
            <v>@@</v>
          </cell>
          <cell r="Q495" t="str">
            <v>@@</v>
          </cell>
          <cell r="R495" t="str">
            <v>@@</v>
          </cell>
          <cell r="S495" t="str">
            <v>@@</v>
          </cell>
          <cell r="AB495" t="str">
            <v>@@</v>
          </cell>
          <cell r="AC495" t="str">
            <v>@@</v>
          </cell>
          <cell r="AD495" t="str">
            <v>@@</v>
          </cell>
          <cell r="AL495" t="str">
            <v>@@</v>
          </cell>
        </row>
        <row r="496">
          <cell r="J496">
            <v>67300</v>
          </cell>
          <cell r="L496" t="str">
            <v>@@</v>
          </cell>
          <cell r="M496" t="str">
            <v>@@</v>
          </cell>
          <cell r="N496" t="str">
            <v>@@</v>
          </cell>
          <cell r="O496" t="str">
            <v>@@</v>
          </cell>
          <cell r="P496" t="str">
            <v>@@</v>
          </cell>
          <cell r="Q496" t="str">
            <v>@@</v>
          </cell>
          <cell r="R496" t="str">
            <v>@@</v>
          </cell>
          <cell r="S496" t="str">
            <v>@@</v>
          </cell>
          <cell r="AB496" t="str">
            <v>@@</v>
          </cell>
          <cell r="AC496">
            <v>-13.06</v>
          </cell>
          <cell r="AD496">
            <v>5.3</v>
          </cell>
          <cell r="AF496">
            <v>-13.06</v>
          </cell>
          <cell r="AG496">
            <v>5.3</v>
          </cell>
          <cell r="AL496" t="str">
            <v>@@</v>
          </cell>
        </row>
        <row r="497">
          <cell r="J497">
            <v>67400</v>
          </cell>
          <cell r="L497">
            <v>67400</v>
          </cell>
          <cell r="M497">
            <v>-13.06</v>
          </cell>
          <cell r="N497">
            <v>5.3</v>
          </cell>
          <cell r="O497">
            <v>-6.52</v>
          </cell>
          <cell r="P497">
            <v>2.7</v>
          </cell>
          <cell r="Q497">
            <v>-64.55</v>
          </cell>
          <cell r="R497">
            <v>2.5</v>
          </cell>
          <cell r="S497">
            <v>1</v>
          </cell>
          <cell r="T497">
            <v>67400</v>
          </cell>
          <cell r="U497">
            <v>-13.06</v>
          </cell>
          <cell r="V497">
            <v>5.3</v>
          </cell>
          <cell r="W497">
            <v>-6.52</v>
          </cell>
          <cell r="X497">
            <v>2.7</v>
          </cell>
          <cell r="Y497">
            <v>-64.55</v>
          </cell>
          <cell r="Z497">
            <v>2.5</v>
          </cell>
          <cell r="AA497">
            <v>1</v>
          </cell>
          <cell r="AB497">
            <v>67400</v>
          </cell>
          <cell r="AC497">
            <v>-6.52</v>
          </cell>
          <cell r="AD497">
            <v>2.7</v>
          </cell>
          <cell r="AE497">
            <v>67400</v>
          </cell>
          <cell r="AF497">
            <v>-6.52</v>
          </cell>
          <cell r="AG497">
            <v>2.7</v>
          </cell>
          <cell r="AL497">
            <v>10.5</v>
          </cell>
          <cell r="AM497">
            <v>10.5</v>
          </cell>
        </row>
        <row r="498">
          <cell r="J498">
            <v>67500</v>
          </cell>
          <cell r="L498" t="str">
            <v>@@</v>
          </cell>
          <cell r="M498" t="str">
            <v>@@</v>
          </cell>
          <cell r="N498" t="str">
            <v>@@</v>
          </cell>
          <cell r="O498" t="str">
            <v>@@</v>
          </cell>
          <cell r="P498" t="str">
            <v>@@</v>
          </cell>
          <cell r="Q498" t="str">
            <v>@@</v>
          </cell>
          <cell r="R498" t="str">
            <v>@@</v>
          </cell>
          <cell r="S498" t="str">
            <v>@@</v>
          </cell>
          <cell r="AB498" t="str">
            <v>@@</v>
          </cell>
          <cell r="AC498">
            <v>-64.55</v>
          </cell>
          <cell r="AD498">
            <v>2.5</v>
          </cell>
          <cell r="AF498">
            <v>-64.55</v>
          </cell>
          <cell r="AG498">
            <v>2.5</v>
          </cell>
          <cell r="AL498" t="str">
            <v>@@</v>
          </cell>
        </row>
        <row r="499">
          <cell r="J499">
            <v>67600</v>
          </cell>
          <cell r="L499" t="str">
            <v>@@</v>
          </cell>
          <cell r="M499" t="str">
            <v>@@</v>
          </cell>
          <cell r="N499" t="str">
            <v>@@</v>
          </cell>
          <cell r="O499" t="str">
            <v>@@</v>
          </cell>
          <cell r="P499" t="str">
            <v>@@</v>
          </cell>
          <cell r="Q499" t="str">
            <v>@@</v>
          </cell>
          <cell r="R499" t="str">
            <v>@@</v>
          </cell>
          <cell r="S499" t="str">
            <v>@@</v>
          </cell>
          <cell r="AB499" t="str">
            <v>@@</v>
          </cell>
          <cell r="AC499" t="str">
            <v>@@</v>
          </cell>
          <cell r="AD499" t="str">
            <v>@@</v>
          </cell>
          <cell r="AL499" t="str">
            <v>@@</v>
          </cell>
        </row>
        <row r="500">
          <cell r="J500">
            <v>67700</v>
          </cell>
          <cell r="L500" t="str">
            <v>@@</v>
          </cell>
          <cell r="M500" t="str">
            <v>@@</v>
          </cell>
          <cell r="N500" t="str">
            <v>@@</v>
          </cell>
          <cell r="O500" t="str">
            <v>@@</v>
          </cell>
          <cell r="P500" t="str">
            <v>@@</v>
          </cell>
          <cell r="Q500" t="str">
            <v>@@</v>
          </cell>
          <cell r="R500" t="str">
            <v>@@</v>
          </cell>
          <cell r="S500" t="str">
            <v>@@</v>
          </cell>
          <cell r="AB500" t="str">
            <v>@@</v>
          </cell>
          <cell r="AC500" t="str">
            <v>@@</v>
          </cell>
          <cell r="AD500" t="str">
            <v>@@</v>
          </cell>
          <cell r="AL500" t="str">
            <v>@@</v>
          </cell>
        </row>
        <row r="501">
          <cell r="J501">
            <v>67800</v>
          </cell>
          <cell r="L501" t="str">
            <v>@@</v>
          </cell>
          <cell r="M501" t="str">
            <v>@@</v>
          </cell>
          <cell r="N501" t="str">
            <v>@@</v>
          </cell>
          <cell r="O501" t="str">
            <v>@@</v>
          </cell>
          <cell r="P501" t="str">
            <v>@@</v>
          </cell>
          <cell r="Q501" t="str">
            <v>@@</v>
          </cell>
          <cell r="R501" t="str">
            <v>@@</v>
          </cell>
          <cell r="S501" t="str">
            <v>@@</v>
          </cell>
          <cell r="AB501" t="str">
            <v>@@</v>
          </cell>
          <cell r="AC501" t="str">
            <v>@@</v>
          </cell>
          <cell r="AD501" t="str">
            <v>@@</v>
          </cell>
          <cell r="AL501" t="str">
            <v>@@</v>
          </cell>
        </row>
        <row r="502">
          <cell r="J502">
            <v>67900</v>
          </cell>
          <cell r="L502" t="str">
            <v>@@</v>
          </cell>
          <cell r="M502" t="str">
            <v>@@</v>
          </cell>
          <cell r="N502" t="str">
            <v>@@</v>
          </cell>
          <cell r="O502" t="str">
            <v>@@</v>
          </cell>
          <cell r="P502" t="str">
            <v>@@</v>
          </cell>
          <cell r="Q502" t="str">
            <v>@@</v>
          </cell>
          <cell r="R502" t="str">
            <v>@@</v>
          </cell>
          <cell r="S502" t="str">
            <v>@@</v>
          </cell>
          <cell r="AB502" t="str">
            <v>@@</v>
          </cell>
          <cell r="AC502" t="str">
            <v>@@</v>
          </cell>
          <cell r="AD502" t="str">
            <v>@@</v>
          </cell>
          <cell r="AL502" t="str">
            <v>@@</v>
          </cell>
        </row>
        <row r="503">
          <cell r="J503">
            <v>68000</v>
          </cell>
          <cell r="L503" t="str">
            <v>@@</v>
          </cell>
          <cell r="M503" t="str">
            <v>@@</v>
          </cell>
          <cell r="N503" t="str">
            <v>@@</v>
          </cell>
          <cell r="O503" t="str">
            <v>@@</v>
          </cell>
          <cell r="P503" t="str">
            <v>@@</v>
          </cell>
          <cell r="Q503" t="str">
            <v>@@</v>
          </cell>
          <cell r="R503" t="str">
            <v>@@</v>
          </cell>
          <cell r="S503" t="str">
            <v>@@</v>
          </cell>
          <cell r="AB503" t="str">
            <v>@@</v>
          </cell>
          <cell r="AC503" t="str">
            <v>@@</v>
          </cell>
          <cell r="AD503" t="str">
            <v>@@</v>
          </cell>
          <cell r="AL503" t="str">
            <v>@@</v>
          </cell>
        </row>
        <row r="504">
          <cell r="J504">
            <v>68100</v>
          </cell>
          <cell r="L504" t="str">
            <v>@@</v>
          </cell>
          <cell r="M504" t="str">
            <v>@@</v>
          </cell>
          <cell r="N504" t="str">
            <v>@@</v>
          </cell>
          <cell r="O504" t="str">
            <v>@@</v>
          </cell>
          <cell r="P504" t="str">
            <v>@@</v>
          </cell>
          <cell r="Q504" t="str">
            <v>@@</v>
          </cell>
          <cell r="R504" t="str">
            <v>@@</v>
          </cell>
          <cell r="S504" t="str">
            <v>@@</v>
          </cell>
          <cell r="AB504" t="str">
            <v>@@</v>
          </cell>
          <cell r="AC504" t="str">
            <v>@@</v>
          </cell>
          <cell r="AD504" t="str">
            <v>@@</v>
          </cell>
          <cell r="AL504" t="str">
            <v>@@</v>
          </cell>
        </row>
        <row r="505">
          <cell r="J505">
            <v>68200</v>
          </cell>
          <cell r="L505" t="str">
            <v>@@</v>
          </cell>
          <cell r="M505" t="str">
            <v>@@</v>
          </cell>
          <cell r="N505" t="str">
            <v>@@</v>
          </cell>
          <cell r="O505" t="str">
            <v>@@</v>
          </cell>
          <cell r="P505" t="str">
            <v>@@</v>
          </cell>
          <cell r="Q505" t="str">
            <v>@@</v>
          </cell>
          <cell r="R505" t="str">
            <v>@@</v>
          </cell>
          <cell r="S505" t="str">
            <v>@@</v>
          </cell>
          <cell r="AB505" t="str">
            <v>@@</v>
          </cell>
          <cell r="AC505" t="str">
            <v>@@</v>
          </cell>
          <cell r="AD505" t="str">
            <v>@@</v>
          </cell>
          <cell r="AL505" t="str">
            <v>@@</v>
          </cell>
        </row>
        <row r="506">
          <cell r="J506">
            <v>68300</v>
          </cell>
          <cell r="L506" t="str">
            <v>@@</v>
          </cell>
          <cell r="M506" t="str">
            <v>@@</v>
          </cell>
          <cell r="N506" t="str">
            <v>@@</v>
          </cell>
          <cell r="O506" t="str">
            <v>@@</v>
          </cell>
          <cell r="P506" t="str">
            <v>@@</v>
          </cell>
          <cell r="Q506" t="str">
            <v>@@</v>
          </cell>
          <cell r="R506" t="str">
            <v>@@</v>
          </cell>
          <cell r="S506" t="str">
            <v>@@</v>
          </cell>
          <cell r="AB506" t="str">
            <v>@@</v>
          </cell>
          <cell r="AC506">
            <v>-32</v>
          </cell>
          <cell r="AD506">
            <v>6.5</v>
          </cell>
          <cell r="AF506">
            <v>-32</v>
          </cell>
          <cell r="AG506">
            <v>6.5</v>
          </cell>
          <cell r="AL506" t="str">
            <v>@@</v>
          </cell>
        </row>
        <row r="507">
          <cell r="J507">
            <v>68400</v>
          </cell>
          <cell r="L507">
            <v>68400</v>
          </cell>
          <cell r="M507">
            <v>-32</v>
          </cell>
          <cell r="N507">
            <v>6.5</v>
          </cell>
          <cell r="O507">
            <v>-17.78</v>
          </cell>
          <cell r="P507">
            <v>3</v>
          </cell>
          <cell r="Q507">
            <v>-35.380000000000003</v>
          </cell>
          <cell r="R507">
            <v>2.9</v>
          </cell>
          <cell r="S507">
            <v>1</v>
          </cell>
          <cell r="T507">
            <v>68400</v>
          </cell>
          <cell r="U507">
            <v>-32</v>
          </cell>
          <cell r="V507">
            <v>6.5</v>
          </cell>
          <cell r="W507">
            <v>-17.78</v>
          </cell>
          <cell r="X507">
            <v>3</v>
          </cell>
          <cell r="Y507">
            <v>-35.380000000000003</v>
          </cell>
          <cell r="Z507">
            <v>2.9</v>
          </cell>
          <cell r="AA507">
            <v>1</v>
          </cell>
          <cell r="AB507">
            <v>68400</v>
          </cell>
          <cell r="AC507">
            <v>-17.78</v>
          </cell>
          <cell r="AD507">
            <v>3</v>
          </cell>
          <cell r="AE507">
            <v>68400</v>
          </cell>
          <cell r="AF507">
            <v>-17.78</v>
          </cell>
          <cell r="AG507">
            <v>3</v>
          </cell>
          <cell r="AL507">
            <v>12.4</v>
          </cell>
          <cell r="AM507">
            <v>12.4</v>
          </cell>
        </row>
        <row r="508">
          <cell r="J508">
            <v>68500</v>
          </cell>
          <cell r="L508" t="str">
            <v>@@</v>
          </cell>
          <cell r="M508" t="str">
            <v>@@</v>
          </cell>
          <cell r="N508" t="str">
            <v>@@</v>
          </cell>
          <cell r="O508" t="str">
            <v>@@</v>
          </cell>
          <cell r="P508" t="str">
            <v>@@</v>
          </cell>
          <cell r="Q508" t="str">
            <v>@@</v>
          </cell>
          <cell r="R508" t="str">
            <v>@@</v>
          </cell>
          <cell r="S508" t="str">
            <v>@@</v>
          </cell>
          <cell r="AB508" t="str">
            <v>@@</v>
          </cell>
          <cell r="AC508">
            <v>-35.380000000000003</v>
          </cell>
          <cell r="AD508">
            <v>2.9</v>
          </cell>
          <cell r="AF508">
            <v>-35.380000000000003</v>
          </cell>
          <cell r="AG508">
            <v>2.9</v>
          </cell>
          <cell r="AL508" t="str">
            <v>@@</v>
          </cell>
        </row>
        <row r="509">
          <cell r="J509">
            <v>68600</v>
          </cell>
          <cell r="L509" t="str">
            <v>@@</v>
          </cell>
          <cell r="M509" t="str">
            <v>@@</v>
          </cell>
          <cell r="N509" t="str">
            <v>@@</v>
          </cell>
          <cell r="O509" t="str">
            <v>@@</v>
          </cell>
          <cell r="P509" t="str">
            <v>@@</v>
          </cell>
          <cell r="Q509" t="str">
            <v>@@</v>
          </cell>
          <cell r="R509" t="str">
            <v>@@</v>
          </cell>
          <cell r="S509" t="str">
            <v>@@</v>
          </cell>
          <cell r="AB509" t="str">
            <v>@@</v>
          </cell>
          <cell r="AC509" t="str">
            <v>@@</v>
          </cell>
          <cell r="AD509" t="str">
            <v>@@</v>
          </cell>
          <cell r="AL509" t="str">
            <v>@@</v>
          </cell>
        </row>
        <row r="510">
          <cell r="J510">
            <v>68700</v>
          </cell>
          <cell r="L510" t="str">
            <v>@@</v>
          </cell>
          <cell r="M510" t="str">
            <v>@@</v>
          </cell>
          <cell r="N510" t="str">
            <v>@@</v>
          </cell>
          <cell r="O510" t="str">
            <v>@@</v>
          </cell>
          <cell r="P510" t="str">
            <v>@@</v>
          </cell>
          <cell r="Q510" t="str">
            <v>@@</v>
          </cell>
          <cell r="R510" t="str">
            <v>@@</v>
          </cell>
          <cell r="S510" t="str">
            <v>@@</v>
          </cell>
          <cell r="AB510" t="str">
            <v>@@</v>
          </cell>
          <cell r="AC510" t="str">
            <v>@@</v>
          </cell>
          <cell r="AD510" t="str">
            <v>@@</v>
          </cell>
          <cell r="AL510" t="str">
            <v>@@</v>
          </cell>
        </row>
        <row r="511">
          <cell r="J511">
            <v>68800</v>
          </cell>
          <cell r="L511" t="str">
            <v>@@</v>
          </cell>
          <cell r="M511" t="str">
            <v>@@</v>
          </cell>
          <cell r="N511" t="str">
            <v>@@</v>
          </cell>
          <cell r="O511" t="str">
            <v>@@</v>
          </cell>
          <cell r="P511" t="str">
            <v>@@</v>
          </cell>
          <cell r="Q511" t="str">
            <v>@@</v>
          </cell>
          <cell r="R511" t="str">
            <v>@@</v>
          </cell>
          <cell r="S511" t="str">
            <v>@@</v>
          </cell>
          <cell r="AB511" t="str">
            <v>@@</v>
          </cell>
          <cell r="AC511" t="str">
            <v>@@</v>
          </cell>
          <cell r="AD511" t="str">
            <v>@@</v>
          </cell>
          <cell r="AL511" t="str">
            <v>@@</v>
          </cell>
        </row>
        <row r="512">
          <cell r="J512">
            <v>68900</v>
          </cell>
          <cell r="L512" t="str">
            <v>@@</v>
          </cell>
          <cell r="M512" t="str">
            <v>@@</v>
          </cell>
          <cell r="N512" t="str">
            <v>@@</v>
          </cell>
          <cell r="O512" t="str">
            <v>@@</v>
          </cell>
          <cell r="P512" t="str">
            <v>@@</v>
          </cell>
          <cell r="Q512" t="str">
            <v>@@</v>
          </cell>
          <cell r="R512" t="str">
            <v>@@</v>
          </cell>
          <cell r="S512" t="str">
            <v>@@</v>
          </cell>
          <cell r="AB512" t="str">
            <v>@@</v>
          </cell>
          <cell r="AC512" t="str">
            <v>@@</v>
          </cell>
          <cell r="AD512" t="str">
            <v>@@</v>
          </cell>
          <cell r="AL512" t="str">
            <v>@@</v>
          </cell>
        </row>
        <row r="513">
          <cell r="J513">
            <v>69000</v>
          </cell>
          <cell r="L513" t="str">
            <v>@@</v>
          </cell>
          <cell r="M513" t="str">
            <v>@@</v>
          </cell>
          <cell r="N513" t="str">
            <v>@@</v>
          </cell>
          <cell r="O513" t="str">
            <v>@@</v>
          </cell>
          <cell r="P513" t="str">
            <v>@@</v>
          </cell>
          <cell r="Q513" t="str">
            <v>@@</v>
          </cell>
          <cell r="R513" t="str">
            <v>@@</v>
          </cell>
          <cell r="S513" t="str">
            <v>@@</v>
          </cell>
          <cell r="AB513" t="str">
            <v>@@</v>
          </cell>
          <cell r="AC513" t="str">
            <v>@@</v>
          </cell>
          <cell r="AD513" t="str">
            <v>@@</v>
          </cell>
          <cell r="AL513" t="str">
            <v>@@</v>
          </cell>
        </row>
        <row r="514">
          <cell r="J514">
            <v>69100</v>
          </cell>
          <cell r="L514" t="str">
            <v>@@</v>
          </cell>
          <cell r="M514" t="str">
            <v>@@</v>
          </cell>
          <cell r="N514" t="str">
            <v>@@</v>
          </cell>
          <cell r="O514" t="str">
            <v>@@</v>
          </cell>
          <cell r="P514" t="str">
            <v>@@</v>
          </cell>
          <cell r="Q514" t="str">
            <v>@@</v>
          </cell>
          <cell r="R514" t="str">
            <v>@@</v>
          </cell>
          <cell r="S514" t="str">
            <v>@@</v>
          </cell>
          <cell r="AB514" t="str">
            <v>@@</v>
          </cell>
          <cell r="AC514" t="str">
            <v>@@</v>
          </cell>
          <cell r="AD514" t="str">
            <v>@@</v>
          </cell>
          <cell r="AL514" t="str">
            <v>@@</v>
          </cell>
        </row>
        <row r="515">
          <cell r="J515">
            <v>69200</v>
          </cell>
          <cell r="L515" t="str">
            <v>@@</v>
          </cell>
          <cell r="M515" t="str">
            <v>@@</v>
          </cell>
          <cell r="N515" t="str">
            <v>@@</v>
          </cell>
          <cell r="O515" t="str">
            <v>@@</v>
          </cell>
          <cell r="P515" t="str">
            <v>@@</v>
          </cell>
          <cell r="Q515" t="str">
            <v>@@</v>
          </cell>
          <cell r="R515" t="str">
            <v>@@</v>
          </cell>
          <cell r="S515" t="str">
            <v>@@</v>
          </cell>
          <cell r="AB515" t="str">
            <v>@@</v>
          </cell>
          <cell r="AC515" t="str">
            <v>@@</v>
          </cell>
          <cell r="AD515" t="str">
            <v>@@</v>
          </cell>
          <cell r="AL515" t="str">
            <v>@@</v>
          </cell>
        </row>
        <row r="516">
          <cell r="J516">
            <v>69300</v>
          </cell>
          <cell r="L516" t="str">
            <v>@@</v>
          </cell>
          <cell r="M516" t="str">
            <v>@@</v>
          </cell>
          <cell r="N516" t="str">
            <v>@@</v>
          </cell>
          <cell r="O516" t="str">
            <v>@@</v>
          </cell>
          <cell r="P516" t="str">
            <v>@@</v>
          </cell>
          <cell r="Q516" t="str">
            <v>@@</v>
          </cell>
          <cell r="R516" t="str">
            <v>@@</v>
          </cell>
          <cell r="S516" t="str">
            <v>@@</v>
          </cell>
          <cell r="AB516" t="str">
            <v>@@</v>
          </cell>
          <cell r="AC516">
            <v>-44.86</v>
          </cell>
          <cell r="AD516">
            <v>4.5999999999999996</v>
          </cell>
          <cell r="AF516">
            <v>-44.86</v>
          </cell>
          <cell r="AG516">
            <v>4.5999999999999996</v>
          </cell>
          <cell r="AL516" t="str">
            <v>@@</v>
          </cell>
        </row>
        <row r="517">
          <cell r="J517">
            <v>69400</v>
          </cell>
          <cell r="L517">
            <v>69400</v>
          </cell>
          <cell r="M517">
            <v>-44.86</v>
          </cell>
          <cell r="N517">
            <v>4.5999999999999996</v>
          </cell>
          <cell r="O517">
            <v>-6.9</v>
          </cell>
          <cell r="P517">
            <v>5.0999999999999996</v>
          </cell>
          <cell r="Q517">
            <v>-3.13</v>
          </cell>
          <cell r="R517">
            <v>3.5</v>
          </cell>
          <cell r="S517">
            <v>1</v>
          </cell>
          <cell r="T517">
            <v>69400</v>
          </cell>
          <cell r="U517">
            <v>-44.86</v>
          </cell>
          <cell r="V517">
            <v>4.5999999999999996</v>
          </cell>
          <cell r="W517">
            <v>-6.9</v>
          </cell>
          <cell r="X517">
            <v>5.0999999999999996</v>
          </cell>
          <cell r="Y517">
            <v>-3.13</v>
          </cell>
          <cell r="Z517">
            <v>3.5</v>
          </cell>
          <cell r="AA517">
            <v>1</v>
          </cell>
          <cell r="AB517">
            <v>69400</v>
          </cell>
          <cell r="AC517">
            <v>-6.9</v>
          </cell>
          <cell r="AD517">
            <v>5.0999999999999996</v>
          </cell>
          <cell r="AE517">
            <v>69400</v>
          </cell>
          <cell r="AF517">
            <v>-6.9</v>
          </cell>
          <cell r="AG517">
            <v>5.0999999999999996</v>
          </cell>
          <cell r="AL517">
            <v>13.2</v>
          </cell>
          <cell r="AM517">
            <v>13.2</v>
          </cell>
        </row>
        <row r="518">
          <cell r="J518">
            <v>69500</v>
          </cell>
          <cell r="L518" t="str">
            <v>@@</v>
          </cell>
          <cell r="M518" t="str">
            <v>@@</v>
          </cell>
          <cell r="N518" t="str">
            <v>@@</v>
          </cell>
          <cell r="O518" t="str">
            <v>@@</v>
          </cell>
          <cell r="P518" t="str">
            <v>@@</v>
          </cell>
          <cell r="Q518" t="str">
            <v>@@</v>
          </cell>
          <cell r="R518" t="str">
            <v>@@</v>
          </cell>
          <cell r="S518" t="str">
            <v>@@</v>
          </cell>
          <cell r="AB518" t="str">
            <v>@@</v>
          </cell>
          <cell r="AC518">
            <v>-3.13</v>
          </cell>
          <cell r="AD518">
            <v>3.5</v>
          </cell>
          <cell r="AF518">
            <v>-3.13</v>
          </cell>
          <cell r="AG518">
            <v>3.5</v>
          </cell>
          <cell r="AL518" t="str">
            <v>@@</v>
          </cell>
        </row>
        <row r="519">
          <cell r="J519">
            <v>69600</v>
          </cell>
          <cell r="L519" t="str">
            <v>@@</v>
          </cell>
          <cell r="M519" t="str">
            <v>@@</v>
          </cell>
          <cell r="N519" t="str">
            <v>@@</v>
          </cell>
          <cell r="O519" t="str">
            <v>@@</v>
          </cell>
          <cell r="P519" t="str">
            <v>@@</v>
          </cell>
          <cell r="Q519" t="str">
            <v>@@</v>
          </cell>
          <cell r="R519" t="str">
            <v>@@</v>
          </cell>
          <cell r="S519" t="str">
            <v>@@</v>
          </cell>
          <cell r="AB519" t="str">
            <v>@@</v>
          </cell>
          <cell r="AC519" t="str">
            <v>@@</v>
          </cell>
          <cell r="AD519" t="str">
            <v>@@</v>
          </cell>
          <cell r="AL519" t="str">
            <v>@@</v>
          </cell>
        </row>
        <row r="520">
          <cell r="J520">
            <v>69700</v>
          </cell>
          <cell r="L520" t="str">
            <v>@@</v>
          </cell>
          <cell r="M520" t="str">
            <v>@@</v>
          </cell>
          <cell r="N520" t="str">
            <v>@@</v>
          </cell>
          <cell r="O520" t="str">
            <v>@@</v>
          </cell>
          <cell r="P520" t="str">
            <v>@@</v>
          </cell>
          <cell r="Q520" t="str">
            <v>@@</v>
          </cell>
          <cell r="R520" t="str">
            <v>@@</v>
          </cell>
          <cell r="S520" t="str">
            <v>@@</v>
          </cell>
          <cell r="AB520" t="str">
            <v>@@</v>
          </cell>
          <cell r="AC520" t="str">
            <v>@@</v>
          </cell>
          <cell r="AD520" t="str">
            <v>@@</v>
          </cell>
          <cell r="AL520" t="str">
            <v>@@</v>
          </cell>
        </row>
        <row r="521">
          <cell r="J521">
            <v>69800</v>
          </cell>
          <cell r="L521" t="str">
            <v>@@</v>
          </cell>
          <cell r="M521" t="str">
            <v>@@</v>
          </cell>
          <cell r="N521" t="str">
            <v>@@</v>
          </cell>
          <cell r="O521" t="str">
            <v>@@</v>
          </cell>
          <cell r="P521" t="str">
            <v>@@</v>
          </cell>
          <cell r="Q521" t="str">
            <v>@@</v>
          </cell>
          <cell r="R521" t="str">
            <v>@@</v>
          </cell>
          <cell r="S521" t="str">
            <v>@@</v>
          </cell>
          <cell r="AB521" t="str">
            <v>@@</v>
          </cell>
          <cell r="AC521" t="str">
            <v>@@</v>
          </cell>
          <cell r="AD521" t="str">
            <v>@@</v>
          </cell>
          <cell r="AL521" t="str">
            <v>@@</v>
          </cell>
        </row>
        <row r="522">
          <cell r="J522">
            <v>69900</v>
          </cell>
          <cell r="L522" t="str">
            <v>@@</v>
          </cell>
          <cell r="M522" t="str">
            <v>@@</v>
          </cell>
          <cell r="N522" t="str">
            <v>@@</v>
          </cell>
          <cell r="O522" t="str">
            <v>@@</v>
          </cell>
          <cell r="P522" t="str">
            <v>@@</v>
          </cell>
          <cell r="Q522" t="str">
            <v>@@</v>
          </cell>
          <cell r="R522" t="str">
            <v>@@</v>
          </cell>
          <cell r="S522" t="str">
            <v>@@</v>
          </cell>
          <cell r="AB522" t="str">
            <v>@@</v>
          </cell>
          <cell r="AC522" t="str">
            <v>@@</v>
          </cell>
          <cell r="AD522" t="str">
            <v>@@</v>
          </cell>
          <cell r="AL522" t="str">
            <v>@@</v>
          </cell>
        </row>
        <row r="523">
          <cell r="J523">
            <v>70000</v>
          </cell>
          <cell r="L523" t="str">
            <v>@@</v>
          </cell>
          <cell r="M523" t="str">
            <v>@@</v>
          </cell>
          <cell r="N523" t="str">
            <v>@@</v>
          </cell>
          <cell r="O523" t="str">
            <v>@@</v>
          </cell>
          <cell r="P523" t="str">
            <v>@@</v>
          </cell>
          <cell r="Q523" t="str">
            <v>@@</v>
          </cell>
          <cell r="R523" t="str">
            <v>@@</v>
          </cell>
          <cell r="S523" t="str">
            <v>@@</v>
          </cell>
          <cell r="AB523" t="str">
            <v>@@</v>
          </cell>
          <cell r="AC523" t="str">
            <v>@@</v>
          </cell>
          <cell r="AD523" t="str">
            <v>@@</v>
          </cell>
          <cell r="AL523" t="str">
            <v>@@</v>
          </cell>
        </row>
        <row r="524">
          <cell r="J524">
            <v>70100</v>
          </cell>
          <cell r="L524" t="str">
            <v>@@</v>
          </cell>
          <cell r="M524" t="str">
            <v>@@</v>
          </cell>
          <cell r="N524" t="str">
            <v>@@</v>
          </cell>
          <cell r="O524" t="str">
            <v>@@</v>
          </cell>
          <cell r="P524" t="str">
            <v>@@</v>
          </cell>
          <cell r="Q524" t="str">
            <v>@@</v>
          </cell>
          <cell r="R524" t="str">
            <v>@@</v>
          </cell>
          <cell r="S524" t="str">
            <v>@@</v>
          </cell>
          <cell r="AB524" t="str">
            <v>@@</v>
          </cell>
          <cell r="AC524" t="str">
            <v>@@</v>
          </cell>
          <cell r="AD524" t="str">
            <v>@@</v>
          </cell>
          <cell r="AL524" t="str">
            <v>@@</v>
          </cell>
        </row>
        <row r="525">
          <cell r="J525">
            <v>70200</v>
          </cell>
          <cell r="L525" t="str">
            <v>@@</v>
          </cell>
          <cell r="M525" t="str">
            <v>@@</v>
          </cell>
          <cell r="N525" t="str">
            <v>@@</v>
          </cell>
          <cell r="O525" t="str">
            <v>@@</v>
          </cell>
          <cell r="P525" t="str">
            <v>@@</v>
          </cell>
          <cell r="Q525" t="str">
            <v>@@</v>
          </cell>
          <cell r="R525" t="str">
            <v>@@</v>
          </cell>
          <cell r="S525" t="str">
            <v>@@</v>
          </cell>
          <cell r="AB525" t="str">
            <v>@@</v>
          </cell>
          <cell r="AC525" t="str">
            <v>@@</v>
          </cell>
          <cell r="AD525" t="str">
            <v>@@</v>
          </cell>
          <cell r="AL525" t="str">
            <v>@@</v>
          </cell>
        </row>
        <row r="526">
          <cell r="J526">
            <v>70300</v>
          </cell>
          <cell r="L526" t="str">
            <v>@@</v>
          </cell>
          <cell r="M526" t="str">
            <v>@@</v>
          </cell>
          <cell r="N526" t="str">
            <v>@@</v>
          </cell>
          <cell r="O526" t="str">
            <v>@@</v>
          </cell>
          <cell r="P526" t="str">
            <v>@@</v>
          </cell>
          <cell r="Q526" t="str">
            <v>@@</v>
          </cell>
          <cell r="R526" t="str">
            <v>@@</v>
          </cell>
          <cell r="S526" t="str">
            <v>@@</v>
          </cell>
          <cell r="AB526" t="str">
            <v>@@</v>
          </cell>
          <cell r="AC526">
            <v>0</v>
          </cell>
          <cell r="AD526">
            <v>0</v>
          </cell>
          <cell r="AL526" t="str">
            <v>@@</v>
          </cell>
        </row>
        <row r="527">
          <cell r="J527">
            <v>70400</v>
          </cell>
          <cell r="L527">
            <v>70400</v>
          </cell>
          <cell r="M527">
            <v>0</v>
          </cell>
          <cell r="N527">
            <v>0</v>
          </cell>
          <cell r="O527">
            <v>-4.58</v>
          </cell>
          <cell r="P527">
            <v>5</v>
          </cell>
          <cell r="Q527">
            <v>-30.87</v>
          </cell>
          <cell r="R527">
            <v>5</v>
          </cell>
          <cell r="S527">
            <v>1</v>
          </cell>
          <cell r="T527">
            <v>70400</v>
          </cell>
          <cell r="W527">
            <v>-4.58</v>
          </cell>
          <cell r="X527">
            <v>5</v>
          </cell>
          <cell r="Y527">
            <v>-30.87</v>
          </cell>
          <cell r="Z527">
            <v>5</v>
          </cell>
          <cell r="AA527">
            <v>1</v>
          </cell>
          <cell r="AB527">
            <v>70400</v>
          </cell>
          <cell r="AC527">
            <v>-4.58</v>
          </cell>
          <cell r="AD527">
            <v>5</v>
          </cell>
          <cell r="AE527">
            <v>70400</v>
          </cell>
          <cell r="AF527">
            <v>-4.58</v>
          </cell>
          <cell r="AG527">
            <v>5</v>
          </cell>
          <cell r="AL527">
            <v>10</v>
          </cell>
          <cell r="AM527">
            <v>10</v>
          </cell>
        </row>
        <row r="528">
          <cell r="J528">
            <v>70500</v>
          </cell>
          <cell r="L528" t="str">
            <v>@@</v>
          </cell>
          <cell r="M528" t="str">
            <v>@@</v>
          </cell>
          <cell r="N528" t="str">
            <v>@@</v>
          </cell>
          <cell r="O528" t="str">
            <v>@@</v>
          </cell>
          <cell r="P528" t="str">
            <v>@@</v>
          </cell>
          <cell r="Q528" t="str">
            <v>@@</v>
          </cell>
          <cell r="R528" t="str">
            <v>@@</v>
          </cell>
          <cell r="S528" t="str">
            <v>@@</v>
          </cell>
          <cell r="AB528" t="str">
            <v>@@</v>
          </cell>
          <cell r="AC528">
            <v>-30.87</v>
          </cell>
          <cell r="AD528">
            <v>5</v>
          </cell>
          <cell r="AF528">
            <v>-30.87</v>
          </cell>
          <cell r="AG528">
            <v>5</v>
          </cell>
          <cell r="AL528" t="str">
            <v>@@</v>
          </cell>
        </row>
        <row r="529">
          <cell r="J529">
            <v>70600</v>
          </cell>
          <cell r="L529" t="str">
            <v>@@</v>
          </cell>
          <cell r="M529" t="str">
            <v>@@</v>
          </cell>
          <cell r="N529" t="str">
            <v>@@</v>
          </cell>
          <cell r="O529" t="str">
            <v>@@</v>
          </cell>
          <cell r="P529" t="str">
            <v>@@</v>
          </cell>
          <cell r="Q529" t="str">
            <v>@@</v>
          </cell>
          <cell r="R529" t="str">
            <v>@@</v>
          </cell>
          <cell r="S529" t="str">
            <v>@@</v>
          </cell>
          <cell r="AB529" t="str">
            <v>@@</v>
          </cell>
          <cell r="AC529" t="str">
            <v>@@</v>
          </cell>
          <cell r="AD529" t="str">
            <v>@@</v>
          </cell>
          <cell r="AL529" t="str">
            <v>@@</v>
          </cell>
        </row>
        <row r="530">
          <cell r="J530">
            <v>70700</v>
          </cell>
          <cell r="L530" t="str">
            <v>@@</v>
          </cell>
          <cell r="M530" t="str">
            <v>@@</v>
          </cell>
          <cell r="N530" t="str">
            <v>@@</v>
          </cell>
          <cell r="O530" t="str">
            <v>@@</v>
          </cell>
          <cell r="P530" t="str">
            <v>@@</v>
          </cell>
          <cell r="Q530" t="str">
            <v>@@</v>
          </cell>
          <cell r="R530" t="str">
            <v>@@</v>
          </cell>
          <cell r="S530" t="str">
            <v>@@</v>
          </cell>
          <cell r="AB530" t="str">
            <v>@@</v>
          </cell>
          <cell r="AC530" t="str">
            <v>@@</v>
          </cell>
          <cell r="AD530" t="str">
            <v>@@</v>
          </cell>
          <cell r="AL530" t="str">
            <v>@@</v>
          </cell>
        </row>
        <row r="531">
          <cell r="J531">
            <v>70800</v>
          </cell>
          <cell r="L531" t="str">
            <v>@@</v>
          </cell>
          <cell r="M531" t="str">
            <v>@@</v>
          </cell>
          <cell r="N531" t="str">
            <v>@@</v>
          </cell>
          <cell r="O531" t="str">
            <v>@@</v>
          </cell>
          <cell r="P531" t="str">
            <v>@@</v>
          </cell>
          <cell r="Q531" t="str">
            <v>@@</v>
          </cell>
          <cell r="R531" t="str">
            <v>@@</v>
          </cell>
          <cell r="S531" t="str">
            <v>@@</v>
          </cell>
          <cell r="AB531" t="str">
            <v>@@</v>
          </cell>
          <cell r="AC531" t="str">
            <v>@@</v>
          </cell>
          <cell r="AD531" t="str">
            <v>@@</v>
          </cell>
          <cell r="AL531" t="str">
            <v>@@</v>
          </cell>
        </row>
        <row r="532">
          <cell r="J532">
            <v>70900</v>
          </cell>
          <cell r="L532" t="str">
            <v>@@</v>
          </cell>
          <cell r="M532" t="str">
            <v>@@</v>
          </cell>
          <cell r="N532" t="str">
            <v>@@</v>
          </cell>
          <cell r="O532" t="str">
            <v>@@</v>
          </cell>
          <cell r="P532" t="str">
            <v>@@</v>
          </cell>
          <cell r="Q532" t="str">
            <v>@@</v>
          </cell>
          <cell r="R532" t="str">
            <v>@@</v>
          </cell>
          <cell r="S532" t="str">
            <v>@@</v>
          </cell>
          <cell r="AB532" t="str">
            <v>@@</v>
          </cell>
          <cell r="AC532" t="str">
            <v>@@</v>
          </cell>
          <cell r="AD532" t="str">
            <v>@@</v>
          </cell>
          <cell r="AL532" t="str">
            <v>@@</v>
          </cell>
        </row>
        <row r="533">
          <cell r="J533">
            <v>71000</v>
          </cell>
          <cell r="L533" t="str">
            <v>@@</v>
          </cell>
          <cell r="M533" t="str">
            <v>@@</v>
          </cell>
          <cell r="N533" t="str">
            <v>@@</v>
          </cell>
          <cell r="O533" t="str">
            <v>@@</v>
          </cell>
          <cell r="P533" t="str">
            <v>@@</v>
          </cell>
          <cell r="Q533" t="str">
            <v>@@</v>
          </cell>
          <cell r="R533" t="str">
            <v>@@</v>
          </cell>
          <cell r="S533" t="str">
            <v>@@</v>
          </cell>
          <cell r="AB533" t="str">
            <v>@@</v>
          </cell>
          <cell r="AC533" t="str">
            <v>@@</v>
          </cell>
          <cell r="AD533" t="str">
            <v>@@</v>
          </cell>
          <cell r="AL533" t="str">
            <v>@@</v>
          </cell>
        </row>
        <row r="534">
          <cell r="J534">
            <v>71100</v>
          </cell>
          <cell r="L534" t="str">
            <v>@@</v>
          </cell>
          <cell r="M534" t="str">
            <v>@@</v>
          </cell>
          <cell r="N534" t="str">
            <v>@@</v>
          </cell>
          <cell r="O534" t="str">
            <v>@@</v>
          </cell>
          <cell r="P534" t="str">
            <v>@@</v>
          </cell>
          <cell r="Q534" t="str">
            <v>@@</v>
          </cell>
          <cell r="R534" t="str">
            <v>@@</v>
          </cell>
          <cell r="S534" t="str">
            <v>@@</v>
          </cell>
          <cell r="AB534" t="str">
            <v>@@</v>
          </cell>
          <cell r="AC534" t="str">
            <v>@@</v>
          </cell>
          <cell r="AD534" t="str">
            <v>@@</v>
          </cell>
          <cell r="AL534" t="str">
            <v>@@</v>
          </cell>
        </row>
        <row r="535">
          <cell r="J535">
            <v>71200</v>
          </cell>
          <cell r="L535" t="str">
            <v>@@</v>
          </cell>
          <cell r="M535" t="str">
            <v>@@</v>
          </cell>
          <cell r="N535" t="str">
            <v>@@</v>
          </cell>
          <cell r="O535" t="str">
            <v>@@</v>
          </cell>
          <cell r="P535" t="str">
            <v>@@</v>
          </cell>
          <cell r="Q535" t="str">
            <v>@@</v>
          </cell>
          <cell r="R535" t="str">
            <v>@@</v>
          </cell>
          <cell r="S535" t="str">
            <v>@@</v>
          </cell>
          <cell r="AB535" t="str">
            <v>@@</v>
          </cell>
          <cell r="AC535" t="str">
            <v>@@</v>
          </cell>
          <cell r="AD535" t="str">
            <v>@@</v>
          </cell>
          <cell r="AL535" t="str">
            <v>@@</v>
          </cell>
        </row>
        <row r="536">
          <cell r="J536">
            <v>71300</v>
          </cell>
          <cell r="L536" t="str">
            <v>@@</v>
          </cell>
          <cell r="M536" t="str">
            <v>@@</v>
          </cell>
          <cell r="N536" t="str">
            <v>@@</v>
          </cell>
          <cell r="O536" t="str">
            <v>@@</v>
          </cell>
          <cell r="P536" t="str">
            <v>@@</v>
          </cell>
          <cell r="Q536" t="str">
            <v>@@</v>
          </cell>
          <cell r="R536" t="str">
            <v>@@</v>
          </cell>
          <cell r="S536" t="str">
            <v>@@</v>
          </cell>
          <cell r="AB536" t="str">
            <v>@@</v>
          </cell>
          <cell r="AC536">
            <v>-3.63</v>
          </cell>
          <cell r="AD536">
            <v>6.5</v>
          </cell>
          <cell r="AF536">
            <v>-3.63</v>
          </cell>
          <cell r="AG536">
            <v>6.5</v>
          </cell>
          <cell r="AL536" t="str">
            <v>@@</v>
          </cell>
        </row>
        <row r="537">
          <cell r="J537">
            <v>71400</v>
          </cell>
          <cell r="L537">
            <v>71400</v>
          </cell>
          <cell r="M537">
            <v>-3.63</v>
          </cell>
          <cell r="N537">
            <v>6.5</v>
          </cell>
          <cell r="O537">
            <v>-50</v>
          </cell>
          <cell r="P537">
            <v>4.5</v>
          </cell>
          <cell r="Q537">
            <v>-46</v>
          </cell>
          <cell r="R537">
            <v>4</v>
          </cell>
          <cell r="S537">
            <v>1</v>
          </cell>
          <cell r="T537">
            <v>71400</v>
          </cell>
          <cell r="U537">
            <v>-3.63</v>
          </cell>
          <cell r="V537">
            <v>6.5</v>
          </cell>
          <cell r="W537">
            <v>-50</v>
          </cell>
          <cell r="X537">
            <v>4.5</v>
          </cell>
          <cell r="Y537">
            <v>-46</v>
          </cell>
          <cell r="Z537">
            <v>4</v>
          </cell>
          <cell r="AA537">
            <v>1</v>
          </cell>
          <cell r="AB537">
            <v>71400</v>
          </cell>
          <cell r="AC537">
            <v>-50</v>
          </cell>
          <cell r="AD537">
            <v>4.5</v>
          </cell>
          <cell r="AE537">
            <v>71400</v>
          </cell>
          <cell r="AF537">
            <v>-50</v>
          </cell>
          <cell r="AG537">
            <v>4.5</v>
          </cell>
          <cell r="AL537">
            <v>15</v>
          </cell>
          <cell r="AM537">
            <v>15</v>
          </cell>
        </row>
        <row r="538">
          <cell r="J538">
            <v>71500</v>
          </cell>
          <cell r="L538" t="str">
            <v>@@</v>
          </cell>
          <cell r="M538" t="str">
            <v>@@</v>
          </cell>
          <cell r="N538" t="str">
            <v>@@</v>
          </cell>
          <cell r="O538" t="str">
            <v>@@</v>
          </cell>
          <cell r="P538" t="str">
            <v>@@</v>
          </cell>
          <cell r="Q538" t="str">
            <v>@@</v>
          </cell>
          <cell r="R538" t="str">
            <v>@@</v>
          </cell>
          <cell r="S538" t="str">
            <v>@@</v>
          </cell>
          <cell r="AB538" t="str">
            <v>@@</v>
          </cell>
          <cell r="AC538">
            <v>-46</v>
          </cell>
          <cell r="AD538">
            <v>4</v>
          </cell>
          <cell r="AF538">
            <v>-46</v>
          </cell>
          <cell r="AG538">
            <v>4</v>
          </cell>
          <cell r="AL538" t="str">
            <v>@@</v>
          </cell>
        </row>
        <row r="539">
          <cell r="J539">
            <v>71600</v>
          </cell>
          <cell r="L539" t="str">
            <v>@@</v>
          </cell>
          <cell r="M539" t="str">
            <v>@@</v>
          </cell>
          <cell r="N539" t="str">
            <v>@@</v>
          </cell>
          <cell r="O539" t="str">
            <v>@@</v>
          </cell>
          <cell r="P539" t="str">
            <v>@@</v>
          </cell>
          <cell r="Q539" t="str">
            <v>@@</v>
          </cell>
          <cell r="R539" t="str">
            <v>@@</v>
          </cell>
          <cell r="S539" t="str">
            <v>@@</v>
          </cell>
          <cell r="AB539" t="str">
            <v>@@</v>
          </cell>
          <cell r="AC539" t="str">
            <v>@@</v>
          </cell>
          <cell r="AD539" t="str">
            <v>@@</v>
          </cell>
          <cell r="AL539" t="str">
            <v>@@</v>
          </cell>
        </row>
        <row r="540">
          <cell r="J540">
            <v>71700</v>
          </cell>
          <cell r="L540" t="str">
            <v>@@</v>
          </cell>
          <cell r="M540" t="str">
            <v>@@</v>
          </cell>
          <cell r="N540" t="str">
            <v>@@</v>
          </cell>
          <cell r="O540" t="str">
            <v>@@</v>
          </cell>
          <cell r="P540" t="str">
            <v>@@</v>
          </cell>
          <cell r="Q540" t="str">
            <v>@@</v>
          </cell>
          <cell r="R540" t="str">
            <v>@@</v>
          </cell>
          <cell r="S540" t="str">
            <v>@@</v>
          </cell>
          <cell r="AB540" t="str">
            <v>@@</v>
          </cell>
          <cell r="AC540" t="str">
            <v>@@</v>
          </cell>
          <cell r="AD540" t="str">
            <v>@@</v>
          </cell>
          <cell r="AL540" t="str">
            <v>@@</v>
          </cell>
        </row>
        <row r="541">
          <cell r="J541">
            <v>71800</v>
          </cell>
          <cell r="L541" t="str">
            <v>@@</v>
          </cell>
          <cell r="M541" t="str">
            <v>@@</v>
          </cell>
          <cell r="N541" t="str">
            <v>@@</v>
          </cell>
          <cell r="O541" t="str">
            <v>@@</v>
          </cell>
          <cell r="P541" t="str">
            <v>@@</v>
          </cell>
          <cell r="Q541" t="str">
            <v>@@</v>
          </cell>
          <cell r="R541" t="str">
            <v>@@</v>
          </cell>
          <cell r="S541" t="str">
            <v>@@</v>
          </cell>
          <cell r="AB541" t="str">
            <v>@@</v>
          </cell>
          <cell r="AC541" t="str">
            <v>@@</v>
          </cell>
          <cell r="AD541" t="str">
            <v>@@</v>
          </cell>
          <cell r="AL541" t="str">
            <v>@@</v>
          </cell>
        </row>
        <row r="542">
          <cell r="J542">
            <v>71900</v>
          </cell>
          <cell r="L542" t="str">
            <v>@@</v>
          </cell>
          <cell r="M542" t="str">
            <v>@@</v>
          </cell>
          <cell r="N542" t="str">
            <v>@@</v>
          </cell>
          <cell r="O542" t="str">
            <v>@@</v>
          </cell>
          <cell r="P542" t="str">
            <v>@@</v>
          </cell>
          <cell r="Q542" t="str">
            <v>@@</v>
          </cell>
          <cell r="R542" t="str">
            <v>@@</v>
          </cell>
          <cell r="S542" t="str">
            <v>@@</v>
          </cell>
          <cell r="AB542" t="str">
            <v>@@</v>
          </cell>
          <cell r="AC542" t="str">
            <v>@@</v>
          </cell>
          <cell r="AD542" t="str">
            <v>@@</v>
          </cell>
          <cell r="AL542" t="str">
            <v>@@</v>
          </cell>
        </row>
        <row r="543">
          <cell r="J543">
            <v>72000</v>
          </cell>
          <cell r="L543" t="str">
            <v>@@</v>
          </cell>
          <cell r="M543" t="str">
            <v>@@</v>
          </cell>
          <cell r="N543" t="str">
            <v>@@</v>
          </cell>
          <cell r="O543" t="str">
            <v>@@</v>
          </cell>
          <cell r="P543" t="str">
            <v>@@</v>
          </cell>
          <cell r="Q543" t="str">
            <v>@@</v>
          </cell>
          <cell r="R543" t="str">
            <v>@@</v>
          </cell>
          <cell r="S543" t="str">
            <v>@@</v>
          </cell>
          <cell r="AB543" t="str">
            <v>@@</v>
          </cell>
          <cell r="AC543" t="str">
            <v>@@</v>
          </cell>
          <cell r="AD543" t="str">
            <v>@@</v>
          </cell>
          <cell r="AL543" t="str">
            <v>@@</v>
          </cell>
        </row>
        <row r="544">
          <cell r="J544">
            <v>72100</v>
          </cell>
          <cell r="L544" t="str">
            <v>@@</v>
          </cell>
          <cell r="M544" t="str">
            <v>@@</v>
          </cell>
          <cell r="N544" t="str">
            <v>@@</v>
          </cell>
          <cell r="O544" t="str">
            <v>@@</v>
          </cell>
          <cell r="P544" t="str">
            <v>@@</v>
          </cell>
          <cell r="Q544" t="str">
            <v>@@</v>
          </cell>
          <cell r="R544" t="str">
            <v>@@</v>
          </cell>
          <cell r="S544" t="str">
            <v>@@</v>
          </cell>
          <cell r="AB544" t="str">
            <v>@@</v>
          </cell>
          <cell r="AC544" t="str">
            <v>@@</v>
          </cell>
          <cell r="AD544" t="str">
            <v>@@</v>
          </cell>
          <cell r="AL544" t="str">
            <v>@@</v>
          </cell>
        </row>
        <row r="545">
          <cell r="J545">
            <v>72200</v>
          </cell>
          <cell r="L545" t="str">
            <v>@@</v>
          </cell>
          <cell r="M545" t="str">
            <v>@@</v>
          </cell>
          <cell r="N545" t="str">
            <v>@@</v>
          </cell>
          <cell r="O545" t="str">
            <v>@@</v>
          </cell>
          <cell r="P545" t="str">
            <v>@@</v>
          </cell>
          <cell r="Q545" t="str">
            <v>@@</v>
          </cell>
          <cell r="R545" t="str">
            <v>@@</v>
          </cell>
          <cell r="S545" t="str">
            <v>@@</v>
          </cell>
          <cell r="AB545" t="str">
            <v>@@</v>
          </cell>
          <cell r="AC545" t="str">
            <v>@@</v>
          </cell>
          <cell r="AD545" t="str">
            <v>@@</v>
          </cell>
          <cell r="AL545" t="str">
            <v>@@</v>
          </cell>
        </row>
        <row r="546">
          <cell r="J546">
            <v>72300</v>
          </cell>
          <cell r="L546" t="str">
            <v>@@</v>
          </cell>
          <cell r="M546" t="str">
            <v>@@</v>
          </cell>
          <cell r="N546" t="str">
            <v>@@</v>
          </cell>
          <cell r="O546" t="str">
            <v>@@</v>
          </cell>
          <cell r="P546" t="str">
            <v>@@</v>
          </cell>
          <cell r="Q546" t="str">
            <v>@@</v>
          </cell>
          <cell r="R546" t="str">
            <v>@@</v>
          </cell>
          <cell r="S546" t="str">
            <v>@@</v>
          </cell>
          <cell r="AB546" t="str">
            <v>@@</v>
          </cell>
          <cell r="AC546">
            <v>0</v>
          </cell>
          <cell r="AD546">
            <v>0</v>
          </cell>
          <cell r="AL546" t="str">
            <v>@@</v>
          </cell>
        </row>
        <row r="547">
          <cell r="J547">
            <v>72400</v>
          </cell>
          <cell r="L547">
            <v>72400</v>
          </cell>
          <cell r="M547">
            <v>0</v>
          </cell>
          <cell r="N547">
            <v>0</v>
          </cell>
          <cell r="O547">
            <v>-5.68</v>
          </cell>
          <cell r="P547">
            <v>4.7</v>
          </cell>
          <cell r="Q547">
            <v>-52.61</v>
          </cell>
          <cell r="R547">
            <v>4.9000000000000004</v>
          </cell>
          <cell r="S547">
            <v>1</v>
          </cell>
          <cell r="T547">
            <v>72400</v>
          </cell>
          <cell r="W547">
            <v>-5.68</v>
          </cell>
          <cell r="X547">
            <v>4.7</v>
          </cell>
          <cell r="Y547">
            <v>-52.61</v>
          </cell>
          <cell r="Z547">
            <v>4.9000000000000004</v>
          </cell>
          <cell r="AA547">
            <v>1</v>
          </cell>
          <cell r="AB547">
            <v>72400</v>
          </cell>
          <cell r="AC547">
            <v>-5.68</v>
          </cell>
          <cell r="AD547">
            <v>4.7</v>
          </cell>
          <cell r="AE547">
            <v>72400</v>
          </cell>
          <cell r="AF547">
            <v>-5.68</v>
          </cell>
          <cell r="AG547">
            <v>4.7</v>
          </cell>
          <cell r="AL547">
            <v>9.6000000000000014</v>
          </cell>
          <cell r="AM547">
            <v>9.6</v>
          </cell>
        </row>
        <row r="548">
          <cell r="J548">
            <v>72500</v>
          </cell>
          <cell r="L548" t="str">
            <v>@@</v>
          </cell>
          <cell r="M548" t="str">
            <v>@@</v>
          </cell>
          <cell r="N548" t="str">
            <v>@@</v>
          </cell>
          <cell r="O548" t="str">
            <v>@@</v>
          </cell>
          <cell r="P548" t="str">
            <v>@@</v>
          </cell>
          <cell r="Q548" t="str">
            <v>@@</v>
          </cell>
          <cell r="R548" t="str">
            <v>@@</v>
          </cell>
          <cell r="S548" t="str">
            <v>@@</v>
          </cell>
          <cell r="AB548" t="str">
            <v>@@</v>
          </cell>
          <cell r="AC548">
            <v>-52.61</v>
          </cell>
          <cell r="AD548">
            <v>4.9000000000000004</v>
          </cell>
          <cell r="AF548">
            <v>-52.61</v>
          </cell>
          <cell r="AG548">
            <v>4.9000000000000004</v>
          </cell>
          <cell r="AL548" t="str">
            <v>@@</v>
          </cell>
        </row>
        <row r="549">
          <cell r="J549">
            <v>72600</v>
          </cell>
          <cell r="L549" t="str">
            <v>@@</v>
          </cell>
          <cell r="M549" t="str">
            <v>@@</v>
          </cell>
          <cell r="N549" t="str">
            <v>@@</v>
          </cell>
          <cell r="O549" t="str">
            <v>@@</v>
          </cell>
          <cell r="P549" t="str">
            <v>@@</v>
          </cell>
          <cell r="Q549" t="str">
            <v>@@</v>
          </cell>
          <cell r="R549" t="str">
            <v>@@</v>
          </cell>
          <cell r="S549" t="str">
            <v>@@</v>
          </cell>
          <cell r="AB549" t="str">
            <v>@@</v>
          </cell>
          <cell r="AC549" t="str">
            <v>@@</v>
          </cell>
          <cell r="AD549" t="str">
            <v>@@</v>
          </cell>
          <cell r="AL549" t="str">
            <v>@@</v>
          </cell>
        </row>
        <row r="550">
          <cell r="J550">
            <v>72700</v>
          </cell>
          <cell r="L550" t="str">
            <v>@@</v>
          </cell>
          <cell r="M550" t="str">
            <v>@@</v>
          </cell>
          <cell r="N550" t="str">
            <v>@@</v>
          </cell>
          <cell r="O550" t="str">
            <v>@@</v>
          </cell>
          <cell r="P550" t="str">
            <v>@@</v>
          </cell>
          <cell r="Q550" t="str">
            <v>@@</v>
          </cell>
          <cell r="R550" t="str">
            <v>@@</v>
          </cell>
          <cell r="S550" t="str">
            <v>@@</v>
          </cell>
          <cell r="AB550" t="str">
            <v>@@</v>
          </cell>
          <cell r="AC550" t="str">
            <v>@@</v>
          </cell>
          <cell r="AD550" t="str">
            <v>@@</v>
          </cell>
          <cell r="AL550" t="str">
            <v>@@</v>
          </cell>
        </row>
        <row r="551">
          <cell r="J551">
            <v>72800</v>
          </cell>
          <cell r="L551" t="str">
            <v>@@</v>
          </cell>
          <cell r="M551" t="str">
            <v>@@</v>
          </cell>
          <cell r="N551" t="str">
            <v>@@</v>
          </cell>
          <cell r="O551" t="str">
            <v>@@</v>
          </cell>
          <cell r="P551" t="str">
            <v>@@</v>
          </cell>
          <cell r="Q551" t="str">
            <v>@@</v>
          </cell>
          <cell r="R551" t="str">
            <v>@@</v>
          </cell>
          <cell r="S551" t="str">
            <v>@@</v>
          </cell>
          <cell r="AB551" t="str">
            <v>@@</v>
          </cell>
          <cell r="AC551" t="str">
            <v>@@</v>
          </cell>
          <cell r="AD551" t="str">
            <v>@@</v>
          </cell>
          <cell r="AL551" t="str">
            <v>@@</v>
          </cell>
        </row>
        <row r="552">
          <cell r="J552">
            <v>72900</v>
          </cell>
          <cell r="L552" t="str">
            <v>@@</v>
          </cell>
          <cell r="M552" t="str">
            <v>@@</v>
          </cell>
          <cell r="N552" t="str">
            <v>@@</v>
          </cell>
          <cell r="O552" t="str">
            <v>@@</v>
          </cell>
          <cell r="P552" t="str">
            <v>@@</v>
          </cell>
          <cell r="Q552" t="str">
            <v>@@</v>
          </cell>
          <cell r="R552" t="str">
            <v>@@</v>
          </cell>
          <cell r="S552" t="str">
            <v>@@</v>
          </cell>
          <cell r="AB552" t="str">
            <v>@@</v>
          </cell>
          <cell r="AC552" t="str">
            <v>@@</v>
          </cell>
          <cell r="AD552" t="str">
            <v>@@</v>
          </cell>
          <cell r="AL552" t="str">
            <v>@@</v>
          </cell>
        </row>
        <row r="553">
          <cell r="J553">
            <v>73000</v>
          </cell>
          <cell r="L553" t="str">
            <v>@@</v>
          </cell>
          <cell r="M553" t="str">
            <v>@@</v>
          </cell>
          <cell r="N553" t="str">
            <v>@@</v>
          </cell>
          <cell r="O553" t="str">
            <v>@@</v>
          </cell>
          <cell r="P553" t="str">
            <v>@@</v>
          </cell>
          <cell r="Q553" t="str">
            <v>@@</v>
          </cell>
          <cell r="R553" t="str">
            <v>@@</v>
          </cell>
          <cell r="S553" t="str">
            <v>@@</v>
          </cell>
          <cell r="AB553" t="str">
            <v>@@</v>
          </cell>
          <cell r="AC553" t="str">
            <v>@@</v>
          </cell>
          <cell r="AD553" t="str">
            <v>@@</v>
          </cell>
          <cell r="AL553" t="str">
            <v>@@</v>
          </cell>
        </row>
        <row r="554">
          <cell r="J554">
            <v>73100</v>
          </cell>
          <cell r="L554" t="str">
            <v>@@</v>
          </cell>
          <cell r="M554" t="str">
            <v>@@</v>
          </cell>
          <cell r="N554" t="str">
            <v>@@</v>
          </cell>
          <cell r="O554" t="str">
            <v>@@</v>
          </cell>
          <cell r="P554" t="str">
            <v>@@</v>
          </cell>
          <cell r="Q554" t="str">
            <v>@@</v>
          </cell>
          <cell r="R554" t="str">
            <v>@@</v>
          </cell>
          <cell r="S554" t="str">
            <v>@@</v>
          </cell>
          <cell r="AB554" t="str">
            <v>@@</v>
          </cell>
          <cell r="AC554" t="str">
            <v>@@</v>
          </cell>
          <cell r="AD554" t="str">
            <v>@@</v>
          </cell>
          <cell r="AL554" t="str">
            <v>@@</v>
          </cell>
        </row>
        <row r="555">
          <cell r="J555">
            <v>73200</v>
          </cell>
          <cell r="L555" t="str">
            <v>@@</v>
          </cell>
          <cell r="M555" t="str">
            <v>@@</v>
          </cell>
          <cell r="N555" t="str">
            <v>@@</v>
          </cell>
          <cell r="O555" t="str">
            <v>@@</v>
          </cell>
          <cell r="P555" t="str">
            <v>@@</v>
          </cell>
          <cell r="Q555" t="str">
            <v>@@</v>
          </cell>
          <cell r="R555" t="str">
            <v>@@</v>
          </cell>
          <cell r="S555" t="str">
            <v>@@</v>
          </cell>
          <cell r="AB555" t="str">
            <v>@@</v>
          </cell>
          <cell r="AC555" t="str">
            <v>@@</v>
          </cell>
          <cell r="AD555" t="str">
            <v>@@</v>
          </cell>
          <cell r="AL555" t="str">
            <v>@@</v>
          </cell>
        </row>
        <row r="556">
          <cell r="J556">
            <v>73300</v>
          </cell>
          <cell r="L556" t="str">
            <v>@@</v>
          </cell>
          <cell r="M556" t="str">
            <v>@@</v>
          </cell>
          <cell r="N556" t="str">
            <v>@@</v>
          </cell>
          <cell r="O556" t="str">
            <v>@@</v>
          </cell>
          <cell r="P556" t="str">
            <v>@@</v>
          </cell>
          <cell r="Q556" t="str">
            <v>@@</v>
          </cell>
          <cell r="R556" t="str">
            <v>@@</v>
          </cell>
          <cell r="S556" t="str">
            <v>@@</v>
          </cell>
          <cell r="AB556" t="str">
            <v>@@</v>
          </cell>
          <cell r="AC556">
            <v>0</v>
          </cell>
          <cell r="AD556">
            <v>0</v>
          </cell>
          <cell r="AL556" t="str">
            <v>@@</v>
          </cell>
        </row>
        <row r="557">
          <cell r="J557">
            <v>73400</v>
          </cell>
          <cell r="L557">
            <v>73400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-45.96</v>
          </cell>
          <cell r="R557">
            <v>5.5</v>
          </cell>
          <cell r="S557">
            <v>1</v>
          </cell>
          <cell r="T557">
            <v>73400</v>
          </cell>
          <cell r="Y557">
            <v>-45.96</v>
          </cell>
          <cell r="Z557">
            <v>5.5</v>
          </cell>
          <cell r="AA557">
            <v>1</v>
          </cell>
          <cell r="AB557">
            <v>73400</v>
          </cell>
          <cell r="AC557">
            <v>0</v>
          </cell>
          <cell r="AD557">
            <v>0</v>
          </cell>
          <cell r="AE557">
            <v>73400</v>
          </cell>
          <cell r="AL557">
            <v>5.5</v>
          </cell>
        </row>
        <row r="558">
          <cell r="J558">
            <v>73500</v>
          </cell>
          <cell r="L558" t="str">
            <v>@@</v>
          </cell>
          <cell r="M558" t="str">
            <v>@@</v>
          </cell>
          <cell r="N558" t="str">
            <v>@@</v>
          </cell>
          <cell r="O558" t="str">
            <v>@@</v>
          </cell>
          <cell r="P558" t="str">
            <v>@@</v>
          </cell>
          <cell r="Q558" t="str">
            <v>@@</v>
          </cell>
          <cell r="R558" t="str">
            <v>@@</v>
          </cell>
          <cell r="S558" t="str">
            <v>@@</v>
          </cell>
          <cell r="AB558" t="str">
            <v>@@</v>
          </cell>
          <cell r="AC558">
            <v>-45.96</v>
          </cell>
          <cell r="AD558">
            <v>5.5</v>
          </cell>
          <cell r="AF558">
            <v>-45.96</v>
          </cell>
          <cell r="AG558">
            <v>5.5</v>
          </cell>
          <cell r="AL558" t="str">
            <v>@@</v>
          </cell>
        </row>
        <row r="559">
          <cell r="J559">
            <v>73600</v>
          </cell>
          <cell r="L559" t="str">
            <v>@@</v>
          </cell>
          <cell r="M559" t="str">
            <v>@@</v>
          </cell>
          <cell r="N559" t="str">
            <v>@@</v>
          </cell>
          <cell r="O559" t="str">
            <v>@@</v>
          </cell>
          <cell r="P559" t="str">
            <v>@@</v>
          </cell>
          <cell r="Q559" t="str">
            <v>@@</v>
          </cell>
          <cell r="R559" t="str">
            <v>@@</v>
          </cell>
          <cell r="S559" t="str">
            <v>@@</v>
          </cell>
          <cell r="AB559" t="str">
            <v>@@</v>
          </cell>
          <cell r="AC559" t="str">
            <v>@@</v>
          </cell>
          <cell r="AD559" t="str">
            <v>@@</v>
          </cell>
          <cell r="AL559" t="str">
            <v>@@</v>
          </cell>
        </row>
        <row r="560">
          <cell r="J560">
            <v>73700</v>
          </cell>
          <cell r="L560" t="str">
            <v>@@</v>
          </cell>
          <cell r="M560" t="str">
            <v>@@</v>
          </cell>
          <cell r="N560" t="str">
            <v>@@</v>
          </cell>
          <cell r="O560" t="str">
            <v>@@</v>
          </cell>
          <cell r="P560" t="str">
            <v>@@</v>
          </cell>
          <cell r="Q560" t="str">
            <v>@@</v>
          </cell>
          <cell r="R560" t="str">
            <v>@@</v>
          </cell>
          <cell r="S560" t="str">
            <v>@@</v>
          </cell>
          <cell r="AB560" t="str">
            <v>@@</v>
          </cell>
          <cell r="AC560" t="str">
            <v>@@</v>
          </cell>
          <cell r="AD560" t="str">
            <v>@@</v>
          </cell>
          <cell r="AL560" t="str">
            <v>@@</v>
          </cell>
        </row>
        <row r="561">
          <cell r="J561">
            <v>73800</v>
          </cell>
          <cell r="L561" t="str">
            <v>@@</v>
          </cell>
          <cell r="M561" t="str">
            <v>@@</v>
          </cell>
          <cell r="N561" t="str">
            <v>@@</v>
          </cell>
          <cell r="O561" t="str">
            <v>@@</v>
          </cell>
          <cell r="P561" t="str">
            <v>@@</v>
          </cell>
          <cell r="Q561" t="str">
            <v>@@</v>
          </cell>
          <cell r="R561" t="str">
            <v>@@</v>
          </cell>
          <cell r="S561" t="str">
            <v>@@</v>
          </cell>
          <cell r="AB561" t="str">
            <v>@@</v>
          </cell>
          <cell r="AC561" t="str">
            <v>@@</v>
          </cell>
          <cell r="AD561" t="str">
            <v>@@</v>
          </cell>
          <cell r="AL561" t="str">
            <v>@@</v>
          </cell>
        </row>
        <row r="562">
          <cell r="J562">
            <v>73900</v>
          </cell>
          <cell r="L562" t="str">
            <v>@@</v>
          </cell>
          <cell r="M562" t="str">
            <v>@@</v>
          </cell>
          <cell r="N562" t="str">
            <v>@@</v>
          </cell>
          <cell r="O562" t="str">
            <v>@@</v>
          </cell>
          <cell r="P562" t="str">
            <v>@@</v>
          </cell>
          <cell r="Q562" t="str">
            <v>@@</v>
          </cell>
          <cell r="R562" t="str">
            <v>@@</v>
          </cell>
          <cell r="S562" t="str">
            <v>@@</v>
          </cell>
          <cell r="AB562" t="str">
            <v>@@</v>
          </cell>
          <cell r="AC562" t="str">
            <v>@@</v>
          </cell>
          <cell r="AD562" t="str">
            <v>@@</v>
          </cell>
          <cell r="AL562" t="str">
            <v>@@</v>
          </cell>
        </row>
        <row r="563">
          <cell r="J563">
            <v>74000</v>
          </cell>
          <cell r="L563" t="str">
            <v>@@</v>
          </cell>
          <cell r="M563" t="str">
            <v>@@</v>
          </cell>
          <cell r="N563" t="str">
            <v>@@</v>
          </cell>
          <cell r="O563" t="str">
            <v>@@</v>
          </cell>
          <cell r="P563" t="str">
            <v>@@</v>
          </cell>
          <cell r="Q563" t="str">
            <v>@@</v>
          </cell>
          <cell r="R563" t="str">
            <v>@@</v>
          </cell>
          <cell r="S563" t="str">
            <v>@@</v>
          </cell>
          <cell r="AB563" t="str">
            <v>@@</v>
          </cell>
          <cell r="AC563" t="str">
            <v>@@</v>
          </cell>
          <cell r="AD563" t="str">
            <v>@@</v>
          </cell>
          <cell r="AL563" t="str">
            <v>@@</v>
          </cell>
        </row>
        <row r="564">
          <cell r="J564">
            <v>74100</v>
          </cell>
          <cell r="L564" t="str">
            <v>@@</v>
          </cell>
          <cell r="M564" t="str">
            <v>@@</v>
          </cell>
          <cell r="N564" t="str">
            <v>@@</v>
          </cell>
          <cell r="O564" t="str">
            <v>@@</v>
          </cell>
          <cell r="P564" t="str">
            <v>@@</v>
          </cell>
          <cell r="Q564" t="str">
            <v>@@</v>
          </cell>
          <cell r="R564" t="str">
            <v>@@</v>
          </cell>
          <cell r="S564" t="str">
            <v>@@</v>
          </cell>
          <cell r="AB564" t="str">
            <v>@@</v>
          </cell>
          <cell r="AC564" t="str">
            <v>@@</v>
          </cell>
          <cell r="AD564" t="str">
            <v>@@</v>
          </cell>
          <cell r="AL564" t="str">
            <v>@@</v>
          </cell>
        </row>
        <row r="565">
          <cell r="J565">
            <v>74200</v>
          </cell>
          <cell r="L565" t="str">
            <v>@@</v>
          </cell>
          <cell r="M565" t="str">
            <v>@@</v>
          </cell>
          <cell r="N565" t="str">
            <v>@@</v>
          </cell>
          <cell r="O565" t="str">
            <v>@@</v>
          </cell>
          <cell r="P565" t="str">
            <v>@@</v>
          </cell>
          <cell r="Q565" t="str">
            <v>@@</v>
          </cell>
          <cell r="R565" t="str">
            <v>@@</v>
          </cell>
          <cell r="S565" t="str">
            <v>@@</v>
          </cell>
          <cell r="AB565" t="str">
            <v>@@</v>
          </cell>
          <cell r="AC565" t="str">
            <v>@@</v>
          </cell>
          <cell r="AD565" t="str">
            <v>@@</v>
          </cell>
          <cell r="AL565" t="str">
            <v>@@</v>
          </cell>
        </row>
        <row r="566">
          <cell r="J566">
            <v>74300</v>
          </cell>
          <cell r="L566" t="str">
            <v>@@</v>
          </cell>
          <cell r="M566" t="str">
            <v>@@</v>
          </cell>
          <cell r="N566" t="str">
            <v>@@</v>
          </cell>
          <cell r="O566" t="str">
            <v>@@</v>
          </cell>
          <cell r="P566" t="str">
            <v>@@</v>
          </cell>
          <cell r="Q566" t="str">
            <v>@@</v>
          </cell>
          <cell r="R566" t="str">
            <v>@@</v>
          </cell>
          <cell r="S566" t="str">
            <v>@@</v>
          </cell>
          <cell r="AB566" t="str">
            <v>@@</v>
          </cell>
          <cell r="AC566">
            <v>-5.3</v>
          </cell>
          <cell r="AD566">
            <v>5.3</v>
          </cell>
          <cell r="AF566">
            <v>-5.3</v>
          </cell>
          <cell r="AG566">
            <v>5.3</v>
          </cell>
          <cell r="AL566" t="str">
            <v>@@</v>
          </cell>
        </row>
        <row r="567">
          <cell r="J567">
            <v>74400</v>
          </cell>
          <cell r="L567">
            <v>74400</v>
          </cell>
          <cell r="M567">
            <v>-5.3</v>
          </cell>
          <cell r="N567">
            <v>5.3</v>
          </cell>
          <cell r="O567">
            <v>-41.58</v>
          </cell>
          <cell r="P567">
            <v>6.1</v>
          </cell>
          <cell r="Q567">
            <v>-3.53</v>
          </cell>
          <cell r="R567">
            <v>5.0999999999999996</v>
          </cell>
          <cell r="S567">
            <v>1</v>
          </cell>
          <cell r="T567">
            <v>74400</v>
          </cell>
          <cell r="U567">
            <v>-5.3</v>
          </cell>
          <cell r="V567">
            <v>5.3</v>
          </cell>
          <cell r="W567">
            <v>-41.58</v>
          </cell>
          <cell r="X567">
            <v>6.1</v>
          </cell>
          <cell r="Y567">
            <v>-3.53</v>
          </cell>
          <cell r="Z567">
            <v>5.0999999999999996</v>
          </cell>
          <cell r="AA567">
            <v>1</v>
          </cell>
          <cell r="AB567">
            <v>74400</v>
          </cell>
          <cell r="AC567">
            <v>-41.58</v>
          </cell>
          <cell r="AD567">
            <v>6.1</v>
          </cell>
          <cell r="AE567">
            <v>74400</v>
          </cell>
          <cell r="AF567">
            <v>-41.58</v>
          </cell>
          <cell r="AG567">
            <v>6.1</v>
          </cell>
          <cell r="AL567">
            <v>16.5</v>
          </cell>
          <cell r="AM567">
            <v>16.5</v>
          </cell>
        </row>
        <row r="568">
          <cell r="J568">
            <v>74500</v>
          </cell>
          <cell r="L568" t="str">
            <v>@@</v>
          </cell>
          <cell r="M568" t="str">
            <v>@@</v>
          </cell>
          <cell r="N568" t="str">
            <v>@@</v>
          </cell>
          <cell r="O568" t="str">
            <v>@@</v>
          </cell>
          <cell r="P568" t="str">
            <v>@@</v>
          </cell>
          <cell r="Q568" t="str">
            <v>@@</v>
          </cell>
          <cell r="R568" t="str">
            <v>@@</v>
          </cell>
          <cell r="S568" t="str">
            <v>@@</v>
          </cell>
          <cell r="AB568" t="str">
            <v>@@</v>
          </cell>
          <cell r="AC568">
            <v>-3.53</v>
          </cell>
          <cell r="AD568">
            <v>5.0999999999999996</v>
          </cell>
          <cell r="AF568">
            <v>-3.53</v>
          </cell>
          <cell r="AG568">
            <v>5.0999999999999996</v>
          </cell>
          <cell r="AL568" t="str">
            <v>@@</v>
          </cell>
        </row>
        <row r="569">
          <cell r="J569">
            <v>74600</v>
          </cell>
          <cell r="L569" t="str">
            <v>@@</v>
          </cell>
          <cell r="M569" t="str">
            <v>@@</v>
          </cell>
          <cell r="N569" t="str">
            <v>@@</v>
          </cell>
          <cell r="O569" t="str">
            <v>@@</v>
          </cell>
          <cell r="P569" t="str">
            <v>@@</v>
          </cell>
          <cell r="Q569" t="str">
            <v>@@</v>
          </cell>
          <cell r="R569" t="str">
            <v>@@</v>
          </cell>
          <cell r="S569" t="str">
            <v>@@</v>
          </cell>
          <cell r="AB569" t="str">
            <v>@@</v>
          </cell>
          <cell r="AC569" t="str">
            <v>@@</v>
          </cell>
          <cell r="AD569" t="str">
            <v>@@</v>
          </cell>
          <cell r="AL569" t="str">
            <v>@@</v>
          </cell>
        </row>
        <row r="570">
          <cell r="J570">
            <v>74700</v>
          </cell>
          <cell r="L570" t="str">
            <v>@@</v>
          </cell>
          <cell r="M570" t="str">
            <v>@@</v>
          </cell>
          <cell r="N570" t="str">
            <v>@@</v>
          </cell>
          <cell r="O570" t="str">
            <v>@@</v>
          </cell>
          <cell r="P570" t="str">
            <v>@@</v>
          </cell>
          <cell r="Q570" t="str">
            <v>@@</v>
          </cell>
          <cell r="R570" t="str">
            <v>@@</v>
          </cell>
          <cell r="S570" t="str">
            <v>@@</v>
          </cell>
          <cell r="AB570" t="str">
            <v>@@</v>
          </cell>
          <cell r="AC570" t="str">
            <v>@@</v>
          </cell>
          <cell r="AD570" t="str">
            <v>@@</v>
          </cell>
          <cell r="AL570" t="str">
            <v>@@</v>
          </cell>
        </row>
        <row r="571">
          <cell r="J571">
            <v>74800</v>
          </cell>
          <cell r="L571" t="str">
            <v>@@</v>
          </cell>
          <cell r="M571" t="str">
            <v>@@</v>
          </cell>
          <cell r="N571" t="str">
            <v>@@</v>
          </cell>
          <cell r="O571" t="str">
            <v>@@</v>
          </cell>
          <cell r="P571" t="str">
            <v>@@</v>
          </cell>
          <cell r="Q571" t="str">
            <v>@@</v>
          </cell>
          <cell r="R571" t="str">
            <v>@@</v>
          </cell>
          <cell r="S571" t="str">
            <v>@@</v>
          </cell>
          <cell r="AB571" t="str">
            <v>@@</v>
          </cell>
          <cell r="AC571" t="str">
            <v>@@</v>
          </cell>
          <cell r="AD571" t="str">
            <v>@@</v>
          </cell>
          <cell r="AL571" t="str">
            <v>@@</v>
          </cell>
        </row>
        <row r="572">
          <cell r="J572">
            <v>74900</v>
          </cell>
          <cell r="L572" t="str">
            <v>@@</v>
          </cell>
          <cell r="M572" t="str">
            <v>@@</v>
          </cell>
          <cell r="N572" t="str">
            <v>@@</v>
          </cell>
          <cell r="O572" t="str">
            <v>@@</v>
          </cell>
          <cell r="P572" t="str">
            <v>@@</v>
          </cell>
          <cell r="Q572" t="str">
            <v>@@</v>
          </cell>
          <cell r="R572" t="str">
            <v>@@</v>
          </cell>
          <cell r="S572" t="str">
            <v>@@</v>
          </cell>
          <cell r="AB572" t="str">
            <v>@@</v>
          </cell>
          <cell r="AC572" t="str">
            <v>@@</v>
          </cell>
          <cell r="AD572" t="str">
            <v>@@</v>
          </cell>
          <cell r="AL572" t="str">
            <v>@@</v>
          </cell>
        </row>
        <row r="573">
          <cell r="J573">
            <v>75000</v>
          </cell>
          <cell r="L573" t="str">
            <v>@@</v>
          </cell>
          <cell r="M573" t="str">
            <v>@@</v>
          </cell>
          <cell r="N573" t="str">
            <v>@@</v>
          </cell>
          <cell r="O573" t="str">
            <v>@@</v>
          </cell>
          <cell r="P573" t="str">
            <v>@@</v>
          </cell>
          <cell r="Q573" t="str">
            <v>@@</v>
          </cell>
          <cell r="R573" t="str">
            <v>@@</v>
          </cell>
          <cell r="S573" t="str">
            <v>@@</v>
          </cell>
          <cell r="AB573" t="str">
            <v>@@</v>
          </cell>
          <cell r="AC573" t="str">
            <v>@@</v>
          </cell>
          <cell r="AD573" t="str">
            <v>@@</v>
          </cell>
          <cell r="AL573" t="str">
            <v>@@</v>
          </cell>
        </row>
        <row r="574">
          <cell r="J574">
            <v>75100</v>
          </cell>
          <cell r="L574" t="str">
            <v>@@</v>
          </cell>
          <cell r="M574" t="str">
            <v>@@</v>
          </cell>
          <cell r="N574" t="str">
            <v>@@</v>
          </cell>
          <cell r="O574" t="str">
            <v>@@</v>
          </cell>
          <cell r="P574" t="str">
            <v>@@</v>
          </cell>
          <cell r="Q574" t="str">
            <v>@@</v>
          </cell>
          <cell r="R574" t="str">
            <v>@@</v>
          </cell>
          <cell r="S574" t="str">
            <v>@@</v>
          </cell>
          <cell r="AB574" t="str">
            <v>@@</v>
          </cell>
          <cell r="AC574" t="str">
            <v>@@</v>
          </cell>
          <cell r="AD574" t="str">
            <v>@@</v>
          </cell>
          <cell r="AL574" t="str">
            <v>@@</v>
          </cell>
        </row>
        <row r="575">
          <cell r="J575">
            <v>75200</v>
          </cell>
          <cell r="L575" t="str">
            <v>@@</v>
          </cell>
          <cell r="M575" t="str">
            <v>@@</v>
          </cell>
          <cell r="N575" t="str">
            <v>@@</v>
          </cell>
          <cell r="O575" t="str">
            <v>@@</v>
          </cell>
          <cell r="P575" t="str">
            <v>@@</v>
          </cell>
          <cell r="Q575" t="str">
            <v>@@</v>
          </cell>
          <cell r="R575" t="str">
            <v>@@</v>
          </cell>
          <cell r="S575" t="str">
            <v>@@</v>
          </cell>
          <cell r="AB575" t="str">
            <v>@@</v>
          </cell>
          <cell r="AC575" t="str">
            <v>@@</v>
          </cell>
          <cell r="AD575" t="str">
            <v>@@</v>
          </cell>
          <cell r="AL575" t="str">
            <v>@@</v>
          </cell>
        </row>
        <row r="576">
          <cell r="J576">
            <v>75300</v>
          </cell>
          <cell r="L576" t="str">
            <v>@@</v>
          </cell>
          <cell r="M576" t="str">
            <v>@@</v>
          </cell>
          <cell r="N576" t="str">
            <v>@@</v>
          </cell>
          <cell r="O576" t="str">
            <v>@@</v>
          </cell>
          <cell r="P576" t="str">
            <v>@@</v>
          </cell>
          <cell r="Q576" t="str">
            <v>@@</v>
          </cell>
          <cell r="R576" t="str">
            <v>@@</v>
          </cell>
          <cell r="S576" t="str">
            <v>@@</v>
          </cell>
          <cell r="AB576" t="str">
            <v>@@</v>
          </cell>
          <cell r="AC576">
            <v>-35.81</v>
          </cell>
          <cell r="AD576">
            <v>6.8</v>
          </cell>
          <cell r="AF576">
            <v>-35.81</v>
          </cell>
          <cell r="AG576">
            <v>6.8</v>
          </cell>
          <cell r="AL576" t="str">
            <v>@@</v>
          </cell>
        </row>
        <row r="577">
          <cell r="J577">
            <v>75400</v>
          </cell>
          <cell r="L577">
            <v>75400</v>
          </cell>
          <cell r="M577">
            <v>-35.81</v>
          </cell>
          <cell r="N577">
            <v>6.8</v>
          </cell>
          <cell r="O577">
            <v>-11.25</v>
          </cell>
          <cell r="P577">
            <v>8.9</v>
          </cell>
          <cell r="Q577">
            <v>-17.96</v>
          </cell>
          <cell r="R577">
            <v>5.2</v>
          </cell>
          <cell r="S577">
            <v>1</v>
          </cell>
          <cell r="T577">
            <v>75400</v>
          </cell>
          <cell r="U577">
            <v>-35.81</v>
          </cell>
          <cell r="V577">
            <v>6.8</v>
          </cell>
          <cell r="W577">
            <v>-11.25</v>
          </cell>
          <cell r="X577">
            <v>8.9</v>
          </cell>
          <cell r="Y577">
            <v>-17.96</v>
          </cell>
          <cell r="Z577">
            <v>5.2</v>
          </cell>
          <cell r="AA577">
            <v>1</v>
          </cell>
          <cell r="AB577">
            <v>75400</v>
          </cell>
          <cell r="AC577">
            <v>-11.25</v>
          </cell>
          <cell r="AD577">
            <v>8.9</v>
          </cell>
          <cell r="AE577">
            <v>75400</v>
          </cell>
          <cell r="AF577">
            <v>-11.25</v>
          </cell>
          <cell r="AG577">
            <v>8.9</v>
          </cell>
          <cell r="AL577">
            <v>20.9</v>
          </cell>
          <cell r="AM577">
            <v>20.9</v>
          </cell>
        </row>
        <row r="578">
          <cell r="J578">
            <v>75500</v>
          </cell>
          <cell r="L578" t="str">
            <v>@@</v>
          </cell>
          <cell r="M578" t="str">
            <v>@@</v>
          </cell>
          <cell r="N578" t="str">
            <v>@@</v>
          </cell>
          <cell r="O578" t="str">
            <v>@@</v>
          </cell>
          <cell r="P578" t="str">
            <v>@@</v>
          </cell>
          <cell r="Q578" t="str">
            <v>@@</v>
          </cell>
          <cell r="R578" t="str">
            <v>@@</v>
          </cell>
          <cell r="S578" t="str">
            <v>@@</v>
          </cell>
          <cell r="AB578" t="str">
            <v>@@</v>
          </cell>
          <cell r="AC578">
            <v>-17.96</v>
          </cell>
          <cell r="AD578">
            <v>5.2</v>
          </cell>
          <cell r="AF578">
            <v>-17.96</v>
          </cell>
          <cell r="AG578">
            <v>5.2</v>
          </cell>
          <cell r="AL578" t="str">
            <v>@@</v>
          </cell>
        </row>
        <row r="579">
          <cell r="J579">
            <v>75600</v>
          </cell>
          <cell r="L579" t="str">
            <v>@@</v>
          </cell>
          <cell r="M579" t="str">
            <v>@@</v>
          </cell>
          <cell r="N579" t="str">
            <v>@@</v>
          </cell>
          <cell r="O579" t="str">
            <v>@@</v>
          </cell>
          <cell r="P579" t="str">
            <v>@@</v>
          </cell>
          <cell r="Q579" t="str">
            <v>@@</v>
          </cell>
          <cell r="R579" t="str">
            <v>@@</v>
          </cell>
          <cell r="S579" t="str">
            <v>@@</v>
          </cell>
          <cell r="AB579" t="str">
            <v>@@</v>
          </cell>
          <cell r="AC579" t="str">
            <v>@@</v>
          </cell>
          <cell r="AD579" t="str">
            <v>@@</v>
          </cell>
          <cell r="AL579" t="str">
            <v>@@</v>
          </cell>
        </row>
        <row r="580">
          <cell r="J580">
            <v>75700</v>
          </cell>
          <cell r="L580" t="str">
            <v>@@</v>
          </cell>
          <cell r="M580" t="str">
            <v>@@</v>
          </cell>
          <cell r="N580" t="str">
            <v>@@</v>
          </cell>
          <cell r="O580" t="str">
            <v>@@</v>
          </cell>
          <cell r="P580" t="str">
            <v>@@</v>
          </cell>
          <cell r="Q580" t="str">
            <v>@@</v>
          </cell>
          <cell r="R580" t="str">
            <v>@@</v>
          </cell>
          <cell r="S580" t="str">
            <v>@@</v>
          </cell>
          <cell r="AB580" t="str">
            <v>@@</v>
          </cell>
          <cell r="AC580" t="str">
            <v>@@</v>
          </cell>
          <cell r="AD580" t="str">
            <v>@@</v>
          </cell>
          <cell r="AL580" t="str">
            <v>@@</v>
          </cell>
        </row>
        <row r="581">
          <cell r="J581">
            <v>75800</v>
          </cell>
          <cell r="L581" t="str">
            <v>@@</v>
          </cell>
          <cell r="M581" t="str">
            <v>@@</v>
          </cell>
          <cell r="N581" t="str">
            <v>@@</v>
          </cell>
          <cell r="O581" t="str">
            <v>@@</v>
          </cell>
          <cell r="P581" t="str">
            <v>@@</v>
          </cell>
          <cell r="Q581" t="str">
            <v>@@</v>
          </cell>
          <cell r="R581" t="str">
            <v>@@</v>
          </cell>
          <cell r="S581" t="str">
            <v>@@</v>
          </cell>
          <cell r="AB581" t="str">
            <v>@@</v>
          </cell>
          <cell r="AC581" t="str">
            <v>@@</v>
          </cell>
          <cell r="AD581" t="str">
            <v>@@</v>
          </cell>
          <cell r="AL581" t="str">
            <v>@@</v>
          </cell>
        </row>
        <row r="582">
          <cell r="J582">
            <v>75900</v>
          </cell>
          <cell r="L582" t="str">
            <v>@@</v>
          </cell>
          <cell r="M582" t="str">
            <v>@@</v>
          </cell>
          <cell r="N582" t="str">
            <v>@@</v>
          </cell>
          <cell r="O582" t="str">
            <v>@@</v>
          </cell>
          <cell r="P582" t="str">
            <v>@@</v>
          </cell>
          <cell r="Q582" t="str">
            <v>@@</v>
          </cell>
          <cell r="R582" t="str">
            <v>@@</v>
          </cell>
          <cell r="S582" t="str">
            <v>@@</v>
          </cell>
          <cell r="AB582" t="str">
            <v>@@</v>
          </cell>
          <cell r="AC582" t="str">
            <v>@@</v>
          </cell>
          <cell r="AD582" t="str">
            <v>@@</v>
          </cell>
          <cell r="AL582" t="str">
            <v>@@</v>
          </cell>
        </row>
        <row r="583">
          <cell r="J583">
            <v>76000</v>
          </cell>
          <cell r="L583" t="str">
            <v>@@</v>
          </cell>
          <cell r="M583" t="str">
            <v>@@</v>
          </cell>
          <cell r="N583" t="str">
            <v>@@</v>
          </cell>
          <cell r="O583" t="str">
            <v>@@</v>
          </cell>
          <cell r="P583" t="str">
            <v>@@</v>
          </cell>
          <cell r="Q583" t="str">
            <v>@@</v>
          </cell>
          <cell r="R583" t="str">
            <v>@@</v>
          </cell>
          <cell r="S583" t="str">
            <v>@@</v>
          </cell>
          <cell r="AB583" t="str">
            <v>@@</v>
          </cell>
          <cell r="AC583" t="str">
            <v>@@</v>
          </cell>
          <cell r="AD583" t="str">
            <v>@@</v>
          </cell>
          <cell r="AL583" t="str">
            <v>@@</v>
          </cell>
        </row>
        <row r="584">
          <cell r="J584">
            <v>76100</v>
          </cell>
          <cell r="L584" t="str">
            <v>@@</v>
          </cell>
          <cell r="M584" t="str">
            <v>@@</v>
          </cell>
          <cell r="N584" t="str">
            <v>@@</v>
          </cell>
          <cell r="O584" t="str">
            <v>@@</v>
          </cell>
          <cell r="P584" t="str">
            <v>@@</v>
          </cell>
          <cell r="Q584" t="str">
            <v>@@</v>
          </cell>
          <cell r="R584" t="str">
            <v>@@</v>
          </cell>
          <cell r="S584" t="str">
            <v>@@</v>
          </cell>
          <cell r="AB584" t="str">
            <v>@@</v>
          </cell>
          <cell r="AC584" t="str">
            <v>@@</v>
          </cell>
          <cell r="AD584" t="str">
            <v>@@</v>
          </cell>
          <cell r="AL584" t="str">
            <v>@@</v>
          </cell>
        </row>
        <row r="585">
          <cell r="J585">
            <v>76200</v>
          </cell>
          <cell r="L585" t="str">
            <v>@@</v>
          </cell>
          <cell r="M585" t="str">
            <v>@@</v>
          </cell>
          <cell r="N585" t="str">
            <v>@@</v>
          </cell>
          <cell r="O585" t="str">
            <v>@@</v>
          </cell>
          <cell r="P585" t="str">
            <v>@@</v>
          </cell>
          <cell r="Q585" t="str">
            <v>@@</v>
          </cell>
          <cell r="R585" t="str">
            <v>@@</v>
          </cell>
          <cell r="S585" t="str">
            <v>@@</v>
          </cell>
          <cell r="AB585" t="str">
            <v>@@</v>
          </cell>
          <cell r="AC585" t="str">
            <v>@@</v>
          </cell>
          <cell r="AD585" t="str">
            <v>@@</v>
          </cell>
          <cell r="AL585" t="str">
            <v>@@</v>
          </cell>
        </row>
        <row r="586">
          <cell r="J586">
            <v>76300</v>
          </cell>
          <cell r="L586" t="str">
            <v>@@</v>
          </cell>
          <cell r="M586" t="str">
            <v>@@</v>
          </cell>
          <cell r="N586" t="str">
            <v>@@</v>
          </cell>
          <cell r="O586" t="str">
            <v>@@</v>
          </cell>
          <cell r="P586" t="str">
            <v>@@</v>
          </cell>
          <cell r="Q586" t="str">
            <v>@@</v>
          </cell>
          <cell r="R586" t="str">
            <v>@@</v>
          </cell>
          <cell r="S586" t="str">
            <v>@@</v>
          </cell>
          <cell r="AB586" t="str">
            <v>@@</v>
          </cell>
          <cell r="AC586">
            <v>-35.46</v>
          </cell>
          <cell r="AD586">
            <v>4.9000000000000004</v>
          </cell>
          <cell r="AF586">
            <v>-35.46</v>
          </cell>
          <cell r="AG586">
            <v>4.9000000000000004</v>
          </cell>
          <cell r="AL586" t="str">
            <v>@@</v>
          </cell>
        </row>
        <row r="587">
          <cell r="J587">
            <v>76400</v>
          </cell>
          <cell r="L587">
            <v>76400</v>
          </cell>
          <cell r="M587">
            <v>-35.46</v>
          </cell>
          <cell r="N587">
            <v>4.9000000000000004</v>
          </cell>
          <cell r="O587">
            <v>-4.0999999999999996</v>
          </cell>
          <cell r="P587">
            <v>8.4</v>
          </cell>
          <cell r="Q587">
            <v>-45.83</v>
          </cell>
          <cell r="R587">
            <v>3.8</v>
          </cell>
          <cell r="S587">
            <v>1</v>
          </cell>
          <cell r="T587">
            <v>76400</v>
          </cell>
          <cell r="U587">
            <v>-35.46</v>
          </cell>
          <cell r="V587">
            <v>4.9000000000000004</v>
          </cell>
          <cell r="W587">
            <v>-4.0999999999999996</v>
          </cell>
          <cell r="X587">
            <v>8.4</v>
          </cell>
          <cell r="Y587">
            <v>-45.83</v>
          </cell>
          <cell r="Z587">
            <v>3.8</v>
          </cell>
          <cell r="AA587">
            <v>1</v>
          </cell>
          <cell r="AB587">
            <v>76400</v>
          </cell>
          <cell r="AC587">
            <v>-4.0999999999999996</v>
          </cell>
          <cell r="AD587">
            <v>8.4</v>
          </cell>
          <cell r="AE587">
            <v>76400</v>
          </cell>
          <cell r="AF587">
            <v>-4.0999999999999996</v>
          </cell>
          <cell r="AG587">
            <v>8.4</v>
          </cell>
          <cell r="AL587">
            <v>17.100000000000001</v>
          </cell>
          <cell r="AM587">
            <v>17.100000000000001</v>
          </cell>
        </row>
        <row r="588">
          <cell r="J588">
            <v>76500</v>
          </cell>
          <cell r="L588" t="str">
            <v>@@</v>
          </cell>
          <cell r="M588" t="str">
            <v>@@</v>
          </cell>
          <cell r="N588" t="str">
            <v>@@</v>
          </cell>
          <cell r="O588" t="str">
            <v>@@</v>
          </cell>
          <cell r="P588" t="str">
            <v>@@</v>
          </cell>
          <cell r="Q588" t="str">
            <v>@@</v>
          </cell>
          <cell r="R588" t="str">
            <v>@@</v>
          </cell>
          <cell r="S588" t="str">
            <v>@@</v>
          </cell>
          <cell r="AB588" t="str">
            <v>@@</v>
          </cell>
          <cell r="AC588">
            <v>-45.83</v>
          </cell>
          <cell r="AD588">
            <v>3.8</v>
          </cell>
          <cell r="AF588">
            <v>-45.83</v>
          </cell>
          <cell r="AG588">
            <v>3.8</v>
          </cell>
          <cell r="AL588" t="str">
            <v>@@</v>
          </cell>
        </row>
        <row r="589">
          <cell r="J589">
            <v>76600</v>
          </cell>
          <cell r="L589" t="str">
            <v>@@</v>
          </cell>
          <cell r="M589" t="str">
            <v>@@</v>
          </cell>
          <cell r="N589" t="str">
            <v>@@</v>
          </cell>
          <cell r="O589" t="str">
            <v>@@</v>
          </cell>
          <cell r="P589" t="str">
            <v>@@</v>
          </cell>
          <cell r="Q589" t="str">
            <v>@@</v>
          </cell>
          <cell r="R589" t="str">
            <v>@@</v>
          </cell>
          <cell r="S589" t="str">
            <v>@@</v>
          </cell>
          <cell r="AB589" t="str">
            <v>@@</v>
          </cell>
          <cell r="AC589" t="str">
            <v>@@</v>
          </cell>
          <cell r="AD589" t="str">
            <v>@@</v>
          </cell>
          <cell r="AL589" t="str">
            <v>@@</v>
          </cell>
        </row>
        <row r="590">
          <cell r="J590">
            <v>76700</v>
          </cell>
          <cell r="L590" t="str">
            <v>@@</v>
          </cell>
          <cell r="M590" t="str">
            <v>@@</v>
          </cell>
          <cell r="N590" t="str">
            <v>@@</v>
          </cell>
          <cell r="O590" t="str">
            <v>@@</v>
          </cell>
          <cell r="P590" t="str">
            <v>@@</v>
          </cell>
          <cell r="Q590" t="str">
            <v>@@</v>
          </cell>
          <cell r="R590" t="str">
            <v>@@</v>
          </cell>
          <cell r="S590" t="str">
            <v>@@</v>
          </cell>
          <cell r="AB590" t="str">
            <v>@@</v>
          </cell>
          <cell r="AC590" t="str">
            <v>@@</v>
          </cell>
          <cell r="AD590" t="str">
            <v>@@</v>
          </cell>
          <cell r="AL590" t="str">
            <v>@@</v>
          </cell>
        </row>
        <row r="591">
          <cell r="J591">
            <v>76800</v>
          </cell>
          <cell r="L591" t="str">
            <v>@@</v>
          </cell>
          <cell r="M591" t="str">
            <v>@@</v>
          </cell>
          <cell r="N591" t="str">
            <v>@@</v>
          </cell>
          <cell r="O591" t="str">
            <v>@@</v>
          </cell>
          <cell r="P591" t="str">
            <v>@@</v>
          </cell>
          <cell r="Q591" t="str">
            <v>@@</v>
          </cell>
          <cell r="R591" t="str">
            <v>@@</v>
          </cell>
          <cell r="S591" t="str">
            <v>@@</v>
          </cell>
          <cell r="AB591" t="str">
            <v>@@</v>
          </cell>
          <cell r="AC591" t="str">
            <v>@@</v>
          </cell>
          <cell r="AD591" t="str">
            <v>@@</v>
          </cell>
          <cell r="AL591" t="str">
            <v>@@</v>
          </cell>
        </row>
        <row r="592">
          <cell r="J592">
            <v>76900</v>
          </cell>
          <cell r="L592" t="str">
            <v>@@</v>
          </cell>
          <cell r="M592" t="str">
            <v>@@</v>
          </cell>
          <cell r="N592" t="str">
            <v>@@</v>
          </cell>
          <cell r="O592" t="str">
            <v>@@</v>
          </cell>
          <cell r="P592" t="str">
            <v>@@</v>
          </cell>
          <cell r="Q592" t="str">
            <v>@@</v>
          </cell>
          <cell r="R592" t="str">
            <v>@@</v>
          </cell>
          <cell r="S592" t="str">
            <v>@@</v>
          </cell>
          <cell r="AB592" t="str">
            <v>@@</v>
          </cell>
          <cell r="AC592" t="str">
            <v>@@</v>
          </cell>
          <cell r="AD592" t="str">
            <v>@@</v>
          </cell>
          <cell r="AL592" t="str">
            <v>@@</v>
          </cell>
        </row>
        <row r="593">
          <cell r="J593">
            <v>77000</v>
          </cell>
          <cell r="L593" t="str">
            <v>@@</v>
          </cell>
          <cell r="M593" t="str">
            <v>@@</v>
          </cell>
          <cell r="N593" t="str">
            <v>@@</v>
          </cell>
          <cell r="O593" t="str">
            <v>@@</v>
          </cell>
          <cell r="P593" t="str">
            <v>@@</v>
          </cell>
          <cell r="Q593" t="str">
            <v>@@</v>
          </cell>
          <cell r="R593" t="str">
            <v>@@</v>
          </cell>
          <cell r="S593" t="str">
            <v>@@</v>
          </cell>
          <cell r="AB593" t="str">
            <v>@@</v>
          </cell>
          <cell r="AC593" t="str">
            <v>@@</v>
          </cell>
          <cell r="AD593" t="str">
            <v>@@</v>
          </cell>
          <cell r="AL593" t="str">
            <v>@@</v>
          </cell>
        </row>
        <row r="594">
          <cell r="J594">
            <v>77100</v>
          </cell>
          <cell r="L594" t="str">
            <v>@@</v>
          </cell>
          <cell r="M594" t="str">
            <v>@@</v>
          </cell>
          <cell r="N594" t="str">
            <v>@@</v>
          </cell>
          <cell r="O594" t="str">
            <v>@@</v>
          </cell>
          <cell r="P594" t="str">
            <v>@@</v>
          </cell>
          <cell r="Q594" t="str">
            <v>@@</v>
          </cell>
          <cell r="R594" t="str">
            <v>@@</v>
          </cell>
          <cell r="S594" t="str">
            <v>@@</v>
          </cell>
          <cell r="AB594" t="str">
            <v>@@</v>
          </cell>
          <cell r="AC594" t="str">
            <v>@@</v>
          </cell>
          <cell r="AD594" t="str">
            <v>@@</v>
          </cell>
          <cell r="AL594" t="str">
            <v>@@</v>
          </cell>
        </row>
        <row r="595">
          <cell r="J595">
            <v>77200</v>
          </cell>
          <cell r="L595" t="str">
            <v>@@</v>
          </cell>
          <cell r="M595" t="str">
            <v>@@</v>
          </cell>
          <cell r="N595" t="str">
            <v>@@</v>
          </cell>
          <cell r="O595" t="str">
            <v>@@</v>
          </cell>
          <cell r="P595" t="str">
            <v>@@</v>
          </cell>
          <cell r="Q595" t="str">
            <v>@@</v>
          </cell>
          <cell r="R595" t="str">
            <v>@@</v>
          </cell>
          <cell r="S595" t="str">
            <v>@@</v>
          </cell>
          <cell r="AB595" t="str">
            <v>@@</v>
          </cell>
          <cell r="AC595" t="str">
            <v>@@</v>
          </cell>
          <cell r="AD595" t="str">
            <v>@@</v>
          </cell>
          <cell r="AL595" t="str">
            <v>@@</v>
          </cell>
        </row>
        <row r="596">
          <cell r="J596">
            <v>77300</v>
          </cell>
          <cell r="L596" t="str">
            <v>@@</v>
          </cell>
          <cell r="M596" t="str">
            <v>@@</v>
          </cell>
          <cell r="N596" t="str">
            <v>@@</v>
          </cell>
          <cell r="O596" t="str">
            <v>@@</v>
          </cell>
          <cell r="P596" t="str">
            <v>@@</v>
          </cell>
          <cell r="Q596" t="str">
            <v>@@</v>
          </cell>
          <cell r="R596" t="str">
            <v>@@</v>
          </cell>
          <cell r="S596" t="str">
            <v>@@</v>
          </cell>
          <cell r="AB596" t="str">
            <v>@@</v>
          </cell>
          <cell r="AC596">
            <v>-14.73</v>
          </cell>
          <cell r="AD596">
            <v>8.5</v>
          </cell>
          <cell r="AF596">
            <v>-14.73</v>
          </cell>
          <cell r="AG596">
            <v>8.5</v>
          </cell>
          <cell r="AL596" t="str">
            <v>@@</v>
          </cell>
        </row>
        <row r="597">
          <cell r="J597">
            <v>77400</v>
          </cell>
          <cell r="L597">
            <v>77400</v>
          </cell>
          <cell r="M597">
            <v>-14.73</v>
          </cell>
          <cell r="N597">
            <v>8.5</v>
          </cell>
          <cell r="O597">
            <v>-47.14</v>
          </cell>
          <cell r="P597">
            <v>3.3</v>
          </cell>
          <cell r="Q597">
            <v>-6.76</v>
          </cell>
          <cell r="R597">
            <v>4</v>
          </cell>
          <cell r="S597">
            <v>1</v>
          </cell>
          <cell r="T597">
            <v>77400</v>
          </cell>
          <cell r="U597">
            <v>-14.73</v>
          </cell>
          <cell r="V597">
            <v>8.5</v>
          </cell>
          <cell r="W597">
            <v>-47.14</v>
          </cell>
          <cell r="X597">
            <v>3.3</v>
          </cell>
          <cell r="Y597">
            <v>-6.76</v>
          </cell>
          <cell r="Z597">
            <v>4</v>
          </cell>
          <cell r="AA597">
            <v>1</v>
          </cell>
          <cell r="AB597">
            <v>77400</v>
          </cell>
          <cell r="AC597">
            <v>-47.14</v>
          </cell>
          <cell r="AD597">
            <v>3.3</v>
          </cell>
          <cell r="AE597">
            <v>77400</v>
          </cell>
          <cell r="AF597">
            <v>-47.14</v>
          </cell>
          <cell r="AG597">
            <v>3.3</v>
          </cell>
          <cell r="AL597">
            <v>15.8</v>
          </cell>
          <cell r="AM597">
            <v>15.8</v>
          </cell>
        </row>
        <row r="598">
          <cell r="J598">
            <v>77500</v>
          </cell>
          <cell r="L598" t="str">
            <v>@@</v>
          </cell>
          <cell r="M598" t="str">
            <v>@@</v>
          </cell>
          <cell r="N598" t="str">
            <v>@@</v>
          </cell>
          <cell r="O598" t="str">
            <v>@@</v>
          </cell>
          <cell r="P598" t="str">
            <v>@@</v>
          </cell>
          <cell r="Q598" t="str">
            <v>@@</v>
          </cell>
          <cell r="R598" t="str">
            <v>@@</v>
          </cell>
          <cell r="S598" t="str">
            <v>@@</v>
          </cell>
          <cell r="AB598" t="str">
            <v>@@</v>
          </cell>
          <cell r="AC598">
            <v>-6.76</v>
          </cell>
          <cell r="AD598">
            <v>4</v>
          </cell>
          <cell r="AF598">
            <v>-6.76</v>
          </cell>
          <cell r="AG598">
            <v>4</v>
          </cell>
          <cell r="AL598" t="str">
            <v>@@</v>
          </cell>
        </row>
        <row r="599">
          <cell r="J599">
            <v>77600</v>
          </cell>
          <cell r="L599" t="str">
            <v>@@</v>
          </cell>
          <cell r="M599" t="str">
            <v>@@</v>
          </cell>
          <cell r="N599" t="str">
            <v>@@</v>
          </cell>
          <cell r="O599" t="str">
            <v>@@</v>
          </cell>
          <cell r="P599" t="str">
            <v>@@</v>
          </cell>
          <cell r="Q599" t="str">
            <v>@@</v>
          </cell>
          <cell r="R599" t="str">
            <v>@@</v>
          </cell>
          <cell r="S599" t="str">
            <v>@@</v>
          </cell>
          <cell r="AB599" t="str">
            <v>@@</v>
          </cell>
          <cell r="AC599" t="str">
            <v>@@</v>
          </cell>
          <cell r="AD599" t="str">
            <v>@@</v>
          </cell>
          <cell r="AL599" t="str">
            <v>@@</v>
          </cell>
        </row>
        <row r="600">
          <cell r="J600">
            <v>77700</v>
          </cell>
          <cell r="L600" t="str">
            <v>@@</v>
          </cell>
          <cell r="M600" t="str">
            <v>@@</v>
          </cell>
          <cell r="N600" t="str">
            <v>@@</v>
          </cell>
          <cell r="O600" t="str">
            <v>@@</v>
          </cell>
          <cell r="P600" t="str">
            <v>@@</v>
          </cell>
          <cell r="Q600" t="str">
            <v>@@</v>
          </cell>
          <cell r="R600" t="str">
            <v>@@</v>
          </cell>
          <cell r="S600" t="str">
            <v>@@</v>
          </cell>
          <cell r="AB600" t="str">
            <v>@@</v>
          </cell>
          <cell r="AC600" t="str">
            <v>@@</v>
          </cell>
          <cell r="AD600" t="str">
            <v>@@</v>
          </cell>
          <cell r="AL600" t="str">
            <v>@@</v>
          </cell>
        </row>
        <row r="601">
          <cell r="J601">
            <v>77800</v>
          </cell>
          <cell r="L601" t="str">
            <v>@@</v>
          </cell>
          <cell r="M601" t="str">
            <v>@@</v>
          </cell>
          <cell r="N601" t="str">
            <v>@@</v>
          </cell>
          <cell r="O601" t="str">
            <v>@@</v>
          </cell>
          <cell r="P601" t="str">
            <v>@@</v>
          </cell>
          <cell r="Q601" t="str">
            <v>@@</v>
          </cell>
          <cell r="R601" t="str">
            <v>@@</v>
          </cell>
          <cell r="S601" t="str">
            <v>@@</v>
          </cell>
          <cell r="AB601" t="str">
            <v>@@</v>
          </cell>
          <cell r="AC601" t="str">
            <v>@@</v>
          </cell>
          <cell r="AD601" t="str">
            <v>@@</v>
          </cell>
          <cell r="AL601" t="str">
            <v>@@</v>
          </cell>
        </row>
        <row r="602">
          <cell r="J602">
            <v>77900</v>
          </cell>
          <cell r="L602" t="str">
            <v>@@</v>
          </cell>
          <cell r="M602" t="str">
            <v>@@</v>
          </cell>
          <cell r="N602" t="str">
            <v>@@</v>
          </cell>
          <cell r="O602" t="str">
            <v>@@</v>
          </cell>
          <cell r="P602" t="str">
            <v>@@</v>
          </cell>
          <cell r="Q602" t="str">
            <v>@@</v>
          </cell>
          <cell r="R602" t="str">
            <v>@@</v>
          </cell>
          <cell r="S602" t="str">
            <v>@@</v>
          </cell>
          <cell r="AB602" t="str">
            <v>@@</v>
          </cell>
          <cell r="AC602" t="str">
            <v>@@</v>
          </cell>
          <cell r="AD602" t="str">
            <v>@@</v>
          </cell>
          <cell r="AL602" t="str">
            <v>@@</v>
          </cell>
        </row>
        <row r="603">
          <cell r="J603">
            <v>78000</v>
          </cell>
          <cell r="L603" t="str">
            <v>@@</v>
          </cell>
          <cell r="M603" t="str">
            <v>@@</v>
          </cell>
          <cell r="N603" t="str">
            <v>@@</v>
          </cell>
          <cell r="O603" t="str">
            <v>@@</v>
          </cell>
          <cell r="P603" t="str">
            <v>@@</v>
          </cell>
          <cell r="Q603" t="str">
            <v>@@</v>
          </cell>
          <cell r="R603" t="str">
            <v>@@</v>
          </cell>
          <cell r="S603" t="str">
            <v>@@</v>
          </cell>
          <cell r="AB603" t="str">
            <v>@@</v>
          </cell>
          <cell r="AC603" t="str">
            <v>@@</v>
          </cell>
          <cell r="AD603" t="str">
            <v>@@</v>
          </cell>
          <cell r="AL603" t="str">
            <v>@@</v>
          </cell>
        </row>
        <row r="604">
          <cell r="J604">
            <v>78100</v>
          </cell>
          <cell r="L604" t="str">
            <v>@@</v>
          </cell>
          <cell r="M604" t="str">
            <v>@@</v>
          </cell>
          <cell r="N604" t="str">
            <v>@@</v>
          </cell>
          <cell r="O604" t="str">
            <v>@@</v>
          </cell>
          <cell r="P604" t="str">
            <v>@@</v>
          </cell>
          <cell r="Q604" t="str">
            <v>@@</v>
          </cell>
          <cell r="R604" t="str">
            <v>@@</v>
          </cell>
          <cell r="S604" t="str">
            <v>@@</v>
          </cell>
          <cell r="AB604" t="str">
            <v>@@</v>
          </cell>
          <cell r="AC604" t="str">
            <v>@@</v>
          </cell>
          <cell r="AD604" t="str">
            <v>@@</v>
          </cell>
          <cell r="AL604" t="str">
            <v>@@</v>
          </cell>
        </row>
        <row r="605">
          <cell r="J605">
            <v>78200</v>
          </cell>
          <cell r="L605" t="str">
            <v>@@</v>
          </cell>
          <cell r="M605" t="str">
            <v>@@</v>
          </cell>
          <cell r="N605" t="str">
            <v>@@</v>
          </cell>
          <cell r="O605" t="str">
            <v>@@</v>
          </cell>
          <cell r="P605" t="str">
            <v>@@</v>
          </cell>
          <cell r="Q605" t="str">
            <v>@@</v>
          </cell>
          <cell r="R605" t="str">
            <v>@@</v>
          </cell>
          <cell r="S605" t="str">
            <v>@@</v>
          </cell>
          <cell r="AB605" t="str">
            <v>@@</v>
          </cell>
          <cell r="AC605" t="str">
            <v>@@</v>
          </cell>
          <cell r="AD605" t="str">
            <v>@@</v>
          </cell>
          <cell r="AL605" t="str">
            <v>@@</v>
          </cell>
        </row>
        <row r="606">
          <cell r="J606">
            <v>78300</v>
          </cell>
          <cell r="L606" t="str">
            <v>@@</v>
          </cell>
          <cell r="M606" t="str">
            <v>@@</v>
          </cell>
          <cell r="N606" t="str">
            <v>@@</v>
          </cell>
          <cell r="O606" t="str">
            <v>@@</v>
          </cell>
          <cell r="P606" t="str">
            <v>@@</v>
          </cell>
          <cell r="Q606" t="str">
            <v>@@</v>
          </cell>
          <cell r="R606" t="str">
            <v>@@</v>
          </cell>
          <cell r="S606" t="str">
            <v>@@</v>
          </cell>
          <cell r="AB606" t="str">
            <v>@@</v>
          </cell>
          <cell r="AC606" t="str">
            <v>@@</v>
          </cell>
          <cell r="AD606" t="str">
            <v>@@</v>
          </cell>
          <cell r="AL606" t="str">
            <v>@@</v>
          </cell>
        </row>
        <row r="607">
          <cell r="J607">
            <v>78400</v>
          </cell>
          <cell r="L607" t="str">
            <v>@@</v>
          </cell>
          <cell r="M607" t="str">
            <v>@@</v>
          </cell>
          <cell r="N607" t="str">
            <v>@@</v>
          </cell>
          <cell r="O607" t="str">
            <v>@@</v>
          </cell>
          <cell r="P607" t="str">
            <v>@@</v>
          </cell>
          <cell r="Q607" t="str">
            <v>@@</v>
          </cell>
          <cell r="R607" t="str">
            <v>@@</v>
          </cell>
          <cell r="S607" t="str">
            <v>@@</v>
          </cell>
          <cell r="AB607" t="str">
            <v>@@</v>
          </cell>
          <cell r="AC607">
            <v>-9.9700000000000006</v>
          </cell>
          <cell r="AD607">
            <v>4</v>
          </cell>
          <cell r="AF607">
            <v>-9.9700000000000006</v>
          </cell>
          <cell r="AG607">
            <v>4</v>
          </cell>
          <cell r="AL607" t="str">
            <v>@@</v>
          </cell>
        </row>
        <row r="608">
          <cell r="J608">
            <v>78500</v>
          </cell>
          <cell r="L608">
            <v>78500</v>
          </cell>
          <cell r="M608">
            <v>-9.9700000000000006</v>
          </cell>
          <cell r="N608">
            <v>4</v>
          </cell>
          <cell r="O608">
            <v>-26.11</v>
          </cell>
          <cell r="P608">
            <v>3.9</v>
          </cell>
          <cell r="Q608">
            <v>-56.9</v>
          </cell>
          <cell r="R608">
            <v>3.1</v>
          </cell>
          <cell r="S608">
            <v>1</v>
          </cell>
          <cell r="T608">
            <v>78500</v>
          </cell>
          <cell r="U608">
            <v>-9.9700000000000006</v>
          </cell>
          <cell r="V608">
            <v>4</v>
          </cell>
          <cell r="W608">
            <v>-26.11</v>
          </cell>
          <cell r="X608">
            <v>3.9</v>
          </cell>
          <cell r="Y608">
            <v>-56.9</v>
          </cell>
          <cell r="Z608">
            <v>3.1</v>
          </cell>
          <cell r="AA608">
            <v>1</v>
          </cell>
          <cell r="AB608">
            <v>78500</v>
          </cell>
          <cell r="AC608">
            <v>-26.11</v>
          </cell>
          <cell r="AD608">
            <v>3.9</v>
          </cell>
          <cell r="AE608">
            <v>78500</v>
          </cell>
          <cell r="AF608">
            <v>-26.11</v>
          </cell>
          <cell r="AG608">
            <v>3.9</v>
          </cell>
          <cell r="AL608">
            <v>11</v>
          </cell>
          <cell r="AM608">
            <v>11</v>
          </cell>
        </row>
        <row r="609">
          <cell r="J609">
            <v>78600</v>
          </cell>
          <cell r="L609" t="str">
            <v>@@</v>
          </cell>
          <cell r="M609" t="str">
            <v>@@</v>
          </cell>
          <cell r="N609" t="str">
            <v>@@</v>
          </cell>
          <cell r="O609" t="str">
            <v>@@</v>
          </cell>
          <cell r="P609" t="str">
            <v>@@</v>
          </cell>
          <cell r="Q609" t="str">
            <v>@@</v>
          </cell>
          <cell r="R609" t="str">
            <v>@@</v>
          </cell>
          <cell r="S609" t="str">
            <v>@@</v>
          </cell>
          <cell r="AB609" t="str">
            <v>@@</v>
          </cell>
          <cell r="AC609">
            <v>-56.9</v>
          </cell>
          <cell r="AD609">
            <v>3.1</v>
          </cell>
          <cell r="AF609">
            <v>-56.9</v>
          </cell>
          <cell r="AG609">
            <v>3.1</v>
          </cell>
          <cell r="AL609" t="str">
            <v>@@</v>
          </cell>
        </row>
        <row r="610">
          <cell r="J610">
            <v>78700</v>
          </cell>
          <cell r="L610" t="str">
            <v>@@</v>
          </cell>
          <cell r="M610" t="str">
            <v>@@</v>
          </cell>
          <cell r="N610" t="str">
            <v>@@</v>
          </cell>
          <cell r="O610" t="str">
            <v>@@</v>
          </cell>
          <cell r="P610" t="str">
            <v>@@</v>
          </cell>
          <cell r="Q610" t="str">
            <v>@@</v>
          </cell>
          <cell r="R610" t="str">
            <v>@@</v>
          </cell>
          <cell r="S610" t="str">
            <v>@@</v>
          </cell>
          <cell r="AB610" t="str">
            <v>@@</v>
          </cell>
          <cell r="AC610" t="str">
            <v>@@</v>
          </cell>
          <cell r="AD610" t="str">
            <v>@@</v>
          </cell>
          <cell r="AL610" t="str">
            <v>@@</v>
          </cell>
        </row>
        <row r="611">
          <cell r="J611">
            <v>78800</v>
          </cell>
          <cell r="L611" t="str">
            <v>@@</v>
          </cell>
          <cell r="M611" t="str">
            <v>@@</v>
          </cell>
          <cell r="N611" t="str">
            <v>@@</v>
          </cell>
          <cell r="O611" t="str">
            <v>@@</v>
          </cell>
          <cell r="P611" t="str">
            <v>@@</v>
          </cell>
          <cell r="Q611" t="str">
            <v>@@</v>
          </cell>
          <cell r="R611" t="str">
            <v>@@</v>
          </cell>
          <cell r="S611" t="str">
            <v>@@</v>
          </cell>
          <cell r="AB611" t="str">
            <v>@@</v>
          </cell>
          <cell r="AC611" t="str">
            <v>@@</v>
          </cell>
          <cell r="AD611" t="str">
            <v>@@</v>
          </cell>
          <cell r="AL611" t="str">
            <v>@@</v>
          </cell>
        </row>
        <row r="612">
          <cell r="J612">
            <v>78900</v>
          </cell>
          <cell r="L612" t="str">
            <v>@@</v>
          </cell>
          <cell r="M612" t="str">
            <v>@@</v>
          </cell>
          <cell r="N612" t="str">
            <v>@@</v>
          </cell>
          <cell r="O612" t="str">
            <v>@@</v>
          </cell>
          <cell r="P612" t="str">
            <v>@@</v>
          </cell>
          <cell r="Q612" t="str">
            <v>@@</v>
          </cell>
          <cell r="R612" t="str">
            <v>@@</v>
          </cell>
          <cell r="S612" t="str">
            <v>@@</v>
          </cell>
          <cell r="AB612" t="str">
            <v>@@</v>
          </cell>
          <cell r="AC612" t="str">
            <v>@@</v>
          </cell>
          <cell r="AD612" t="str">
            <v>@@</v>
          </cell>
          <cell r="AL612" t="str">
            <v>@@</v>
          </cell>
        </row>
        <row r="613">
          <cell r="J613">
            <v>79000</v>
          </cell>
          <cell r="L613" t="str">
            <v>@@</v>
          </cell>
          <cell r="M613" t="str">
            <v>@@</v>
          </cell>
          <cell r="N613" t="str">
            <v>@@</v>
          </cell>
          <cell r="O613" t="str">
            <v>@@</v>
          </cell>
          <cell r="P613" t="str">
            <v>@@</v>
          </cell>
          <cell r="Q613" t="str">
            <v>@@</v>
          </cell>
          <cell r="R613" t="str">
            <v>@@</v>
          </cell>
          <cell r="S613" t="str">
            <v>@@</v>
          </cell>
          <cell r="AB613" t="str">
            <v>@@</v>
          </cell>
          <cell r="AC613" t="str">
            <v>@@</v>
          </cell>
          <cell r="AD613" t="str">
            <v>@@</v>
          </cell>
          <cell r="AL613" t="str">
            <v>@@</v>
          </cell>
        </row>
        <row r="614">
          <cell r="J614">
            <v>79100</v>
          </cell>
          <cell r="L614" t="str">
            <v>@@</v>
          </cell>
          <cell r="M614" t="str">
            <v>@@</v>
          </cell>
          <cell r="N614" t="str">
            <v>@@</v>
          </cell>
          <cell r="O614" t="str">
            <v>@@</v>
          </cell>
          <cell r="P614" t="str">
            <v>@@</v>
          </cell>
          <cell r="Q614" t="str">
            <v>@@</v>
          </cell>
          <cell r="R614" t="str">
            <v>@@</v>
          </cell>
          <cell r="S614" t="str">
            <v>@@</v>
          </cell>
          <cell r="AB614" t="str">
            <v>@@</v>
          </cell>
          <cell r="AC614" t="str">
            <v>@@</v>
          </cell>
          <cell r="AD614" t="str">
            <v>@@</v>
          </cell>
          <cell r="AL614" t="str">
            <v>@@</v>
          </cell>
        </row>
        <row r="615">
          <cell r="J615">
            <v>79200</v>
          </cell>
          <cell r="L615" t="str">
            <v>@@</v>
          </cell>
          <cell r="M615" t="str">
            <v>@@</v>
          </cell>
          <cell r="N615" t="str">
            <v>@@</v>
          </cell>
          <cell r="O615" t="str">
            <v>@@</v>
          </cell>
          <cell r="P615" t="str">
            <v>@@</v>
          </cell>
          <cell r="Q615" t="str">
            <v>@@</v>
          </cell>
          <cell r="R615" t="str">
            <v>@@</v>
          </cell>
          <cell r="S615" t="str">
            <v>@@</v>
          </cell>
          <cell r="AB615" t="str">
            <v>@@</v>
          </cell>
          <cell r="AC615" t="str">
            <v>@@</v>
          </cell>
          <cell r="AD615" t="str">
            <v>@@</v>
          </cell>
          <cell r="AL615" t="str">
            <v>@@</v>
          </cell>
        </row>
        <row r="616">
          <cell r="J616">
            <v>79300</v>
          </cell>
          <cell r="L616" t="str">
            <v>@@</v>
          </cell>
          <cell r="M616" t="str">
            <v>@@</v>
          </cell>
          <cell r="N616" t="str">
            <v>@@</v>
          </cell>
          <cell r="O616" t="str">
            <v>@@</v>
          </cell>
          <cell r="P616" t="str">
            <v>@@</v>
          </cell>
          <cell r="Q616" t="str">
            <v>@@</v>
          </cell>
          <cell r="R616" t="str">
            <v>@@</v>
          </cell>
          <cell r="S616" t="str">
            <v>@@</v>
          </cell>
          <cell r="AB616" t="str">
            <v>@@</v>
          </cell>
          <cell r="AC616" t="str">
            <v>@@</v>
          </cell>
          <cell r="AD616" t="str">
            <v>@@</v>
          </cell>
          <cell r="AL616" t="str">
            <v>@@</v>
          </cell>
        </row>
        <row r="617">
          <cell r="J617">
            <v>79400</v>
          </cell>
          <cell r="L617" t="str">
            <v>@@</v>
          </cell>
          <cell r="M617" t="str">
            <v>@@</v>
          </cell>
          <cell r="N617" t="str">
            <v>@@</v>
          </cell>
          <cell r="O617" t="str">
            <v>@@</v>
          </cell>
          <cell r="P617" t="str">
            <v>@@</v>
          </cell>
          <cell r="Q617" t="str">
            <v>@@</v>
          </cell>
          <cell r="R617" t="str">
            <v>@@</v>
          </cell>
          <cell r="S617" t="str">
            <v>@@</v>
          </cell>
          <cell r="AB617" t="str">
            <v>@@</v>
          </cell>
          <cell r="AC617" t="str">
            <v>@@</v>
          </cell>
          <cell r="AD617" t="str">
            <v>@@</v>
          </cell>
          <cell r="AL617" t="str">
            <v>@@</v>
          </cell>
        </row>
        <row r="618">
          <cell r="J618">
            <v>79500</v>
          </cell>
          <cell r="L618" t="str">
            <v>@@</v>
          </cell>
          <cell r="M618" t="str">
            <v>@@</v>
          </cell>
          <cell r="N618" t="str">
            <v>@@</v>
          </cell>
          <cell r="O618" t="str">
            <v>@@</v>
          </cell>
          <cell r="P618" t="str">
            <v>@@</v>
          </cell>
          <cell r="Q618" t="str">
            <v>@@</v>
          </cell>
          <cell r="R618" t="str">
            <v>@@</v>
          </cell>
          <cell r="S618" t="str">
            <v>@@</v>
          </cell>
          <cell r="AB618" t="str">
            <v>@@</v>
          </cell>
          <cell r="AC618">
            <v>0</v>
          </cell>
          <cell r="AD618">
            <v>0</v>
          </cell>
          <cell r="AL618" t="str">
            <v>@@</v>
          </cell>
        </row>
        <row r="619">
          <cell r="J619">
            <v>79600</v>
          </cell>
          <cell r="L619">
            <v>79600</v>
          </cell>
          <cell r="M619">
            <v>0</v>
          </cell>
          <cell r="N619">
            <v>0</v>
          </cell>
          <cell r="O619">
            <v>-1.91</v>
          </cell>
          <cell r="P619">
            <v>4.3</v>
          </cell>
          <cell r="Q619">
            <v>-28.29</v>
          </cell>
          <cell r="R619">
            <v>3.9</v>
          </cell>
          <cell r="S619">
            <v>1</v>
          </cell>
          <cell r="T619">
            <v>79600</v>
          </cell>
          <cell r="W619">
            <v>-1.91</v>
          </cell>
          <cell r="X619">
            <v>4.3</v>
          </cell>
          <cell r="Y619">
            <v>-28.29</v>
          </cell>
          <cell r="Z619">
            <v>3.9</v>
          </cell>
          <cell r="AA619">
            <v>1</v>
          </cell>
          <cell r="AB619">
            <v>79600</v>
          </cell>
          <cell r="AC619">
            <v>-1.91</v>
          </cell>
          <cell r="AD619">
            <v>4.3</v>
          </cell>
          <cell r="AE619">
            <v>79600</v>
          </cell>
          <cell r="AF619">
            <v>-1.91</v>
          </cell>
          <cell r="AG619">
            <v>4.3</v>
          </cell>
          <cell r="AL619">
            <v>8.1999999999999993</v>
          </cell>
          <cell r="AM619">
            <v>8.1999999999999993</v>
          </cell>
        </row>
        <row r="620">
          <cell r="J620">
            <v>79700</v>
          </cell>
          <cell r="L620" t="str">
            <v>@@</v>
          </cell>
          <cell r="M620" t="str">
            <v>@@</v>
          </cell>
          <cell r="N620" t="str">
            <v>@@</v>
          </cell>
          <cell r="O620" t="str">
            <v>@@</v>
          </cell>
          <cell r="P620" t="str">
            <v>@@</v>
          </cell>
          <cell r="Q620" t="str">
            <v>@@</v>
          </cell>
          <cell r="R620" t="str">
            <v>@@</v>
          </cell>
          <cell r="S620" t="str">
            <v>@@</v>
          </cell>
          <cell r="AB620" t="str">
            <v>@@</v>
          </cell>
          <cell r="AC620">
            <v>-28.29</v>
          </cell>
          <cell r="AD620">
            <v>3.9</v>
          </cell>
          <cell r="AF620">
            <v>-28.29</v>
          </cell>
          <cell r="AG620">
            <v>3.9</v>
          </cell>
          <cell r="AL620" t="str">
            <v>@@</v>
          </cell>
        </row>
        <row r="621">
          <cell r="J621">
            <v>79800</v>
          </cell>
          <cell r="L621" t="str">
            <v>@@</v>
          </cell>
          <cell r="M621" t="str">
            <v>@@</v>
          </cell>
          <cell r="N621" t="str">
            <v>@@</v>
          </cell>
          <cell r="O621" t="str">
            <v>@@</v>
          </cell>
          <cell r="P621" t="str">
            <v>@@</v>
          </cell>
          <cell r="Q621" t="str">
            <v>@@</v>
          </cell>
          <cell r="R621" t="str">
            <v>@@</v>
          </cell>
          <cell r="S621" t="str">
            <v>@@</v>
          </cell>
          <cell r="AB621" t="str">
            <v>@@</v>
          </cell>
          <cell r="AC621" t="str">
            <v>@@</v>
          </cell>
          <cell r="AD621" t="str">
            <v>@@</v>
          </cell>
          <cell r="AL621" t="str">
            <v>@@</v>
          </cell>
        </row>
        <row r="622">
          <cell r="J622">
            <v>79900</v>
          </cell>
          <cell r="L622" t="str">
            <v>@@</v>
          </cell>
          <cell r="M622" t="str">
            <v>@@</v>
          </cell>
          <cell r="N622" t="str">
            <v>@@</v>
          </cell>
          <cell r="O622" t="str">
            <v>@@</v>
          </cell>
          <cell r="P622" t="str">
            <v>@@</v>
          </cell>
          <cell r="Q622" t="str">
            <v>@@</v>
          </cell>
          <cell r="R622" t="str">
            <v>@@</v>
          </cell>
          <cell r="S622" t="str">
            <v>@@</v>
          </cell>
          <cell r="AB622" t="str">
            <v>@@</v>
          </cell>
          <cell r="AC622" t="str">
            <v>@@</v>
          </cell>
          <cell r="AD622" t="str">
            <v>@@</v>
          </cell>
          <cell r="AL622" t="str">
            <v>@@</v>
          </cell>
        </row>
        <row r="623">
          <cell r="J623">
            <v>80000</v>
          </cell>
          <cell r="L623" t="str">
            <v>@@</v>
          </cell>
          <cell r="M623" t="str">
            <v>@@</v>
          </cell>
          <cell r="N623" t="str">
            <v>@@</v>
          </cell>
          <cell r="O623" t="str">
            <v>@@</v>
          </cell>
          <cell r="P623" t="str">
            <v>@@</v>
          </cell>
          <cell r="Q623" t="str">
            <v>@@</v>
          </cell>
          <cell r="R623" t="str">
            <v>@@</v>
          </cell>
          <cell r="S623" t="str">
            <v>@@</v>
          </cell>
          <cell r="AB623" t="str">
            <v>@@</v>
          </cell>
          <cell r="AC623" t="str">
            <v>@@</v>
          </cell>
          <cell r="AD623" t="str">
            <v>@@</v>
          </cell>
          <cell r="AL623" t="str">
            <v>@@</v>
          </cell>
        </row>
        <row r="624">
          <cell r="J624">
            <v>80100</v>
          </cell>
          <cell r="L624" t="str">
            <v>@@</v>
          </cell>
          <cell r="M624" t="str">
            <v>@@</v>
          </cell>
          <cell r="N624" t="str">
            <v>@@</v>
          </cell>
          <cell r="O624" t="str">
            <v>@@</v>
          </cell>
          <cell r="P624" t="str">
            <v>@@</v>
          </cell>
          <cell r="Q624" t="str">
            <v>@@</v>
          </cell>
          <cell r="R624" t="str">
            <v>@@</v>
          </cell>
          <cell r="S624" t="str">
            <v>@@</v>
          </cell>
          <cell r="AB624" t="str">
            <v>@@</v>
          </cell>
          <cell r="AC624" t="str">
            <v>@@</v>
          </cell>
          <cell r="AD624" t="str">
            <v>@@</v>
          </cell>
          <cell r="AL624" t="str">
            <v>@@</v>
          </cell>
        </row>
        <row r="625">
          <cell r="J625">
            <v>80200</v>
          </cell>
          <cell r="L625" t="str">
            <v>@@</v>
          </cell>
          <cell r="M625" t="str">
            <v>@@</v>
          </cell>
          <cell r="N625" t="str">
            <v>@@</v>
          </cell>
          <cell r="O625" t="str">
            <v>@@</v>
          </cell>
          <cell r="P625" t="str">
            <v>@@</v>
          </cell>
          <cell r="Q625" t="str">
            <v>@@</v>
          </cell>
          <cell r="R625" t="str">
            <v>@@</v>
          </cell>
          <cell r="S625" t="str">
            <v>@@</v>
          </cell>
          <cell r="AB625" t="str">
            <v>@@</v>
          </cell>
          <cell r="AC625" t="str">
            <v>@@</v>
          </cell>
          <cell r="AD625" t="str">
            <v>@@</v>
          </cell>
          <cell r="AL625" t="str">
            <v>@@</v>
          </cell>
        </row>
        <row r="626">
          <cell r="J626">
            <v>80300</v>
          </cell>
          <cell r="L626" t="str">
            <v>@@</v>
          </cell>
          <cell r="M626" t="str">
            <v>@@</v>
          </cell>
          <cell r="N626" t="str">
            <v>@@</v>
          </cell>
          <cell r="O626" t="str">
            <v>@@</v>
          </cell>
          <cell r="P626" t="str">
            <v>@@</v>
          </cell>
          <cell r="Q626" t="str">
            <v>@@</v>
          </cell>
          <cell r="R626" t="str">
            <v>@@</v>
          </cell>
          <cell r="S626" t="str">
            <v>@@</v>
          </cell>
          <cell r="AB626" t="str">
            <v>@@</v>
          </cell>
          <cell r="AC626" t="str">
            <v>@@</v>
          </cell>
          <cell r="AD626" t="str">
            <v>@@</v>
          </cell>
          <cell r="AL626" t="str">
            <v>@@</v>
          </cell>
        </row>
        <row r="627">
          <cell r="J627">
            <v>80400</v>
          </cell>
          <cell r="L627" t="str">
            <v>@@</v>
          </cell>
          <cell r="M627" t="str">
            <v>@@</v>
          </cell>
          <cell r="N627" t="str">
            <v>@@</v>
          </cell>
          <cell r="O627" t="str">
            <v>@@</v>
          </cell>
          <cell r="P627" t="str">
            <v>@@</v>
          </cell>
          <cell r="Q627" t="str">
            <v>@@</v>
          </cell>
          <cell r="R627" t="str">
            <v>@@</v>
          </cell>
          <cell r="S627" t="str">
            <v>@@</v>
          </cell>
          <cell r="AB627" t="str">
            <v>@@</v>
          </cell>
          <cell r="AC627" t="str">
            <v>@@</v>
          </cell>
          <cell r="AD627" t="str">
            <v>@@</v>
          </cell>
          <cell r="AL627" t="str">
            <v>@@</v>
          </cell>
        </row>
        <row r="628">
          <cell r="J628">
            <v>80500</v>
          </cell>
          <cell r="L628" t="str">
            <v>@@</v>
          </cell>
          <cell r="M628" t="str">
            <v>@@</v>
          </cell>
          <cell r="N628" t="str">
            <v>@@</v>
          </cell>
          <cell r="O628" t="str">
            <v>@@</v>
          </cell>
          <cell r="P628" t="str">
            <v>@@</v>
          </cell>
          <cell r="Q628" t="str">
            <v>@@</v>
          </cell>
          <cell r="R628" t="str">
            <v>@@</v>
          </cell>
          <cell r="S628" t="str">
            <v>@@</v>
          </cell>
          <cell r="AB628" t="str">
            <v>@@</v>
          </cell>
          <cell r="AC628" t="str">
            <v>@@</v>
          </cell>
          <cell r="AD628" t="str">
            <v>@@</v>
          </cell>
          <cell r="AL628" t="str">
            <v>@@</v>
          </cell>
        </row>
        <row r="629">
          <cell r="J629">
            <v>80600</v>
          </cell>
          <cell r="L629" t="str">
            <v>@@</v>
          </cell>
          <cell r="M629" t="str">
            <v>@@</v>
          </cell>
          <cell r="N629" t="str">
            <v>@@</v>
          </cell>
          <cell r="O629" t="str">
            <v>@@</v>
          </cell>
          <cell r="P629" t="str">
            <v>@@</v>
          </cell>
          <cell r="Q629" t="str">
            <v>@@</v>
          </cell>
          <cell r="R629" t="str">
            <v>@@</v>
          </cell>
          <cell r="S629" t="str">
            <v>@@</v>
          </cell>
          <cell r="AB629" t="str">
            <v>@@</v>
          </cell>
          <cell r="AC629">
            <v>0</v>
          </cell>
          <cell r="AD629">
            <v>0</v>
          </cell>
          <cell r="AL629" t="str">
            <v>@@</v>
          </cell>
        </row>
        <row r="630">
          <cell r="J630">
            <v>80700</v>
          </cell>
          <cell r="L630">
            <v>80700</v>
          </cell>
          <cell r="M630">
            <v>0</v>
          </cell>
          <cell r="N630">
            <v>0</v>
          </cell>
          <cell r="O630">
            <v>-21.14</v>
          </cell>
          <cell r="P630">
            <v>4.5999999999999996</v>
          </cell>
          <cell r="Q630">
            <v>-8.65</v>
          </cell>
          <cell r="R630">
            <v>3.5</v>
          </cell>
          <cell r="S630">
            <v>1</v>
          </cell>
          <cell r="T630">
            <v>80700</v>
          </cell>
          <cell r="W630">
            <v>-21.14</v>
          </cell>
          <cell r="X630">
            <v>4.5999999999999996</v>
          </cell>
          <cell r="Y630">
            <v>-8.65</v>
          </cell>
          <cell r="Z630">
            <v>3.5</v>
          </cell>
          <cell r="AA630">
            <v>1</v>
          </cell>
          <cell r="AB630">
            <v>80700</v>
          </cell>
          <cell r="AC630">
            <v>-21.14</v>
          </cell>
          <cell r="AD630">
            <v>4.5999999999999996</v>
          </cell>
          <cell r="AE630">
            <v>80700</v>
          </cell>
          <cell r="AF630">
            <v>-21.14</v>
          </cell>
          <cell r="AG630">
            <v>4.5999999999999996</v>
          </cell>
          <cell r="AL630">
            <v>8.1</v>
          </cell>
          <cell r="AM630">
            <v>8.1</v>
          </cell>
        </row>
        <row r="631">
          <cell r="J631">
            <v>80800</v>
          </cell>
          <cell r="L631" t="str">
            <v>@@</v>
          </cell>
          <cell r="M631" t="str">
            <v>@@</v>
          </cell>
          <cell r="N631" t="str">
            <v>@@</v>
          </cell>
          <cell r="O631" t="str">
            <v>@@</v>
          </cell>
          <cell r="P631" t="str">
            <v>@@</v>
          </cell>
          <cell r="Q631" t="str">
            <v>@@</v>
          </cell>
          <cell r="R631" t="str">
            <v>@@</v>
          </cell>
          <cell r="S631" t="str">
            <v>@@</v>
          </cell>
          <cell r="AB631" t="str">
            <v>@@</v>
          </cell>
          <cell r="AC631">
            <v>-8.65</v>
          </cell>
          <cell r="AD631">
            <v>3.5</v>
          </cell>
          <cell r="AF631">
            <v>-8.65</v>
          </cell>
          <cell r="AG631">
            <v>3.5</v>
          </cell>
          <cell r="AL631" t="str">
            <v>@@</v>
          </cell>
        </row>
        <row r="632">
          <cell r="J632">
            <v>80900</v>
          </cell>
          <cell r="L632" t="str">
            <v>@@</v>
          </cell>
          <cell r="M632" t="str">
            <v>@@</v>
          </cell>
          <cell r="N632" t="str">
            <v>@@</v>
          </cell>
          <cell r="O632" t="str">
            <v>@@</v>
          </cell>
          <cell r="P632" t="str">
            <v>@@</v>
          </cell>
          <cell r="Q632" t="str">
            <v>@@</v>
          </cell>
          <cell r="R632" t="str">
            <v>@@</v>
          </cell>
          <cell r="S632" t="str">
            <v>@@</v>
          </cell>
          <cell r="AB632" t="str">
            <v>@@</v>
          </cell>
          <cell r="AC632" t="str">
            <v>@@</v>
          </cell>
          <cell r="AD632" t="str">
            <v>@@</v>
          </cell>
          <cell r="AL632" t="str">
            <v>@@</v>
          </cell>
        </row>
        <row r="633">
          <cell r="J633">
            <v>81000</v>
          </cell>
          <cell r="L633" t="str">
            <v>@@</v>
          </cell>
          <cell r="M633" t="str">
            <v>@@</v>
          </cell>
          <cell r="N633" t="str">
            <v>@@</v>
          </cell>
          <cell r="O633" t="str">
            <v>@@</v>
          </cell>
          <cell r="P633" t="str">
            <v>@@</v>
          </cell>
          <cell r="Q633" t="str">
            <v>@@</v>
          </cell>
          <cell r="R633" t="str">
            <v>@@</v>
          </cell>
          <cell r="S633" t="str">
            <v>@@</v>
          </cell>
          <cell r="AB633" t="str">
            <v>@@</v>
          </cell>
          <cell r="AC633" t="str">
            <v>@@</v>
          </cell>
          <cell r="AD633" t="str">
            <v>@@</v>
          </cell>
          <cell r="AL633" t="str">
            <v>@@</v>
          </cell>
        </row>
        <row r="634">
          <cell r="J634">
            <v>81100</v>
          </cell>
          <cell r="L634" t="str">
            <v>@@</v>
          </cell>
          <cell r="M634" t="str">
            <v>@@</v>
          </cell>
          <cell r="N634" t="str">
            <v>@@</v>
          </cell>
          <cell r="O634" t="str">
            <v>@@</v>
          </cell>
          <cell r="P634" t="str">
            <v>@@</v>
          </cell>
          <cell r="Q634" t="str">
            <v>@@</v>
          </cell>
          <cell r="R634" t="str">
            <v>@@</v>
          </cell>
          <cell r="S634" t="str">
            <v>@@</v>
          </cell>
          <cell r="AB634" t="str">
            <v>@@</v>
          </cell>
          <cell r="AC634" t="str">
            <v>@@</v>
          </cell>
          <cell r="AD634" t="str">
            <v>@@</v>
          </cell>
          <cell r="AL634" t="str">
            <v>@@</v>
          </cell>
        </row>
        <row r="635">
          <cell r="J635">
            <v>81200</v>
          </cell>
          <cell r="L635" t="str">
            <v>@@</v>
          </cell>
          <cell r="M635" t="str">
            <v>@@</v>
          </cell>
          <cell r="N635" t="str">
            <v>@@</v>
          </cell>
          <cell r="O635" t="str">
            <v>@@</v>
          </cell>
          <cell r="P635" t="str">
            <v>@@</v>
          </cell>
          <cell r="Q635" t="str">
            <v>@@</v>
          </cell>
          <cell r="R635" t="str">
            <v>@@</v>
          </cell>
          <cell r="S635" t="str">
            <v>@@</v>
          </cell>
          <cell r="AB635" t="str">
            <v>@@</v>
          </cell>
          <cell r="AC635" t="str">
            <v>@@</v>
          </cell>
          <cell r="AD635" t="str">
            <v>@@</v>
          </cell>
          <cell r="AL635" t="str">
            <v>@@</v>
          </cell>
        </row>
        <row r="636">
          <cell r="J636">
            <v>81300</v>
          </cell>
          <cell r="L636" t="str">
            <v>@@</v>
          </cell>
          <cell r="M636" t="str">
            <v>@@</v>
          </cell>
          <cell r="N636" t="str">
            <v>@@</v>
          </cell>
          <cell r="O636" t="str">
            <v>@@</v>
          </cell>
          <cell r="P636" t="str">
            <v>@@</v>
          </cell>
          <cell r="Q636" t="str">
            <v>@@</v>
          </cell>
          <cell r="R636" t="str">
            <v>@@</v>
          </cell>
          <cell r="S636" t="str">
            <v>@@</v>
          </cell>
          <cell r="AB636" t="str">
            <v>@@</v>
          </cell>
          <cell r="AC636" t="str">
            <v>@@</v>
          </cell>
          <cell r="AD636" t="str">
            <v>@@</v>
          </cell>
          <cell r="AL636" t="str">
            <v>@@</v>
          </cell>
        </row>
        <row r="637">
          <cell r="J637">
            <v>81400</v>
          </cell>
          <cell r="L637" t="str">
            <v>@@</v>
          </cell>
          <cell r="M637" t="str">
            <v>@@</v>
          </cell>
          <cell r="N637" t="str">
            <v>@@</v>
          </cell>
          <cell r="O637" t="str">
            <v>@@</v>
          </cell>
          <cell r="P637" t="str">
            <v>@@</v>
          </cell>
          <cell r="Q637" t="str">
            <v>@@</v>
          </cell>
          <cell r="R637" t="str">
            <v>@@</v>
          </cell>
          <cell r="S637" t="str">
            <v>@@</v>
          </cell>
          <cell r="AB637" t="str">
            <v>@@</v>
          </cell>
          <cell r="AC637" t="str">
            <v>@@</v>
          </cell>
          <cell r="AD637" t="str">
            <v>@@</v>
          </cell>
          <cell r="AL637" t="str">
            <v>@@</v>
          </cell>
        </row>
        <row r="638">
          <cell r="J638">
            <v>81500</v>
          </cell>
          <cell r="L638" t="str">
            <v>@@</v>
          </cell>
          <cell r="M638" t="str">
            <v>@@</v>
          </cell>
          <cell r="N638" t="str">
            <v>@@</v>
          </cell>
          <cell r="O638" t="str">
            <v>@@</v>
          </cell>
          <cell r="P638" t="str">
            <v>@@</v>
          </cell>
          <cell r="Q638" t="str">
            <v>@@</v>
          </cell>
          <cell r="R638" t="str">
            <v>@@</v>
          </cell>
          <cell r="S638" t="str">
            <v>@@</v>
          </cell>
          <cell r="AB638" t="str">
            <v>@@</v>
          </cell>
          <cell r="AC638" t="str">
            <v>@@</v>
          </cell>
          <cell r="AD638" t="str">
            <v>@@</v>
          </cell>
          <cell r="AL638" t="str">
            <v>@@</v>
          </cell>
        </row>
        <row r="639">
          <cell r="J639">
            <v>81600</v>
          </cell>
          <cell r="L639" t="str">
            <v>@@</v>
          </cell>
          <cell r="M639" t="str">
            <v>@@</v>
          </cell>
          <cell r="N639" t="str">
            <v>@@</v>
          </cell>
          <cell r="O639" t="str">
            <v>@@</v>
          </cell>
          <cell r="P639" t="str">
            <v>@@</v>
          </cell>
          <cell r="Q639" t="str">
            <v>@@</v>
          </cell>
          <cell r="R639" t="str">
            <v>@@</v>
          </cell>
          <cell r="S639" t="str">
            <v>@@</v>
          </cell>
          <cell r="AB639" t="str">
            <v>@@</v>
          </cell>
          <cell r="AC639" t="str">
            <v>@@</v>
          </cell>
          <cell r="AD639" t="str">
            <v>@@</v>
          </cell>
          <cell r="AL639" t="str">
            <v>@@</v>
          </cell>
        </row>
        <row r="640">
          <cell r="J640">
            <v>81700</v>
          </cell>
          <cell r="L640" t="str">
            <v>@@</v>
          </cell>
          <cell r="M640" t="str">
            <v>@@</v>
          </cell>
          <cell r="N640" t="str">
            <v>@@</v>
          </cell>
          <cell r="O640" t="str">
            <v>@@</v>
          </cell>
          <cell r="P640" t="str">
            <v>@@</v>
          </cell>
          <cell r="Q640" t="str">
            <v>@@</v>
          </cell>
          <cell r="R640" t="str">
            <v>@@</v>
          </cell>
          <cell r="S640" t="str">
            <v>@@</v>
          </cell>
          <cell r="AB640" t="str">
            <v>@@</v>
          </cell>
          <cell r="AC640" t="str">
            <v>@@</v>
          </cell>
          <cell r="AD640" t="str">
            <v>@@</v>
          </cell>
          <cell r="AL640" t="str">
            <v>@@</v>
          </cell>
        </row>
        <row r="641">
          <cell r="J641">
            <v>81800</v>
          </cell>
          <cell r="L641" t="str">
            <v>@@</v>
          </cell>
          <cell r="M641" t="str">
            <v>@@</v>
          </cell>
          <cell r="N641" t="str">
            <v>@@</v>
          </cell>
          <cell r="O641" t="str">
            <v>@@</v>
          </cell>
          <cell r="P641" t="str">
            <v>@@</v>
          </cell>
          <cell r="Q641" t="str">
            <v>@@</v>
          </cell>
          <cell r="R641" t="str">
            <v>@@</v>
          </cell>
          <cell r="S641" t="str">
            <v>@@</v>
          </cell>
          <cell r="AB641" t="str">
            <v>@@</v>
          </cell>
          <cell r="AC641" t="str">
            <v>@@</v>
          </cell>
          <cell r="AD641" t="str">
            <v>@@</v>
          </cell>
          <cell r="AL641" t="str">
            <v>@@</v>
          </cell>
        </row>
        <row r="642">
          <cell r="J642">
            <v>81900</v>
          </cell>
          <cell r="L642" t="str">
            <v>@@</v>
          </cell>
          <cell r="M642" t="str">
            <v>@@</v>
          </cell>
          <cell r="N642" t="str">
            <v>@@</v>
          </cell>
          <cell r="O642" t="str">
            <v>@@</v>
          </cell>
          <cell r="P642" t="str">
            <v>@@</v>
          </cell>
          <cell r="Q642" t="str">
            <v>@@</v>
          </cell>
          <cell r="R642" t="str">
            <v>@@</v>
          </cell>
          <cell r="S642" t="str">
            <v>@@</v>
          </cell>
          <cell r="AB642" t="str">
            <v>@@</v>
          </cell>
          <cell r="AC642" t="str">
            <v>@@</v>
          </cell>
          <cell r="AD642" t="str">
            <v>@@</v>
          </cell>
          <cell r="AL642" t="str">
            <v>@@</v>
          </cell>
        </row>
        <row r="643">
          <cell r="J643">
            <v>82000</v>
          </cell>
          <cell r="L643" t="str">
            <v>@@</v>
          </cell>
          <cell r="M643" t="str">
            <v>@@</v>
          </cell>
          <cell r="N643" t="str">
            <v>@@</v>
          </cell>
          <cell r="O643" t="str">
            <v>@@</v>
          </cell>
          <cell r="P643" t="str">
            <v>@@</v>
          </cell>
          <cell r="Q643" t="str">
            <v>@@</v>
          </cell>
          <cell r="R643" t="str">
            <v>@@</v>
          </cell>
          <cell r="S643" t="str">
            <v>@@</v>
          </cell>
          <cell r="AB643" t="str">
            <v>@@</v>
          </cell>
          <cell r="AC643" t="str">
            <v>@@</v>
          </cell>
          <cell r="AD643" t="str">
            <v>@@</v>
          </cell>
          <cell r="AL643" t="str">
            <v>@@</v>
          </cell>
        </row>
        <row r="644">
          <cell r="J644">
            <v>82100</v>
          </cell>
          <cell r="L644" t="str">
            <v>@@</v>
          </cell>
          <cell r="M644" t="str">
            <v>@@</v>
          </cell>
          <cell r="N644" t="str">
            <v>@@</v>
          </cell>
          <cell r="O644" t="str">
            <v>@@</v>
          </cell>
          <cell r="P644" t="str">
            <v>@@</v>
          </cell>
          <cell r="Q644" t="str">
            <v>@@</v>
          </cell>
          <cell r="R644" t="str">
            <v>@@</v>
          </cell>
          <cell r="S644" t="str">
            <v>@@</v>
          </cell>
          <cell r="AB644" t="str">
            <v>@@</v>
          </cell>
          <cell r="AC644" t="str">
            <v>@@</v>
          </cell>
          <cell r="AD644" t="str">
            <v>@@</v>
          </cell>
          <cell r="AL644" t="str">
            <v>@@</v>
          </cell>
        </row>
        <row r="645">
          <cell r="J645">
            <v>82200</v>
          </cell>
          <cell r="L645" t="str">
            <v>@@</v>
          </cell>
          <cell r="M645" t="str">
            <v>@@</v>
          </cell>
          <cell r="N645" t="str">
            <v>@@</v>
          </cell>
          <cell r="O645" t="str">
            <v>@@</v>
          </cell>
          <cell r="P645" t="str">
            <v>@@</v>
          </cell>
          <cell r="Q645" t="str">
            <v>@@</v>
          </cell>
          <cell r="R645" t="str">
            <v>@@</v>
          </cell>
          <cell r="S645" t="str">
            <v>@@</v>
          </cell>
          <cell r="AB645" t="str">
            <v>@@</v>
          </cell>
          <cell r="AC645" t="str">
            <v>@@</v>
          </cell>
          <cell r="AD645" t="str">
            <v>@@</v>
          </cell>
          <cell r="AL645" t="str">
            <v>@@</v>
          </cell>
        </row>
        <row r="646">
          <cell r="J646">
            <v>82300</v>
          </cell>
          <cell r="L646" t="str">
            <v>@@</v>
          </cell>
          <cell r="M646" t="str">
            <v>@@</v>
          </cell>
          <cell r="N646" t="str">
            <v>@@</v>
          </cell>
          <cell r="O646" t="str">
            <v>@@</v>
          </cell>
          <cell r="P646" t="str">
            <v>@@</v>
          </cell>
          <cell r="Q646" t="str">
            <v>@@</v>
          </cell>
          <cell r="R646" t="str">
            <v>@@</v>
          </cell>
          <cell r="S646" t="str">
            <v>@@</v>
          </cell>
          <cell r="AB646" t="str">
            <v>@@</v>
          </cell>
          <cell r="AC646" t="str">
            <v>@@</v>
          </cell>
          <cell r="AD646" t="str">
            <v>@@</v>
          </cell>
          <cell r="AL646" t="str">
            <v>@@</v>
          </cell>
        </row>
        <row r="647">
          <cell r="J647">
            <v>82400</v>
          </cell>
          <cell r="L647" t="str">
            <v>@@</v>
          </cell>
          <cell r="M647" t="str">
            <v>@@</v>
          </cell>
          <cell r="N647" t="str">
            <v>@@</v>
          </cell>
          <cell r="O647" t="str">
            <v>@@</v>
          </cell>
          <cell r="P647" t="str">
            <v>@@</v>
          </cell>
          <cell r="Q647" t="str">
            <v>@@</v>
          </cell>
          <cell r="R647" t="str">
            <v>@@</v>
          </cell>
          <cell r="S647" t="str">
            <v>@@</v>
          </cell>
          <cell r="AB647" t="str">
            <v>@@</v>
          </cell>
          <cell r="AC647">
            <v>0</v>
          </cell>
          <cell r="AD647">
            <v>0</v>
          </cell>
          <cell r="AL647" t="str">
            <v>@@</v>
          </cell>
        </row>
        <row r="648">
          <cell r="J648">
            <v>82500</v>
          </cell>
          <cell r="L648">
            <v>82500</v>
          </cell>
          <cell r="M648">
            <v>0</v>
          </cell>
          <cell r="N648">
            <v>0</v>
          </cell>
          <cell r="O648">
            <v>0</v>
          </cell>
          <cell r="P648">
            <v>3.5</v>
          </cell>
          <cell r="Q648">
            <v>-17.600000000000001</v>
          </cell>
          <cell r="R648">
            <v>5.8</v>
          </cell>
          <cell r="S648">
            <v>1</v>
          </cell>
          <cell r="T648">
            <v>82500</v>
          </cell>
          <cell r="X648">
            <v>3.5</v>
          </cell>
          <cell r="Y648">
            <v>-17.600000000000001</v>
          </cell>
          <cell r="Z648">
            <v>5.8</v>
          </cell>
          <cell r="AA648">
            <v>1</v>
          </cell>
          <cell r="AB648">
            <v>82500</v>
          </cell>
          <cell r="AC648">
            <v>0</v>
          </cell>
          <cell r="AD648">
            <v>3.5</v>
          </cell>
          <cell r="AE648">
            <v>82500</v>
          </cell>
          <cell r="AG648">
            <v>3.5</v>
          </cell>
          <cell r="AL648">
            <v>9.3000000000000007</v>
          </cell>
          <cell r="AM648">
            <v>9.3000000000000007</v>
          </cell>
        </row>
        <row r="649">
          <cell r="J649">
            <v>82600</v>
          </cell>
          <cell r="L649" t="str">
            <v>@@</v>
          </cell>
          <cell r="M649" t="str">
            <v>@@</v>
          </cell>
          <cell r="N649" t="str">
            <v>@@</v>
          </cell>
          <cell r="O649" t="str">
            <v>@@</v>
          </cell>
          <cell r="P649" t="str">
            <v>@@</v>
          </cell>
          <cell r="Q649" t="str">
            <v>@@</v>
          </cell>
          <cell r="R649" t="str">
            <v>@@</v>
          </cell>
          <cell r="S649" t="str">
            <v>@@</v>
          </cell>
          <cell r="AB649" t="str">
            <v>@@</v>
          </cell>
          <cell r="AC649">
            <v>-17.600000000000001</v>
          </cell>
          <cell r="AD649">
            <v>5.8</v>
          </cell>
          <cell r="AF649">
            <v>-17.600000000000001</v>
          </cell>
          <cell r="AG649">
            <v>5.8</v>
          </cell>
          <cell r="AL649" t="str">
            <v>@@</v>
          </cell>
        </row>
        <row r="650">
          <cell r="J650">
            <v>82700</v>
          </cell>
          <cell r="L650" t="str">
            <v>@@</v>
          </cell>
          <cell r="M650" t="str">
            <v>@@</v>
          </cell>
          <cell r="N650" t="str">
            <v>@@</v>
          </cell>
          <cell r="O650" t="str">
            <v>@@</v>
          </cell>
          <cell r="P650" t="str">
            <v>@@</v>
          </cell>
          <cell r="Q650" t="str">
            <v>@@</v>
          </cell>
          <cell r="R650" t="str">
            <v>@@</v>
          </cell>
          <cell r="S650" t="str">
            <v>@@</v>
          </cell>
          <cell r="AB650" t="str">
            <v>@@</v>
          </cell>
          <cell r="AC650" t="str">
            <v>@@</v>
          </cell>
          <cell r="AD650" t="str">
            <v>@@</v>
          </cell>
          <cell r="AL650" t="str">
            <v>@@</v>
          </cell>
        </row>
        <row r="651">
          <cell r="J651">
            <v>82800</v>
          </cell>
          <cell r="L651" t="str">
            <v>@@</v>
          </cell>
          <cell r="M651" t="str">
            <v>@@</v>
          </cell>
          <cell r="N651" t="str">
            <v>@@</v>
          </cell>
          <cell r="O651" t="str">
            <v>@@</v>
          </cell>
          <cell r="P651" t="str">
            <v>@@</v>
          </cell>
          <cell r="Q651" t="str">
            <v>@@</v>
          </cell>
          <cell r="R651" t="str">
            <v>@@</v>
          </cell>
          <cell r="S651" t="str">
            <v>@@</v>
          </cell>
          <cell r="AB651" t="str">
            <v>@@</v>
          </cell>
          <cell r="AC651" t="str">
            <v>@@</v>
          </cell>
          <cell r="AD651" t="str">
            <v>@@</v>
          </cell>
          <cell r="AL651" t="str">
            <v>@@</v>
          </cell>
        </row>
        <row r="652">
          <cell r="J652">
            <v>82900</v>
          </cell>
          <cell r="L652" t="str">
            <v>@@</v>
          </cell>
          <cell r="M652" t="str">
            <v>@@</v>
          </cell>
          <cell r="N652" t="str">
            <v>@@</v>
          </cell>
          <cell r="O652" t="str">
            <v>@@</v>
          </cell>
          <cell r="P652" t="str">
            <v>@@</v>
          </cell>
          <cell r="Q652" t="str">
            <v>@@</v>
          </cell>
          <cell r="R652" t="str">
            <v>@@</v>
          </cell>
          <cell r="S652" t="str">
            <v>@@</v>
          </cell>
          <cell r="AB652" t="str">
            <v>@@</v>
          </cell>
          <cell r="AC652" t="str">
            <v>@@</v>
          </cell>
          <cell r="AD652" t="str">
            <v>@@</v>
          </cell>
          <cell r="AL652" t="str">
            <v>@@</v>
          </cell>
        </row>
        <row r="653">
          <cell r="J653">
            <v>83000</v>
          </cell>
          <cell r="L653" t="str">
            <v>@@</v>
          </cell>
          <cell r="M653" t="str">
            <v>@@</v>
          </cell>
          <cell r="N653" t="str">
            <v>@@</v>
          </cell>
          <cell r="O653" t="str">
            <v>@@</v>
          </cell>
          <cell r="P653" t="str">
            <v>@@</v>
          </cell>
          <cell r="Q653" t="str">
            <v>@@</v>
          </cell>
          <cell r="R653" t="str">
            <v>@@</v>
          </cell>
          <cell r="S653" t="str">
            <v>@@</v>
          </cell>
          <cell r="AB653" t="str">
            <v>@@</v>
          </cell>
          <cell r="AC653" t="str">
            <v>@@</v>
          </cell>
          <cell r="AD653" t="str">
            <v>@@</v>
          </cell>
          <cell r="AL653" t="str">
            <v>@@</v>
          </cell>
        </row>
        <row r="654">
          <cell r="J654">
            <v>83100</v>
          </cell>
          <cell r="L654" t="str">
            <v>@@</v>
          </cell>
          <cell r="M654" t="str">
            <v>@@</v>
          </cell>
          <cell r="N654" t="str">
            <v>@@</v>
          </cell>
          <cell r="O654" t="str">
            <v>@@</v>
          </cell>
          <cell r="P654" t="str">
            <v>@@</v>
          </cell>
          <cell r="Q654" t="str">
            <v>@@</v>
          </cell>
          <cell r="R654" t="str">
            <v>@@</v>
          </cell>
          <cell r="S654" t="str">
            <v>@@</v>
          </cell>
          <cell r="AB654" t="str">
            <v>@@</v>
          </cell>
          <cell r="AC654" t="str">
            <v>@@</v>
          </cell>
          <cell r="AD654" t="str">
            <v>@@</v>
          </cell>
          <cell r="AL654" t="str">
            <v>@@</v>
          </cell>
        </row>
        <row r="655">
          <cell r="J655">
            <v>83200</v>
          </cell>
          <cell r="L655" t="str">
            <v>@@</v>
          </cell>
          <cell r="M655" t="str">
            <v>@@</v>
          </cell>
          <cell r="N655" t="str">
            <v>@@</v>
          </cell>
          <cell r="O655" t="str">
            <v>@@</v>
          </cell>
          <cell r="P655" t="str">
            <v>@@</v>
          </cell>
          <cell r="Q655" t="str">
            <v>@@</v>
          </cell>
          <cell r="R655" t="str">
            <v>@@</v>
          </cell>
          <cell r="S655" t="str">
            <v>@@</v>
          </cell>
          <cell r="AB655" t="str">
            <v>@@</v>
          </cell>
          <cell r="AC655" t="str">
            <v>@@</v>
          </cell>
          <cell r="AD655" t="str">
            <v>@@</v>
          </cell>
          <cell r="AL655" t="str">
            <v>@@</v>
          </cell>
        </row>
        <row r="656">
          <cell r="J656">
            <v>83300</v>
          </cell>
          <cell r="L656" t="str">
            <v>@@</v>
          </cell>
          <cell r="M656" t="str">
            <v>@@</v>
          </cell>
          <cell r="N656" t="str">
            <v>@@</v>
          </cell>
          <cell r="O656" t="str">
            <v>@@</v>
          </cell>
          <cell r="P656" t="str">
            <v>@@</v>
          </cell>
          <cell r="Q656" t="str">
            <v>@@</v>
          </cell>
          <cell r="R656" t="str">
            <v>@@</v>
          </cell>
          <cell r="S656" t="str">
            <v>@@</v>
          </cell>
          <cell r="AB656" t="str">
            <v>@@</v>
          </cell>
          <cell r="AC656">
            <v>0</v>
          </cell>
          <cell r="AD656">
            <v>0</v>
          </cell>
          <cell r="AL656" t="str">
            <v>@@</v>
          </cell>
        </row>
        <row r="657">
          <cell r="J657">
            <v>83400</v>
          </cell>
          <cell r="L657">
            <v>83400</v>
          </cell>
          <cell r="M657">
            <v>0</v>
          </cell>
          <cell r="N657">
            <v>0</v>
          </cell>
          <cell r="O657">
            <v>-55.428571428571431</v>
          </cell>
          <cell r="P657">
            <v>4.0999999999999996</v>
          </cell>
          <cell r="Q657">
            <v>-6.6</v>
          </cell>
          <cell r="R657">
            <v>5.3</v>
          </cell>
          <cell r="S657">
            <v>1</v>
          </cell>
          <cell r="T657">
            <v>83400</v>
          </cell>
          <cell r="W657">
            <v>-55.428571428571431</v>
          </cell>
          <cell r="X657">
            <v>4.0999999999999996</v>
          </cell>
          <cell r="Y657">
            <v>-6.6</v>
          </cell>
          <cell r="Z657">
            <v>5.3</v>
          </cell>
          <cell r="AA657">
            <v>1</v>
          </cell>
          <cell r="AB657">
            <v>83400</v>
          </cell>
          <cell r="AC657">
            <v>-55.428571428571431</v>
          </cell>
          <cell r="AD657">
            <v>4.0999999999999996</v>
          </cell>
          <cell r="AE657">
            <v>83400</v>
          </cell>
          <cell r="AF657">
            <v>-55.428571428571431</v>
          </cell>
          <cell r="AG657">
            <v>4.0999999999999996</v>
          </cell>
          <cell r="AL657">
            <v>9.3999999999999986</v>
          </cell>
          <cell r="AM657">
            <v>9.4</v>
          </cell>
        </row>
        <row r="658">
          <cell r="J658">
            <v>83500</v>
          </cell>
          <cell r="L658" t="str">
            <v>@@</v>
          </cell>
          <cell r="M658" t="str">
            <v>@@</v>
          </cell>
          <cell r="N658" t="str">
            <v>@@</v>
          </cell>
          <cell r="O658" t="str">
            <v>@@</v>
          </cell>
          <cell r="P658" t="str">
            <v>@@</v>
          </cell>
          <cell r="Q658" t="str">
            <v>@@</v>
          </cell>
          <cell r="R658" t="str">
            <v>@@</v>
          </cell>
          <cell r="S658" t="str">
            <v>@@</v>
          </cell>
          <cell r="AB658" t="str">
            <v>@@</v>
          </cell>
          <cell r="AC658">
            <v>-6.6</v>
          </cell>
          <cell r="AD658">
            <v>5.3</v>
          </cell>
          <cell r="AF658">
            <v>-6.6</v>
          </cell>
          <cell r="AG658">
            <v>5.3</v>
          </cell>
          <cell r="AL658" t="str">
            <v>@@</v>
          </cell>
        </row>
        <row r="659">
          <cell r="J659">
            <v>83600</v>
          </cell>
          <cell r="L659" t="str">
            <v>@@</v>
          </cell>
          <cell r="M659" t="str">
            <v>@@</v>
          </cell>
          <cell r="N659" t="str">
            <v>@@</v>
          </cell>
          <cell r="O659" t="str">
            <v>@@</v>
          </cell>
          <cell r="P659" t="str">
            <v>@@</v>
          </cell>
          <cell r="Q659" t="str">
            <v>@@</v>
          </cell>
          <cell r="R659" t="str">
            <v>@@</v>
          </cell>
          <cell r="S659" t="str">
            <v>@@</v>
          </cell>
          <cell r="AB659" t="str">
            <v>@@</v>
          </cell>
          <cell r="AC659" t="str">
            <v>@@</v>
          </cell>
          <cell r="AD659" t="str">
            <v>@@</v>
          </cell>
          <cell r="AL659" t="str">
            <v>@@</v>
          </cell>
        </row>
        <row r="660">
          <cell r="J660">
            <v>83700</v>
          </cell>
          <cell r="L660" t="str">
            <v>@@</v>
          </cell>
          <cell r="M660" t="str">
            <v>@@</v>
          </cell>
          <cell r="N660" t="str">
            <v>@@</v>
          </cell>
          <cell r="O660" t="str">
            <v>@@</v>
          </cell>
          <cell r="P660" t="str">
            <v>@@</v>
          </cell>
          <cell r="Q660" t="str">
            <v>@@</v>
          </cell>
          <cell r="R660" t="str">
            <v>@@</v>
          </cell>
          <cell r="S660" t="str">
            <v>@@</v>
          </cell>
          <cell r="AB660" t="str">
            <v>@@</v>
          </cell>
          <cell r="AC660" t="str">
            <v>@@</v>
          </cell>
          <cell r="AD660" t="str">
            <v>@@</v>
          </cell>
          <cell r="AL660" t="str">
            <v>@@</v>
          </cell>
        </row>
        <row r="661">
          <cell r="J661">
            <v>83800</v>
          </cell>
          <cell r="L661" t="str">
            <v>@@</v>
          </cell>
          <cell r="M661" t="str">
            <v>@@</v>
          </cell>
          <cell r="N661" t="str">
            <v>@@</v>
          </cell>
          <cell r="O661" t="str">
            <v>@@</v>
          </cell>
          <cell r="P661" t="str">
            <v>@@</v>
          </cell>
          <cell r="Q661" t="str">
            <v>@@</v>
          </cell>
          <cell r="R661" t="str">
            <v>@@</v>
          </cell>
          <cell r="S661" t="str">
            <v>@@</v>
          </cell>
          <cell r="AB661" t="str">
            <v>@@</v>
          </cell>
          <cell r="AC661" t="str">
            <v>@@</v>
          </cell>
          <cell r="AD661" t="str">
            <v>@@</v>
          </cell>
          <cell r="AL661" t="str">
            <v>@@</v>
          </cell>
        </row>
        <row r="662">
          <cell r="J662">
            <v>83900</v>
          </cell>
          <cell r="L662" t="str">
            <v>@@</v>
          </cell>
          <cell r="M662" t="str">
            <v>@@</v>
          </cell>
          <cell r="N662" t="str">
            <v>@@</v>
          </cell>
          <cell r="O662" t="str">
            <v>@@</v>
          </cell>
          <cell r="P662" t="str">
            <v>@@</v>
          </cell>
          <cell r="Q662" t="str">
            <v>@@</v>
          </cell>
          <cell r="R662" t="str">
            <v>@@</v>
          </cell>
          <cell r="S662" t="str">
            <v>@@</v>
          </cell>
          <cell r="AB662" t="str">
            <v>@@</v>
          </cell>
          <cell r="AC662" t="str">
            <v>@@</v>
          </cell>
          <cell r="AD662" t="str">
            <v>@@</v>
          </cell>
          <cell r="AL662" t="str">
            <v>@@</v>
          </cell>
        </row>
        <row r="663">
          <cell r="J663">
            <v>84000</v>
          </cell>
          <cell r="L663" t="str">
            <v>@@</v>
          </cell>
          <cell r="M663" t="str">
            <v>@@</v>
          </cell>
          <cell r="N663" t="str">
            <v>@@</v>
          </cell>
          <cell r="O663" t="str">
            <v>@@</v>
          </cell>
          <cell r="P663" t="str">
            <v>@@</v>
          </cell>
          <cell r="Q663" t="str">
            <v>@@</v>
          </cell>
          <cell r="R663" t="str">
            <v>@@</v>
          </cell>
          <cell r="S663" t="str">
            <v>@@</v>
          </cell>
          <cell r="AB663" t="str">
            <v>@@</v>
          </cell>
          <cell r="AC663" t="str">
            <v>@@</v>
          </cell>
          <cell r="AD663" t="str">
            <v>@@</v>
          </cell>
          <cell r="AL663" t="str">
            <v>@@</v>
          </cell>
        </row>
        <row r="664">
          <cell r="J664">
            <v>84100</v>
          </cell>
          <cell r="L664" t="str">
            <v>@@</v>
          </cell>
          <cell r="M664" t="str">
            <v>@@</v>
          </cell>
          <cell r="N664" t="str">
            <v>@@</v>
          </cell>
          <cell r="O664" t="str">
            <v>@@</v>
          </cell>
          <cell r="P664" t="str">
            <v>@@</v>
          </cell>
          <cell r="Q664" t="str">
            <v>@@</v>
          </cell>
          <cell r="R664" t="str">
            <v>@@</v>
          </cell>
          <cell r="S664" t="str">
            <v>@@</v>
          </cell>
          <cell r="AB664" t="str">
            <v>@@</v>
          </cell>
          <cell r="AC664" t="str">
            <v>@@</v>
          </cell>
          <cell r="AD664" t="str">
            <v>@@</v>
          </cell>
          <cell r="AL664" t="str">
            <v>@@</v>
          </cell>
        </row>
        <row r="665">
          <cell r="J665">
            <v>84200</v>
          </cell>
          <cell r="L665" t="str">
            <v>@@</v>
          </cell>
          <cell r="M665" t="str">
            <v>@@</v>
          </cell>
          <cell r="N665" t="str">
            <v>@@</v>
          </cell>
          <cell r="O665" t="str">
            <v>@@</v>
          </cell>
          <cell r="P665" t="str">
            <v>@@</v>
          </cell>
          <cell r="Q665" t="str">
            <v>@@</v>
          </cell>
          <cell r="R665" t="str">
            <v>@@</v>
          </cell>
          <cell r="S665" t="str">
            <v>@@</v>
          </cell>
          <cell r="AB665" t="str">
            <v>@@</v>
          </cell>
          <cell r="AC665" t="str">
            <v>@@</v>
          </cell>
          <cell r="AD665" t="str">
            <v>@@</v>
          </cell>
          <cell r="AL665" t="str">
            <v>@@</v>
          </cell>
        </row>
        <row r="666">
          <cell r="J666">
            <v>84300</v>
          </cell>
          <cell r="L666" t="str">
            <v>@@</v>
          </cell>
          <cell r="M666" t="str">
            <v>@@</v>
          </cell>
          <cell r="N666" t="str">
            <v>@@</v>
          </cell>
          <cell r="O666" t="str">
            <v>@@</v>
          </cell>
          <cell r="P666" t="str">
            <v>@@</v>
          </cell>
          <cell r="Q666" t="str">
            <v>@@</v>
          </cell>
          <cell r="R666" t="str">
            <v>@@</v>
          </cell>
          <cell r="S666" t="str">
            <v>@@</v>
          </cell>
          <cell r="AB666" t="str">
            <v>@@</v>
          </cell>
          <cell r="AC666" t="str">
            <v>@@</v>
          </cell>
          <cell r="AD666" t="str">
            <v>@@</v>
          </cell>
          <cell r="AL666" t="str">
            <v>@@</v>
          </cell>
        </row>
        <row r="667">
          <cell r="J667">
            <v>84400</v>
          </cell>
          <cell r="L667" t="str">
            <v>@@</v>
          </cell>
          <cell r="M667" t="str">
            <v>@@</v>
          </cell>
          <cell r="N667" t="str">
            <v>@@</v>
          </cell>
          <cell r="O667" t="str">
            <v>@@</v>
          </cell>
          <cell r="P667" t="str">
            <v>@@</v>
          </cell>
          <cell r="Q667" t="str">
            <v>@@</v>
          </cell>
          <cell r="R667" t="str">
            <v>@@</v>
          </cell>
          <cell r="S667" t="str">
            <v>@@</v>
          </cell>
          <cell r="AB667" t="str">
            <v>@@</v>
          </cell>
          <cell r="AC667" t="str">
            <v>@@</v>
          </cell>
          <cell r="AD667" t="str">
            <v>@@</v>
          </cell>
          <cell r="AL667" t="str">
            <v>@@</v>
          </cell>
        </row>
        <row r="668">
          <cell r="J668">
            <v>84500</v>
          </cell>
          <cell r="L668" t="str">
            <v>@@</v>
          </cell>
          <cell r="M668" t="str">
            <v>@@</v>
          </cell>
          <cell r="N668" t="str">
            <v>@@</v>
          </cell>
          <cell r="O668" t="str">
            <v>@@</v>
          </cell>
          <cell r="P668" t="str">
            <v>@@</v>
          </cell>
          <cell r="Q668" t="str">
            <v>@@</v>
          </cell>
          <cell r="R668" t="str">
            <v>@@</v>
          </cell>
          <cell r="S668" t="str">
            <v>@@</v>
          </cell>
          <cell r="AB668" t="str">
            <v>@@</v>
          </cell>
          <cell r="AC668" t="str">
            <v>@@</v>
          </cell>
          <cell r="AD668" t="str">
            <v>@@</v>
          </cell>
          <cell r="AL668" t="str">
            <v>@@</v>
          </cell>
        </row>
        <row r="669">
          <cell r="J669">
            <v>84600</v>
          </cell>
          <cell r="L669" t="str">
            <v>@@</v>
          </cell>
          <cell r="M669" t="str">
            <v>@@</v>
          </cell>
          <cell r="N669" t="str">
            <v>@@</v>
          </cell>
          <cell r="O669" t="str">
            <v>@@</v>
          </cell>
          <cell r="P669" t="str">
            <v>@@</v>
          </cell>
          <cell r="Q669" t="str">
            <v>@@</v>
          </cell>
          <cell r="R669" t="str">
            <v>@@</v>
          </cell>
          <cell r="S669" t="str">
            <v>@@</v>
          </cell>
          <cell r="AB669" t="str">
            <v>@@</v>
          </cell>
          <cell r="AC669" t="str">
            <v>@@</v>
          </cell>
          <cell r="AD669" t="str">
            <v>@@</v>
          </cell>
          <cell r="AL669" t="str">
            <v>@@</v>
          </cell>
        </row>
        <row r="670">
          <cell r="J670">
            <v>84700</v>
          </cell>
          <cell r="L670" t="str">
            <v>@@</v>
          </cell>
          <cell r="M670" t="str">
            <v>@@</v>
          </cell>
          <cell r="N670" t="str">
            <v>@@</v>
          </cell>
          <cell r="O670" t="str">
            <v>@@</v>
          </cell>
          <cell r="P670" t="str">
            <v>@@</v>
          </cell>
          <cell r="Q670" t="str">
            <v>@@</v>
          </cell>
          <cell r="R670" t="str">
            <v>@@</v>
          </cell>
          <cell r="S670" t="str">
            <v>@@</v>
          </cell>
          <cell r="AB670" t="str">
            <v>@@</v>
          </cell>
          <cell r="AC670" t="str">
            <v>@@</v>
          </cell>
          <cell r="AD670" t="str">
            <v>@@</v>
          </cell>
          <cell r="AL670" t="str">
            <v>@@</v>
          </cell>
        </row>
        <row r="671">
          <cell r="J671">
            <v>84800</v>
          </cell>
          <cell r="L671" t="str">
            <v>@@</v>
          </cell>
          <cell r="M671" t="str">
            <v>@@</v>
          </cell>
          <cell r="N671" t="str">
            <v>@@</v>
          </cell>
          <cell r="O671" t="str">
            <v>@@</v>
          </cell>
          <cell r="P671" t="str">
            <v>@@</v>
          </cell>
          <cell r="Q671" t="str">
            <v>@@</v>
          </cell>
          <cell r="R671" t="str">
            <v>@@</v>
          </cell>
          <cell r="S671" t="str">
            <v>@@</v>
          </cell>
          <cell r="AB671" t="str">
            <v>@@</v>
          </cell>
          <cell r="AC671" t="str">
            <v>@@</v>
          </cell>
          <cell r="AD671" t="str">
            <v>@@</v>
          </cell>
          <cell r="AL671" t="str">
            <v>@@</v>
          </cell>
        </row>
        <row r="672">
          <cell r="J672">
            <v>84900</v>
          </cell>
          <cell r="L672" t="str">
            <v>@@</v>
          </cell>
          <cell r="M672" t="str">
            <v>@@</v>
          </cell>
          <cell r="N672" t="str">
            <v>@@</v>
          </cell>
          <cell r="O672" t="str">
            <v>@@</v>
          </cell>
          <cell r="P672" t="str">
            <v>@@</v>
          </cell>
          <cell r="Q672" t="str">
            <v>@@</v>
          </cell>
          <cell r="R672" t="str">
            <v>@@</v>
          </cell>
          <cell r="S672" t="str">
            <v>@@</v>
          </cell>
          <cell r="AB672" t="str">
            <v>@@</v>
          </cell>
          <cell r="AC672">
            <v>0</v>
          </cell>
          <cell r="AD672">
            <v>0</v>
          </cell>
          <cell r="AL672" t="str">
            <v>@@</v>
          </cell>
        </row>
        <row r="673">
          <cell r="J673">
            <v>85000</v>
          </cell>
          <cell r="L673">
            <v>85000</v>
          </cell>
          <cell r="M673">
            <v>0</v>
          </cell>
          <cell r="N673">
            <v>0</v>
          </cell>
          <cell r="O673">
            <v>-4.4000000000000004</v>
          </cell>
          <cell r="P673">
            <v>5.6</v>
          </cell>
          <cell r="Q673">
            <v>-7.333333333333333</v>
          </cell>
          <cell r="R673">
            <v>3</v>
          </cell>
          <cell r="S673">
            <v>1</v>
          </cell>
          <cell r="T673">
            <v>85000</v>
          </cell>
          <cell r="W673">
            <v>-4.4000000000000004</v>
          </cell>
          <cell r="X673">
            <v>5.6</v>
          </cell>
          <cell r="Y673">
            <v>-7.333333333333333</v>
          </cell>
          <cell r="Z673">
            <v>3</v>
          </cell>
          <cell r="AA673">
            <v>1</v>
          </cell>
          <cell r="AB673">
            <v>85000</v>
          </cell>
          <cell r="AC673">
            <v>-4.4000000000000004</v>
          </cell>
          <cell r="AD673">
            <v>5.6</v>
          </cell>
          <cell r="AE673">
            <v>85000</v>
          </cell>
          <cell r="AF673">
            <v>-4.4000000000000004</v>
          </cell>
          <cell r="AG673">
            <v>5.6</v>
          </cell>
          <cell r="AL673">
            <v>8.6</v>
          </cell>
          <cell r="AM673">
            <v>8.6</v>
          </cell>
        </row>
        <row r="674">
          <cell r="J674">
            <v>85100</v>
          </cell>
          <cell r="L674" t="str">
            <v>@@</v>
          </cell>
          <cell r="M674" t="str">
            <v>@@</v>
          </cell>
          <cell r="N674" t="str">
            <v>@@</v>
          </cell>
          <cell r="O674" t="str">
            <v>@@</v>
          </cell>
          <cell r="P674" t="str">
            <v>@@</v>
          </cell>
          <cell r="Q674" t="str">
            <v>@@</v>
          </cell>
          <cell r="R674" t="str">
            <v>@@</v>
          </cell>
          <cell r="S674" t="str">
            <v>@@</v>
          </cell>
          <cell r="AB674" t="str">
            <v>@@</v>
          </cell>
          <cell r="AC674">
            <v>-7.333333333333333</v>
          </cell>
          <cell r="AD674">
            <v>3</v>
          </cell>
          <cell r="AF674">
            <v>-7.333333333333333</v>
          </cell>
          <cell r="AG674">
            <v>3</v>
          </cell>
          <cell r="AL674" t="str">
            <v>@@</v>
          </cell>
        </row>
        <row r="675">
          <cell r="J675">
            <v>85200</v>
          </cell>
          <cell r="L675" t="str">
            <v>@@</v>
          </cell>
          <cell r="M675" t="str">
            <v>@@</v>
          </cell>
          <cell r="N675" t="str">
            <v>@@</v>
          </cell>
          <cell r="O675" t="str">
            <v>@@</v>
          </cell>
          <cell r="P675" t="str">
            <v>@@</v>
          </cell>
          <cell r="Q675" t="str">
            <v>@@</v>
          </cell>
          <cell r="R675" t="str">
            <v>@@</v>
          </cell>
          <cell r="S675" t="str">
            <v>@@</v>
          </cell>
          <cell r="AB675" t="str">
            <v>@@</v>
          </cell>
          <cell r="AC675" t="str">
            <v>@@</v>
          </cell>
          <cell r="AD675" t="str">
            <v>@@</v>
          </cell>
          <cell r="AL675" t="str">
            <v>@@</v>
          </cell>
        </row>
        <row r="676">
          <cell r="J676">
            <v>85300</v>
          </cell>
          <cell r="L676" t="str">
            <v>@@</v>
          </cell>
          <cell r="M676" t="str">
            <v>@@</v>
          </cell>
          <cell r="N676" t="str">
            <v>@@</v>
          </cell>
          <cell r="O676" t="str">
            <v>@@</v>
          </cell>
          <cell r="P676" t="str">
            <v>@@</v>
          </cell>
          <cell r="Q676" t="str">
            <v>@@</v>
          </cell>
          <cell r="R676" t="str">
            <v>@@</v>
          </cell>
          <cell r="S676" t="str">
            <v>@@</v>
          </cell>
          <cell r="AB676" t="str">
            <v>@@</v>
          </cell>
          <cell r="AC676" t="str">
            <v>@@</v>
          </cell>
          <cell r="AD676" t="str">
            <v>@@</v>
          </cell>
          <cell r="AL676" t="str">
            <v>@@</v>
          </cell>
        </row>
        <row r="677">
          <cell r="J677">
            <v>85400</v>
          </cell>
          <cell r="L677" t="str">
            <v>@@</v>
          </cell>
          <cell r="M677" t="str">
            <v>@@</v>
          </cell>
          <cell r="N677" t="str">
            <v>@@</v>
          </cell>
          <cell r="O677" t="str">
            <v>@@</v>
          </cell>
          <cell r="P677" t="str">
            <v>@@</v>
          </cell>
          <cell r="Q677" t="str">
            <v>@@</v>
          </cell>
          <cell r="R677" t="str">
            <v>@@</v>
          </cell>
          <cell r="S677" t="str">
            <v>@@</v>
          </cell>
          <cell r="AB677" t="str">
            <v>@@</v>
          </cell>
          <cell r="AC677" t="str">
            <v>@@</v>
          </cell>
          <cell r="AD677" t="str">
            <v>@@</v>
          </cell>
          <cell r="AL677" t="str">
            <v>@@</v>
          </cell>
        </row>
        <row r="678">
          <cell r="J678">
            <v>85500</v>
          </cell>
          <cell r="L678" t="str">
            <v>@@</v>
          </cell>
          <cell r="M678" t="str">
            <v>@@</v>
          </cell>
          <cell r="N678" t="str">
            <v>@@</v>
          </cell>
          <cell r="O678" t="str">
            <v>@@</v>
          </cell>
          <cell r="P678" t="str">
            <v>@@</v>
          </cell>
          <cell r="Q678" t="str">
            <v>@@</v>
          </cell>
          <cell r="R678" t="str">
            <v>@@</v>
          </cell>
          <cell r="S678" t="str">
            <v>@@</v>
          </cell>
          <cell r="AB678" t="str">
            <v>@@</v>
          </cell>
          <cell r="AC678" t="str">
            <v>@@</v>
          </cell>
          <cell r="AD678" t="str">
            <v>@@</v>
          </cell>
          <cell r="AL678" t="str">
            <v>@@</v>
          </cell>
        </row>
        <row r="679">
          <cell r="J679">
            <v>85600</v>
          </cell>
          <cell r="L679" t="str">
            <v>@@</v>
          </cell>
          <cell r="M679" t="str">
            <v>@@</v>
          </cell>
          <cell r="N679" t="str">
            <v>@@</v>
          </cell>
          <cell r="O679" t="str">
            <v>@@</v>
          </cell>
          <cell r="P679" t="str">
            <v>@@</v>
          </cell>
          <cell r="Q679" t="str">
            <v>@@</v>
          </cell>
          <cell r="R679" t="str">
            <v>@@</v>
          </cell>
          <cell r="S679" t="str">
            <v>@@</v>
          </cell>
          <cell r="AB679" t="str">
            <v>@@</v>
          </cell>
          <cell r="AC679" t="str">
            <v>@@</v>
          </cell>
          <cell r="AD679" t="str">
            <v>@@</v>
          </cell>
          <cell r="AL679" t="str">
            <v>@@</v>
          </cell>
        </row>
        <row r="680">
          <cell r="J680">
            <v>85700</v>
          </cell>
          <cell r="L680" t="str">
            <v>@@</v>
          </cell>
          <cell r="M680" t="str">
            <v>@@</v>
          </cell>
          <cell r="N680" t="str">
            <v>@@</v>
          </cell>
          <cell r="O680" t="str">
            <v>@@</v>
          </cell>
          <cell r="P680" t="str">
            <v>@@</v>
          </cell>
          <cell r="Q680" t="str">
            <v>@@</v>
          </cell>
          <cell r="R680" t="str">
            <v>@@</v>
          </cell>
          <cell r="S680" t="str">
            <v>@@</v>
          </cell>
          <cell r="AB680" t="str">
            <v>@@</v>
          </cell>
          <cell r="AC680" t="str">
            <v>@@</v>
          </cell>
          <cell r="AD680" t="str">
            <v>@@</v>
          </cell>
          <cell r="AL680" t="str">
            <v>@@</v>
          </cell>
        </row>
        <row r="681">
          <cell r="J681">
            <v>85800</v>
          </cell>
          <cell r="L681" t="str">
            <v>@@</v>
          </cell>
          <cell r="M681" t="str">
            <v>@@</v>
          </cell>
          <cell r="N681" t="str">
            <v>@@</v>
          </cell>
          <cell r="O681" t="str">
            <v>@@</v>
          </cell>
          <cell r="P681" t="str">
            <v>@@</v>
          </cell>
          <cell r="Q681" t="str">
            <v>@@</v>
          </cell>
          <cell r="R681" t="str">
            <v>@@</v>
          </cell>
          <cell r="S681" t="str">
            <v>@@</v>
          </cell>
          <cell r="AB681" t="str">
            <v>@@</v>
          </cell>
          <cell r="AC681" t="str">
            <v>@@</v>
          </cell>
          <cell r="AD681" t="str">
            <v>@@</v>
          </cell>
          <cell r="AL681" t="str">
            <v>@@</v>
          </cell>
        </row>
        <row r="682">
          <cell r="J682">
            <v>85900</v>
          </cell>
          <cell r="L682" t="str">
            <v>@@</v>
          </cell>
          <cell r="M682" t="str">
            <v>@@</v>
          </cell>
          <cell r="N682" t="str">
            <v>@@</v>
          </cell>
          <cell r="O682" t="str">
            <v>@@</v>
          </cell>
          <cell r="P682" t="str">
            <v>@@</v>
          </cell>
          <cell r="Q682" t="str">
            <v>@@</v>
          </cell>
          <cell r="R682" t="str">
            <v>@@</v>
          </cell>
          <cell r="S682" t="str">
            <v>@@</v>
          </cell>
          <cell r="AB682" t="str">
            <v>@@</v>
          </cell>
          <cell r="AC682" t="str">
            <v>@@</v>
          </cell>
          <cell r="AD682" t="str">
            <v>@@</v>
          </cell>
          <cell r="AL682" t="str">
            <v>@@</v>
          </cell>
        </row>
        <row r="683">
          <cell r="J683">
            <v>86000</v>
          </cell>
          <cell r="L683" t="str">
            <v>@@</v>
          </cell>
          <cell r="M683" t="str">
            <v>@@</v>
          </cell>
          <cell r="N683" t="str">
            <v>@@</v>
          </cell>
          <cell r="O683" t="str">
            <v>@@</v>
          </cell>
          <cell r="P683" t="str">
            <v>@@</v>
          </cell>
          <cell r="Q683" t="str">
            <v>@@</v>
          </cell>
          <cell r="R683" t="str">
            <v>@@</v>
          </cell>
          <cell r="S683" t="str">
            <v>@@</v>
          </cell>
          <cell r="AB683" t="str">
            <v>@@</v>
          </cell>
          <cell r="AC683" t="str">
            <v>@@</v>
          </cell>
          <cell r="AD683" t="str">
            <v>@@</v>
          </cell>
          <cell r="AL683" t="str">
            <v>@@</v>
          </cell>
        </row>
        <row r="684">
          <cell r="J684">
            <v>86100</v>
          </cell>
          <cell r="L684" t="str">
            <v>@@</v>
          </cell>
          <cell r="M684" t="str">
            <v>@@</v>
          </cell>
          <cell r="N684" t="str">
            <v>@@</v>
          </cell>
          <cell r="O684" t="str">
            <v>@@</v>
          </cell>
          <cell r="P684" t="str">
            <v>@@</v>
          </cell>
          <cell r="Q684" t="str">
            <v>@@</v>
          </cell>
          <cell r="R684" t="str">
            <v>@@</v>
          </cell>
          <cell r="S684" t="str">
            <v>@@</v>
          </cell>
          <cell r="AB684" t="str">
            <v>@@</v>
          </cell>
          <cell r="AC684" t="str">
            <v>@@</v>
          </cell>
          <cell r="AD684" t="str">
            <v>@@</v>
          </cell>
          <cell r="AL684" t="str">
            <v>@@</v>
          </cell>
        </row>
        <row r="685">
          <cell r="J685">
            <v>86200</v>
          </cell>
          <cell r="L685" t="str">
            <v>@@</v>
          </cell>
          <cell r="M685" t="str">
            <v>@@</v>
          </cell>
          <cell r="N685" t="str">
            <v>@@</v>
          </cell>
          <cell r="O685" t="str">
            <v>@@</v>
          </cell>
          <cell r="P685" t="str">
            <v>@@</v>
          </cell>
          <cell r="Q685" t="str">
            <v>@@</v>
          </cell>
          <cell r="R685" t="str">
            <v>@@</v>
          </cell>
          <cell r="S685" t="str">
            <v>@@</v>
          </cell>
          <cell r="AB685" t="str">
            <v>@@</v>
          </cell>
          <cell r="AC685" t="str">
            <v>@@</v>
          </cell>
          <cell r="AD685" t="str">
            <v>@@</v>
          </cell>
          <cell r="AL685" t="str">
            <v>@@</v>
          </cell>
        </row>
        <row r="686">
          <cell r="J686">
            <v>86300</v>
          </cell>
          <cell r="L686" t="str">
            <v>@@</v>
          </cell>
          <cell r="M686" t="str">
            <v>@@</v>
          </cell>
          <cell r="N686" t="str">
            <v>@@</v>
          </cell>
          <cell r="O686" t="str">
            <v>@@</v>
          </cell>
          <cell r="P686" t="str">
            <v>@@</v>
          </cell>
          <cell r="Q686" t="str">
            <v>@@</v>
          </cell>
          <cell r="R686" t="str">
            <v>@@</v>
          </cell>
          <cell r="S686" t="str">
            <v>@@</v>
          </cell>
          <cell r="AB686" t="str">
            <v>@@</v>
          </cell>
          <cell r="AC686" t="str">
            <v>@@</v>
          </cell>
          <cell r="AD686" t="str">
            <v>@@</v>
          </cell>
          <cell r="AL686" t="str">
            <v>@@</v>
          </cell>
        </row>
        <row r="687">
          <cell r="J687">
            <v>86400</v>
          </cell>
          <cell r="L687" t="str">
            <v>@@</v>
          </cell>
          <cell r="M687" t="str">
            <v>@@</v>
          </cell>
          <cell r="N687" t="str">
            <v>@@</v>
          </cell>
          <cell r="O687" t="str">
            <v>@@</v>
          </cell>
          <cell r="P687" t="str">
            <v>@@</v>
          </cell>
          <cell r="Q687" t="str">
            <v>@@</v>
          </cell>
          <cell r="R687" t="str">
            <v>@@</v>
          </cell>
          <cell r="S687" t="str">
            <v>@@</v>
          </cell>
          <cell r="AB687" t="str">
            <v>@@</v>
          </cell>
          <cell r="AC687" t="str">
            <v>@@</v>
          </cell>
          <cell r="AD687" t="str">
            <v>@@</v>
          </cell>
          <cell r="AL687" t="str">
            <v>@@</v>
          </cell>
        </row>
        <row r="688">
          <cell r="J688">
            <v>86500</v>
          </cell>
          <cell r="L688" t="str">
            <v>@@</v>
          </cell>
          <cell r="M688" t="str">
            <v>@@</v>
          </cell>
          <cell r="N688" t="str">
            <v>@@</v>
          </cell>
          <cell r="O688" t="str">
            <v>@@</v>
          </cell>
          <cell r="P688" t="str">
            <v>@@</v>
          </cell>
          <cell r="Q688" t="str">
            <v>@@</v>
          </cell>
          <cell r="R688" t="str">
            <v>@@</v>
          </cell>
          <cell r="S688" t="str">
            <v>@@</v>
          </cell>
          <cell r="AB688" t="str">
            <v>@@</v>
          </cell>
          <cell r="AC688" t="str">
            <v>@@</v>
          </cell>
          <cell r="AD688" t="str">
            <v>@@</v>
          </cell>
          <cell r="AL688" t="str">
            <v>@@</v>
          </cell>
        </row>
        <row r="689">
          <cell r="J689">
            <v>86600</v>
          </cell>
          <cell r="L689" t="str">
            <v>@@</v>
          </cell>
          <cell r="M689" t="str">
            <v>@@</v>
          </cell>
          <cell r="N689" t="str">
            <v>@@</v>
          </cell>
          <cell r="O689" t="str">
            <v>@@</v>
          </cell>
          <cell r="P689" t="str">
            <v>@@</v>
          </cell>
          <cell r="Q689" t="str">
            <v>@@</v>
          </cell>
          <cell r="R689" t="str">
            <v>@@</v>
          </cell>
          <cell r="S689" t="str">
            <v>@@</v>
          </cell>
          <cell r="AB689" t="str">
            <v>@@</v>
          </cell>
          <cell r="AC689" t="str">
            <v>@@</v>
          </cell>
          <cell r="AD689" t="str">
            <v>@@</v>
          </cell>
          <cell r="AL689" t="str">
            <v>@@</v>
          </cell>
        </row>
        <row r="690">
          <cell r="J690">
            <v>86700</v>
          </cell>
          <cell r="L690" t="str">
            <v>@@</v>
          </cell>
          <cell r="M690" t="str">
            <v>@@</v>
          </cell>
          <cell r="N690" t="str">
            <v>@@</v>
          </cell>
          <cell r="O690" t="str">
            <v>@@</v>
          </cell>
          <cell r="P690" t="str">
            <v>@@</v>
          </cell>
          <cell r="Q690" t="str">
            <v>@@</v>
          </cell>
          <cell r="R690" t="str">
            <v>@@</v>
          </cell>
          <cell r="S690" t="str">
            <v>@@</v>
          </cell>
          <cell r="AB690" t="str">
            <v>@@</v>
          </cell>
          <cell r="AC690" t="str">
            <v>@@</v>
          </cell>
          <cell r="AD690" t="str">
            <v>@@</v>
          </cell>
          <cell r="AL690" t="str">
            <v>@@</v>
          </cell>
        </row>
        <row r="691">
          <cell r="J691">
            <v>86800</v>
          </cell>
          <cell r="L691" t="str">
            <v>@@</v>
          </cell>
          <cell r="M691" t="str">
            <v>@@</v>
          </cell>
          <cell r="N691" t="str">
            <v>@@</v>
          </cell>
          <cell r="O691" t="str">
            <v>@@</v>
          </cell>
          <cell r="P691" t="str">
            <v>@@</v>
          </cell>
          <cell r="Q691" t="str">
            <v>@@</v>
          </cell>
          <cell r="R691" t="str">
            <v>@@</v>
          </cell>
          <cell r="S691" t="str">
            <v>@@</v>
          </cell>
          <cell r="AB691" t="str">
            <v>@@</v>
          </cell>
          <cell r="AC691" t="str">
            <v>@@</v>
          </cell>
          <cell r="AD691" t="str">
            <v>@@</v>
          </cell>
          <cell r="AL691" t="str">
            <v>@@</v>
          </cell>
        </row>
        <row r="692">
          <cell r="J692">
            <v>86900</v>
          </cell>
          <cell r="L692" t="str">
            <v>@@</v>
          </cell>
          <cell r="M692" t="str">
            <v>@@</v>
          </cell>
          <cell r="N692" t="str">
            <v>@@</v>
          </cell>
          <cell r="O692" t="str">
            <v>@@</v>
          </cell>
          <cell r="P692" t="str">
            <v>@@</v>
          </cell>
          <cell r="Q692" t="str">
            <v>@@</v>
          </cell>
          <cell r="R692" t="str">
            <v>@@</v>
          </cell>
          <cell r="S692" t="str">
            <v>@@</v>
          </cell>
          <cell r="AB692" t="str">
            <v>@@</v>
          </cell>
          <cell r="AC692" t="str">
            <v>@@</v>
          </cell>
          <cell r="AD692" t="str">
            <v>@@</v>
          </cell>
          <cell r="AL692" t="str">
            <v>@@</v>
          </cell>
        </row>
        <row r="693">
          <cell r="J693">
            <v>87000</v>
          </cell>
          <cell r="L693" t="str">
            <v>@@</v>
          </cell>
          <cell r="M693" t="str">
            <v>@@</v>
          </cell>
          <cell r="N693" t="str">
            <v>@@</v>
          </cell>
          <cell r="O693" t="str">
            <v>@@</v>
          </cell>
          <cell r="P693" t="str">
            <v>@@</v>
          </cell>
          <cell r="Q693" t="str">
            <v>@@</v>
          </cell>
          <cell r="R693" t="str">
            <v>@@</v>
          </cell>
          <cell r="S693" t="str">
            <v>@@</v>
          </cell>
          <cell r="AB693" t="str">
            <v>@@</v>
          </cell>
          <cell r="AC693" t="str">
            <v>@@</v>
          </cell>
          <cell r="AD693" t="str">
            <v>@@</v>
          </cell>
          <cell r="AL693" t="str">
            <v>@@</v>
          </cell>
        </row>
        <row r="694">
          <cell r="J694">
            <v>87100</v>
          </cell>
          <cell r="L694" t="str">
            <v>@@</v>
          </cell>
          <cell r="M694" t="str">
            <v>@@</v>
          </cell>
          <cell r="N694" t="str">
            <v>@@</v>
          </cell>
          <cell r="O694" t="str">
            <v>@@</v>
          </cell>
          <cell r="P694" t="str">
            <v>@@</v>
          </cell>
          <cell r="Q694" t="str">
            <v>@@</v>
          </cell>
          <cell r="R694" t="str">
            <v>@@</v>
          </cell>
          <cell r="S694" t="str">
            <v>@@</v>
          </cell>
          <cell r="AB694" t="str">
            <v>@@</v>
          </cell>
          <cell r="AC694" t="str">
            <v>@@</v>
          </cell>
          <cell r="AD694" t="str">
            <v>@@</v>
          </cell>
          <cell r="AL694" t="str">
            <v>@@</v>
          </cell>
        </row>
        <row r="695">
          <cell r="J695">
            <v>87200</v>
          </cell>
          <cell r="L695" t="str">
            <v>@@</v>
          </cell>
          <cell r="M695" t="str">
            <v>@@</v>
          </cell>
          <cell r="N695" t="str">
            <v>@@</v>
          </cell>
          <cell r="O695" t="str">
            <v>@@</v>
          </cell>
          <cell r="P695" t="str">
            <v>@@</v>
          </cell>
          <cell r="Q695" t="str">
            <v>@@</v>
          </cell>
          <cell r="R695" t="str">
            <v>@@</v>
          </cell>
          <cell r="S695" t="str">
            <v>@@</v>
          </cell>
          <cell r="AB695" t="str">
            <v>@@</v>
          </cell>
          <cell r="AC695">
            <v>0</v>
          </cell>
          <cell r="AD695">
            <v>0</v>
          </cell>
          <cell r="AL695" t="str">
            <v>@@</v>
          </cell>
        </row>
        <row r="696">
          <cell r="J696">
            <v>87300</v>
          </cell>
          <cell r="L696">
            <v>87300</v>
          </cell>
          <cell r="M696">
            <v>0</v>
          </cell>
          <cell r="N696">
            <v>0</v>
          </cell>
          <cell r="O696">
            <v>0</v>
          </cell>
          <cell r="P696">
            <v>2.7</v>
          </cell>
          <cell r="Q696">
            <v>-39.6</v>
          </cell>
          <cell r="R696">
            <v>7.1</v>
          </cell>
          <cell r="S696">
            <v>1</v>
          </cell>
          <cell r="T696">
            <v>87300</v>
          </cell>
          <cell r="X696">
            <v>2.7</v>
          </cell>
          <cell r="Y696">
            <v>-39.6</v>
          </cell>
          <cell r="Z696">
            <v>7.1</v>
          </cell>
          <cell r="AA696">
            <v>1</v>
          </cell>
          <cell r="AB696">
            <v>87300</v>
          </cell>
          <cell r="AC696">
            <v>0</v>
          </cell>
          <cell r="AD696">
            <v>2.7</v>
          </cell>
          <cell r="AE696">
            <v>87300</v>
          </cell>
          <cell r="AG696">
            <v>2.7</v>
          </cell>
          <cell r="AL696">
            <v>9.8000000000000007</v>
          </cell>
          <cell r="AM696">
            <v>9.8000000000000007</v>
          </cell>
        </row>
        <row r="697">
          <cell r="J697">
            <v>87400</v>
          </cell>
          <cell r="L697" t="str">
            <v>@@</v>
          </cell>
          <cell r="M697" t="str">
            <v>@@</v>
          </cell>
          <cell r="N697" t="str">
            <v>@@</v>
          </cell>
          <cell r="O697" t="str">
            <v>@@</v>
          </cell>
          <cell r="P697" t="str">
            <v>@@</v>
          </cell>
          <cell r="Q697" t="str">
            <v>@@</v>
          </cell>
          <cell r="R697" t="str">
            <v>@@</v>
          </cell>
          <cell r="S697" t="str">
            <v>@@</v>
          </cell>
          <cell r="AB697" t="str">
            <v>@@</v>
          </cell>
          <cell r="AC697">
            <v>-39.6</v>
          </cell>
          <cell r="AD697">
            <v>7.1</v>
          </cell>
          <cell r="AF697">
            <v>-39.6</v>
          </cell>
          <cell r="AG697">
            <v>7.1</v>
          </cell>
          <cell r="AL697" t="str">
            <v>@@</v>
          </cell>
        </row>
        <row r="698">
          <cell r="J698">
            <v>87500</v>
          </cell>
          <cell r="L698" t="str">
            <v>@@</v>
          </cell>
          <cell r="M698" t="str">
            <v>@@</v>
          </cell>
          <cell r="N698" t="str">
            <v>@@</v>
          </cell>
          <cell r="O698" t="str">
            <v>@@</v>
          </cell>
          <cell r="P698" t="str">
            <v>@@</v>
          </cell>
          <cell r="Q698" t="str">
            <v>@@</v>
          </cell>
          <cell r="R698" t="str">
            <v>@@</v>
          </cell>
          <cell r="S698" t="str">
            <v>@@</v>
          </cell>
          <cell r="AB698" t="str">
            <v>@@</v>
          </cell>
          <cell r="AC698" t="str">
            <v>@@</v>
          </cell>
          <cell r="AD698" t="str">
            <v>@@</v>
          </cell>
          <cell r="AL698" t="str">
            <v>@@</v>
          </cell>
        </row>
        <row r="699">
          <cell r="J699">
            <v>87600</v>
          </cell>
          <cell r="L699" t="str">
            <v>@@</v>
          </cell>
          <cell r="M699" t="str">
            <v>@@</v>
          </cell>
          <cell r="N699" t="str">
            <v>@@</v>
          </cell>
          <cell r="O699" t="str">
            <v>@@</v>
          </cell>
          <cell r="P699" t="str">
            <v>@@</v>
          </cell>
          <cell r="Q699" t="str">
            <v>@@</v>
          </cell>
          <cell r="R699" t="str">
            <v>@@</v>
          </cell>
          <cell r="S699" t="str">
            <v>@@</v>
          </cell>
          <cell r="AB699" t="str">
            <v>@@</v>
          </cell>
          <cell r="AC699" t="str">
            <v>@@</v>
          </cell>
          <cell r="AD699" t="str">
            <v>@@</v>
          </cell>
          <cell r="AL699" t="str">
            <v>@@</v>
          </cell>
        </row>
        <row r="700">
          <cell r="J700">
            <v>87700</v>
          </cell>
          <cell r="L700" t="str">
            <v>@@</v>
          </cell>
          <cell r="M700" t="str">
            <v>@@</v>
          </cell>
          <cell r="N700" t="str">
            <v>@@</v>
          </cell>
          <cell r="O700" t="str">
            <v>@@</v>
          </cell>
          <cell r="P700" t="str">
            <v>@@</v>
          </cell>
          <cell r="Q700" t="str">
            <v>@@</v>
          </cell>
          <cell r="R700" t="str">
            <v>@@</v>
          </cell>
          <cell r="S700" t="str">
            <v>@@</v>
          </cell>
          <cell r="AB700" t="str">
            <v>@@</v>
          </cell>
          <cell r="AC700" t="str">
            <v>@@</v>
          </cell>
          <cell r="AD700" t="str">
            <v>@@</v>
          </cell>
          <cell r="AL700" t="str">
            <v>@@</v>
          </cell>
        </row>
        <row r="701">
          <cell r="J701">
            <v>87800</v>
          </cell>
          <cell r="L701" t="str">
            <v>@@</v>
          </cell>
          <cell r="M701" t="str">
            <v>@@</v>
          </cell>
          <cell r="N701" t="str">
            <v>@@</v>
          </cell>
          <cell r="O701" t="str">
            <v>@@</v>
          </cell>
          <cell r="P701" t="str">
            <v>@@</v>
          </cell>
          <cell r="Q701" t="str">
            <v>@@</v>
          </cell>
          <cell r="R701" t="str">
            <v>@@</v>
          </cell>
          <cell r="S701" t="str">
            <v>@@</v>
          </cell>
          <cell r="AB701" t="str">
            <v>@@</v>
          </cell>
          <cell r="AC701" t="str">
            <v>@@</v>
          </cell>
          <cell r="AD701" t="str">
            <v>@@</v>
          </cell>
          <cell r="AL701" t="str">
            <v>@@</v>
          </cell>
        </row>
        <row r="702">
          <cell r="J702">
            <v>87900</v>
          </cell>
          <cell r="L702" t="str">
            <v>@@</v>
          </cell>
          <cell r="M702" t="str">
            <v>@@</v>
          </cell>
          <cell r="N702" t="str">
            <v>@@</v>
          </cell>
          <cell r="O702" t="str">
            <v>@@</v>
          </cell>
          <cell r="P702" t="str">
            <v>@@</v>
          </cell>
          <cell r="Q702" t="str">
            <v>@@</v>
          </cell>
          <cell r="R702" t="str">
            <v>@@</v>
          </cell>
          <cell r="S702" t="str">
            <v>@@</v>
          </cell>
          <cell r="AB702" t="str">
            <v>@@</v>
          </cell>
          <cell r="AC702" t="str">
            <v>@@</v>
          </cell>
          <cell r="AD702" t="str">
            <v>@@</v>
          </cell>
          <cell r="AL702" t="str">
            <v>@@</v>
          </cell>
        </row>
        <row r="703">
          <cell r="J703">
            <v>88000</v>
          </cell>
          <cell r="L703" t="str">
            <v>@@</v>
          </cell>
          <cell r="M703" t="str">
            <v>@@</v>
          </cell>
          <cell r="N703" t="str">
            <v>@@</v>
          </cell>
          <cell r="O703" t="str">
            <v>@@</v>
          </cell>
          <cell r="P703" t="str">
            <v>@@</v>
          </cell>
          <cell r="Q703" t="str">
            <v>@@</v>
          </cell>
          <cell r="R703" t="str">
            <v>@@</v>
          </cell>
          <cell r="S703" t="str">
            <v>@@</v>
          </cell>
          <cell r="AB703" t="str">
            <v>@@</v>
          </cell>
          <cell r="AC703" t="str">
            <v>@@</v>
          </cell>
          <cell r="AD703" t="str">
            <v>@@</v>
          </cell>
          <cell r="AL703" t="str">
            <v>@@</v>
          </cell>
        </row>
        <row r="704">
          <cell r="J704">
            <v>88100</v>
          </cell>
          <cell r="L704" t="str">
            <v>@@</v>
          </cell>
          <cell r="M704" t="str">
            <v>@@</v>
          </cell>
          <cell r="N704" t="str">
            <v>@@</v>
          </cell>
          <cell r="O704" t="str">
            <v>@@</v>
          </cell>
          <cell r="P704" t="str">
            <v>@@</v>
          </cell>
          <cell r="Q704" t="str">
            <v>@@</v>
          </cell>
          <cell r="R704" t="str">
            <v>@@</v>
          </cell>
          <cell r="S704" t="str">
            <v>@@</v>
          </cell>
          <cell r="AB704" t="str">
            <v>@@</v>
          </cell>
          <cell r="AC704" t="str">
            <v>@@</v>
          </cell>
          <cell r="AD704" t="str">
            <v>@@</v>
          </cell>
          <cell r="AL704" t="str">
            <v>@@</v>
          </cell>
        </row>
        <row r="705">
          <cell r="J705">
            <v>88200</v>
          </cell>
          <cell r="L705" t="str">
            <v>@@</v>
          </cell>
          <cell r="M705" t="str">
            <v>@@</v>
          </cell>
          <cell r="N705" t="str">
            <v>@@</v>
          </cell>
          <cell r="O705" t="str">
            <v>@@</v>
          </cell>
          <cell r="P705" t="str">
            <v>@@</v>
          </cell>
          <cell r="Q705" t="str">
            <v>@@</v>
          </cell>
          <cell r="R705" t="str">
            <v>@@</v>
          </cell>
          <cell r="S705" t="str">
            <v>@@</v>
          </cell>
          <cell r="AB705" t="str">
            <v>@@</v>
          </cell>
          <cell r="AC705" t="str">
            <v>@@</v>
          </cell>
          <cell r="AD705" t="str">
            <v>@@</v>
          </cell>
          <cell r="AL705" t="str">
            <v>@@</v>
          </cell>
        </row>
        <row r="706">
          <cell r="J706">
            <v>88300</v>
          </cell>
          <cell r="L706" t="str">
            <v>@@</v>
          </cell>
          <cell r="M706" t="str">
            <v>@@</v>
          </cell>
          <cell r="N706" t="str">
            <v>@@</v>
          </cell>
          <cell r="O706" t="str">
            <v>@@</v>
          </cell>
          <cell r="P706" t="str">
            <v>@@</v>
          </cell>
          <cell r="Q706" t="str">
            <v>@@</v>
          </cell>
          <cell r="R706" t="str">
            <v>@@</v>
          </cell>
          <cell r="S706" t="str">
            <v>@@</v>
          </cell>
          <cell r="AB706" t="str">
            <v>@@</v>
          </cell>
          <cell r="AC706">
            <v>0</v>
          </cell>
          <cell r="AD706">
            <v>0</v>
          </cell>
          <cell r="AL706" t="str">
            <v>@@</v>
          </cell>
        </row>
        <row r="707">
          <cell r="J707">
            <v>88400</v>
          </cell>
          <cell r="L707">
            <v>88400</v>
          </cell>
          <cell r="M707">
            <v>0</v>
          </cell>
          <cell r="N707">
            <v>0</v>
          </cell>
          <cell r="O707">
            <v>0</v>
          </cell>
          <cell r="P707">
            <v>3</v>
          </cell>
          <cell r="Q707">
            <v>-6</v>
          </cell>
          <cell r="R707">
            <v>6.2</v>
          </cell>
          <cell r="S707">
            <v>1</v>
          </cell>
          <cell r="T707">
            <v>88400</v>
          </cell>
          <cell r="X707">
            <v>3</v>
          </cell>
          <cell r="Y707">
            <v>-6</v>
          </cell>
          <cell r="Z707">
            <v>6.2</v>
          </cell>
          <cell r="AA707">
            <v>1</v>
          </cell>
          <cell r="AB707">
            <v>88400</v>
          </cell>
          <cell r="AC707">
            <v>0</v>
          </cell>
          <cell r="AD707">
            <v>3</v>
          </cell>
          <cell r="AE707">
            <v>88400</v>
          </cell>
          <cell r="AG707">
            <v>3</v>
          </cell>
          <cell r="AL707">
            <v>9.1999999999999993</v>
          </cell>
          <cell r="AM707">
            <v>9.1999999999999993</v>
          </cell>
        </row>
        <row r="708">
          <cell r="J708">
            <v>88500</v>
          </cell>
          <cell r="L708" t="str">
            <v>@@</v>
          </cell>
          <cell r="M708" t="str">
            <v>@@</v>
          </cell>
          <cell r="N708" t="str">
            <v>@@</v>
          </cell>
          <cell r="O708" t="str">
            <v>@@</v>
          </cell>
          <cell r="P708" t="str">
            <v>@@</v>
          </cell>
          <cell r="Q708" t="str">
            <v>@@</v>
          </cell>
          <cell r="R708" t="str">
            <v>@@</v>
          </cell>
          <cell r="S708" t="str">
            <v>@@</v>
          </cell>
          <cell r="AB708" t="str">
            <v>@@</v>
          </cell>
          <cell r="AC708">
            <v>-6</v>
          </cell>
          <cell r="AD708">
            <v>6.2</v>
          </cell>
          <cell r="AF708">
            <v>-6</v>
          </cell>
          <cell r="AG708">
            <v>6.2</v>
          </cell>
          <cell r="AL708" t="str">
            <v>@@</v>
          </cell>
        </row>
        <row r="709">
          <cell r="J709">
            <v>88600</v>
          </cell>
          <cell r="L709" t="str">
            <v>@@</v>
          </cell>
          <cell r="M709" t="str">
            <v>@@</v>
          </cell>
          <cell r="N709" t="str">
            <v>@@</v>
          </cell>
          <cell r="O709" t="str">
            <v>@@</v>
          </cell>
          <cell r="P709" t="str">
            <v>@@</v>
          </cell>
          <cell r="Q709" t="str">
            <v>@@</v>
          </cell>
          <cell r="R709" t="str">
            <v>@@</v>
          </cell>
          <cell r="S709" t="str">
            <v>@@</v>
          </cell>
          <cell r="AB709" t="str">
            <v>@@</v>
          </cell>
          <cell r="AC709" t="str">
            <v>@@</v>
          </cell>
          <cell r="AD709" t="str">
            <v>@@</v>
          </cell>
          <cell r="AL709" t="str">
            <v>@@</v>
          </cell>
        </row>
        <row r="710">
          <cell r="J710">
            <v>88700</v>
          </cell>
          <cell r="L710" t="str">
            <v>@@</v>
          </cell>
          <cell r="M710" t="str">
            <v>@@</v>
          </cell>
          <cell r="N710" t="str">
            <v>@@</v>
          </cell>
          <cell r="O710" t="str">
            <v>@@</v>
          </cell>
          <cell r="P710" t="str">
            <v>@@</v>
          </cell>
          <cell r="Q710" t="str">
            <v>@@</v>
          </cell>
          <cell r="R710" t="str">
            <v>@@</v>
          </cell>
          <cell r="S710" t="str">
            <v>@@</v>
          </cell>
          <cell r="AB710" t="str">
            <v>@@</v>
          </cell>
          <cell r="AC710" t="str">
            <v>@@</v>
          </cell>
          <cell r="AD710" t="str">
            <v>@@</v>
          </cell>
          <cell r="AL710" t="str">
            <v>@@</v>
          </cell>
        </row>
        <row r="711">
          <cell r="J711">
            <v>88800</v>
          </cell>
          <cell r="L711" t="str">
            <v>@@</v>
          </cell>
          <cell r="M711" t="str">
            <v>@@</v>
          </cell>
          <cell r="N711" t="str">
            <v>@@</v>
          </cell>
          <cell r="O711" t="str">
            <v>@@</v>
          </cell>
          <cell r="P711" t="str">
            <v>@@</v>
          </cell>
          <cell r="Q711" t="str">
            <v>@@</v>
          </cell>
          <cell r="R711" t="str">
            <v>@@</v>
          </cell>
          <cell r="S711" t="str">
            <v>@@</v>
          </cell>
          <cell r="AB711" t="str">
            <v>@@</v>
          </cell>
          <cell r="AC711" t="str">
            <v>@@</v>
          </cell>
          <cell r="AD711" t="str">
            <v>@@</v>
          </cell>
          <cell r="AL711" t="str">
            <v>@@</v>
          </cell>
        </row>
        <row r="712">
          <cell r="J712">
            <v>88900</v>
          </cell>
          <cell r="L712" t="str">
            <v>@@</v>
          </cell>
          <cell r="M712" t="str">
            <v>@@</v>
          </cell>
          <cell r="N712" t="str">
            <v>@@</v>
          </cell>
          <cell r="O712" t="str">
            <v>@@</v>
          </cell>
          <cell r="P712" t="str">
            <v>@@</v>
          </cell>
          <cell r="Q712" t="str">
            <v>@@</v>
          </cell>
          <cell r="R712" t="str">
            <v>@@</v>
          </cell>
          <cell r="S712" t="str">
            <v>@@</v>
          </cell>
          <cell r="AB712" t="str">
            <v>@@</v>
          </cell>
          <cell r="AC712" t="str">
            <v>@@</v>
          </cell>
          <cell r="AD712" t="str">
            <v>@@</v>
          </cell>
          <cell r="AL712" t="str">
            <v>@@</v>
          </cell>
        </row>
        <row r="713">
          <cell r="J713">
            <v>89000</v>
          </cell>
          <cell r="L713" t="str">
            <v>@@</v>
          </cell>
          <cell r="M713" t="str">
            <v>@@</v>
          </cell>
          <cell r="N713" t="str">
            <v>@@</v>
          </cell>
          <cell r="O713" t="str">
            <v>@@</v>
          </cell>
          <cell r="P713" t="str">
            <v>@@</v>
          </cell>
          <cell r="Q713" t="str">
            <v>@@</v>
          </cell>
          <cell r="R713" t="str">
            <v>@@</v>
          </cell>
          <cell r="S713" t="str">
            <v>@@</v>
          </cell>
          <cell r="AB713" t="str">
            <v>@@</v>
          </cell>
          <cell r="AC713" t="str">
            <v>@@</v>
          </cell>
          <cell r="AD713" t="str">
            <v>@@</v>
          </cell>
          <cell r="AL713" t="str">
            <v>@@</v>
          </cell>
        </row>
        <row r="714">
          <cell r="J714">
            <v>89100</v>
          </cell>
          <cell r="L714" t="str">
            <v>@@</v>
          </cell>
          <cell r="M714" t="str">
            <v>@@</v>
          </cell>
          <cell r="N714" t="str">
            <v>@@</v>
          </cell>
          <cell r="O714" t="str">
            <v>@@</v>
          </cell>
          <cell r="P714" t="str">
            <v>@@</v>
          </cell>
          <cell r="Q714" t="str">
            <v>@@</v>
          </cell>
          <cell r="R714" t="str">
            <v>@@</v>
          </cell>
          <cell r="S714" t="str">
            <v>@@</v>
          </cell>
          <cell r="AB714" t="str">
            <v>@@</v>
          </cell>
          <cell r="AC714" t="str">
            <v>@@</v>
          </cell>
          <cell r="AD714" t="str">
            <v>@@</v>
          </cell>
          <cell r="AL714" t="str">
            <v>@@</v>
          </cell>
        </row>
        <row r="715">
          <cell r="J715">
            <v>89200</v>
          </cell>
          <cell r="L715" t="str">
            <v>@@</v>
          </cell>
          <cell r="M715" t="str">
            <v>@@</v>
          </cell>
          <cell r="N715" t="str">
            <v>@@</v>
          </cell>
          <cell r="O715" t="str">
            <v>@@</v>
          </cell>
          <cell r="P715" t="str">
            <v>@@</v>
          </cell>
          <cell r="Q715" t="str">
            <v>@@</v>
          </cell>
          <cell r="R715" t="str">
            <v>@@</v>
          </cell>
          <cell r="S715" t="str">
            <v>@@</v>
          </cell>
          <cell r="AB715" t="str">
            <v>@@</v>
          </cell>
          <cell r="AC715" t="str">
            <v>@@</v>
          </cell>
          <cell r="AD715" t="str">
            <v>@@</v>
          </cell>
          <cell r="AL715" t="str">
            <v>@@</v>
          </cell>
        </row>
        <row r="716">
          <cell r="J716">
            <v>89300</v>
          </cell>
          <cell r="L716" t="str">
            <v>@@</v>
          </cell>
          <cell r="M716" t="str">
            <v>@@</v>
          </cell>
          <cell r="N716" t="str">
            <v>@@</v>
          </cell>
          <cell r="O716" t="str">
            <v>@@</v>
          </cell>
          <cell r="P716" t="str">
            <v>@@</v>
          </cell>
          <cell r="Q716" t="str">
            <v>@@</v>
          </cell>
          <cell r="R716" t="str">
            <v>@@</v>
          </cell>
          <cell r="S716" t="str">
            <v>@@</v>
          </cell>
          <cell r="AB716" t="str">
            <v>@@</v>
          </cell>
          <cell r="AC716" t="str">
            <v>@@</v>
          </cell>
          <cell r="AD716" t="str">
            <v>@@</v>
          </cell>
          <cell r="AL716" t="str">
            <v>@@</v>
          </cell>
        </row>
        <row r="717">
          <cell r="J717">
            <v>89400</v>
          </cell>
          <cell r="L717" t="str">
            <v>@@</v>
          </cell>
          <cell r="M717" t="str">
            <v>@@</v>
          </cell>
          <cell r="N717" t="str">
            <v>@@</v>
          </cell>
          <cell r="O717" t="str">
            <v>@@</v>
          </cell>
          <cell r="P717" t="str">
            <v>@@</v>
          </cell>
          <cell r="Q717" t="str">
            <v>@@</v>
          </cell>
          <cell r="R717" t="str">
            <v>@@</v>
          </cell>
          <cell r="S717" t="str">
            <v>@@</v>
          </cell>
          <cell r="AB717" t="str">
            <v>@@</v>
          </cell>
          <cell r="AC717">
            <v>0</v>
          </cell>
          <cell r="AD717">
            <v>0</v>
          </cell>
          <cell r="AL717" t="str">
            <v>@@</v>
          </cell>
        </row>
        <row r="718">
          <cell r="J718">
            <v>89500</v>
          </cell>
          <cell r="L718">
            <v>89500</v>
          </cell>
          <cell r="M718">
            <v>0</v>
          </cell>
          <cell r="N718">
            <v>0</v>
          </cell>
          <cell r="O718">
            <v>-36.799999999999997</v>
          </cell>
          <cell r="P718">
            <v>6.3</v>
          </cell>
          <cell r="Q718">
            <v>-56.333333333333321</v>
          </cell>
          <cell r="R718">
            <v>3.5</v>
          </cell>
          <cell r="S718">
            <v>1</v>
          </cell>
          <cell r="T718">
            <v>89500</v>
          </cell>
          <cell r="W718">
            <v>-36.799999999999997</v>
          </cell>
          <cell r="X718">
            <v>6.3</v>
          </cell>
          <cell r="Y718">
            <v>-56.333333333333321</v>
          </cell>
          <cell r="Z718">
            <v>3.5</v>
          </cell>
          <cell r="AA718">
            <v>1</v>
          </cell>
          <cell r="AB718">
            <v>89500</v>
          </cell>
          <cell r="AC718">
            <v>-36.799999999999997</v>
          </cell>
          <cell r="AD718">
            <v>6.3</v>
          </cell>
          <cell r="AE718">
            <v>89500</v>
          </cell>
          <cell r="AF718">
            <v>-36.799999999999997</v>
          </cell>
          <cell r="AG718">
            <v>6.3</v>
          </cell>
          <cell r="AL718">
            <v>9.8000000000000007</v>
          </cell>
          <cell r="AM718">
            <v>9.8000000000000007</v>
          </cell>
        </row>
        <row r="719">
          <cell r="J719">
            <v>89600</v>
          </cell>
          <cell r="L719" t="str">
            <v>@@</v>
          </cell>
          <cell r="M719" t="str">
            <v>@@</v>
          </cell>
          <cell r="N719" t="str">
            <v>@@</v>
          </cell>
          <cell r="O719" t="str">
            <v>@@</v>
          </cell>
          <cell r="P719" t="str">
            <v>@@</v>
          </cell>
          <cell r="Q719" t="str">
            <v>@@</v>
          </cell>
          <cell r="R719" t="str">
            <v>@@</v>
          </cell>
          <cell r="S719" t="str">
            <v>@@</v>
          </cell>
          <cell r="AB719" t="str">
            <v>@@</v>
          </cell>
          <cell r="AC719">
            <v>-56.333333333333321</v>
          </cell>
          <cell r="AD719">
            <v>3.5</v>
          </cell>
          <cell r="AF719">
            <v>-56.333333333333321</v>
          </cell>
          <cell r="AG719">
            <v>3.5</v>
          </cell>
          <cell r="AL719" t="str">
            <v>@@</v>
          </cell>
        </row>
        <row r="720">
          <cell r="J720">
            <v>89700</v>
          </cell>
          <cell r="L720" t="str">
            <v>@@</v>
          </cell>
          <cell r="M720" t="str">
            <v>@@</v>
          </cell>
          <cell r="N720" t="str">
            <v>@@</v>
          </cell>
          <cell r="O720" t="str">
            <v>@@</v>
          </cell>
          <cell r="P720" t="str">
            <v>@@</v>
          </cell>
          <cell r="Q720" t="str">
            <v>@@</v>
          </cell>
          <cell r="R720" t="str">
            <v>@@</v>
          </cell>
          <cell r="S720" t="str">
            <v>@@</v>
          </cell>
          <cell r="AB720" t="str">
            <v>@@</v>
          </cell>
          <cell r="AC720" t="str">
            <v>@@</v>
          </cell>
          <cell r="AD720" t="str">
            <v>@@</v>
          </cell>
          <cell r="AL720" t="str">
            <v>@@</v>
          </cell>
        </row>
        <row r="721">
          <cell r="J721">
            <v>89800</v>
          </cell>
          <cell r="L721" t="str">
            <v>@@</v>
          </cell>
          <cell r="M721" t="str">
            <v>@@</v>
          </cell>
          <cell r="N721" t="str">
            <v>@@</v>
          </cell>
          <cell r="O721" t="str">
            <v>@@</v>
          </cell>
          <cell r="P721" t="str">
            <v>@@</v>
          </cell>
          <cell r="Q721" t="str">
            <v>@@</v>
          </cell>
          <cell r="R721" t="str">
            <v>@@</v>
          </cell>
          <cell r="S721" t="str">
            <v>@@</v>
          </cell>
          <cell r="AB721" t="str">
            <v>@@</v>
          </cell>
          <cell r="AC721" t="str">
            <v>@@</v>
          </cell>
          <cell r="AD721" t="str">
            <v>@@</v>
          </cell>
          <cell r="AL721" t="str">
            <v>@@</v>
          </cell>
        </row>
        <row r="722">
          <cell r="J722">
            <v>89900</v>
          </cell>
          <cell r="L722" t="str">
            <v>@@</v>
          </cell>
          <cell r="M722" t="str">
            <v>@@</v>
          </cell>
          <cell r="N722" t="str">
            <v>@@</v>
          </cell>
          <cell r="O722" t="str">
            <v>@@</v>
          </cell>
          <cell r="P722" t="str">
            <v>@@</v>
          </cell>
          <cell r="Q722" t="str">
            <v>@@</v>
          </cell>
          <cell r="R722" t="str">
            <v>@@</v>
          </cell>
          <cell r="S722" t="str">
            <v>@@</v>
          </cell>
          <cell r="AB722" t="str">
            <v>@@</v>
          </cell>
          <cell r="AC722" t="str">
            <v>@@</v>
          </cell>
          <cell r="AD722" t="str">
            <v>@@</v>
          </cell>
          <cell r="AL722" t="str">
            <v>@@</v>
          </cell>
        </row>
        <row r="723">
          <cell r="J723">
            <v>90000</v>
          </cell>
          <cell r="L723" t="str">
            <v>@@</v>
          </cell>
          <cell r="M723" t="str">
            <v>@@</v>
          </cell>
          <cell r="N723" t="str">
            <v>@@</v>
          </cell>
          <cell r="O723" t="str">
            <v>@@</v>
          </cell>
          <cell r="P723" t="str">
            <v>@@</v>
          </cell>
          <cell r="Q723" t="str">
            <v>@@</v>
          </cell>
          <cell r="R723" t="str">
            <v>@@</v>
          </cell>
          <cell r="S723" t="str">
            <v>@@</v>
          </cell>
          <cell r="AB723" t="str">
            <v>@@</v>
          </cell>
          <cell r="AC723" t="str">
            <v>@@</v>
          </cell>
          <cell r="AD723" t="str">
            <v>@@</v>
          </cell>
          <cell r="AL723" t="str">
            <v>@@</v>
          </cell>
        </row>
        <row r="724">
          <cell r="J724">
            <v>90100</v>
          </cell>
          <cell r="L724" t="str">
            <v>@@</v>
          </cell>
          <cell r="M724" t="str">
            <v>@@</v>
          </cell>
          <cell r="N724" t="str">
            <v>@@</v>
          </cell>
          <cell r="O724" t="str">
            <v>@@</v>
          </cell>
          <cell r="P724" t="str">
            <v>@@</v>
          </cell>
          <cell r="Q724" t="str">
            <v>@@</v>
          </cell>
          <cell r="R724" t="str">
            <v>@@</v>
          </cell>
          <cell r="S724" t="str">
            <v>@@</v>
          </cell>
          <cell r="AB724" t="str">
            <v>@@</v>
          </cell>
          <cell r="AC724" t="str">
            <v>@@</v>
          </cell>
          <cell r="AD724" t="str">
            <v>@@</v>
          </cell>
          <cell r="AL724" t="str">
            <v>@@</v>
          </cell>
        </row>
        <row r="725">
          <cell r="J725">
            <v>90200</v>
          </cell>
          <cell r="L725" t="str">
            <v>@@</v>
          </cell>
          <cell r="M725" t="str">
            <v>@@</v>
          </cell>
          <cell r="N725" t="str">
            <v>@@</v>
          </cell>
          <cell r="O725" t="str">
            <v>@@</v>
          </cell>
          <cell r="P725" t="str">
            <v>@@</v>
          </cell>
          <cell r="Q725" t="str">
            <v>@@</v>
          </cell>
          <cell r="R725" t="str">
            <v>@@</v>
          </cell>
          <cell r="S725" t="str">
            <v>@@</v>
          </cell>
          <cell r="AB725" t="str">
            <v>@@</v>
          </cell>
          <cell r="AC725" t="str">
            <v>@@</v>
          </cell>
          <cell r="AD725" t="str">
            <v>@@</v>
          </cell>
          <cell r="AL725" t="str">
            <v>@@</v>
          </cell>
        </row>
        <row r="726">
          <cell r="J726">
            <v>90300</v>
          </cell>
          <cell r="L726" t="str">
            <v>@@</v>
          </cell>
          <cell r="M726" t="str">
            <v>@@</v>
          </cell>
          <cell r="N726" t="str">
            <v>@@</v>
          </cell>
          <cell r="O726" t="str">
            <v>@@</v>
          </cell>
          <cell r="P726" t="str">
            <v>@@</v>
          </cell>
          <cell r="Q726" t="str">
            <v>@@</v>
          </cell>
          <cell r="R726" t="str">
            <v>@@</v>
          </cell>
          <cell r="S726" t="str">
            <v>@@</v>
          </cell>
          <cell r="AB726" t="str">
            <v>@@</v>
          </cell>
          <cell r="AC726" t="str">
            <v>@@</v>
          </cell>
          <cell r="AD726" t="str">
            <v>@@</v>
          </cell>
          <cell r="AL726" t="str">
            <v>@@</v>
          </cell>
        </row>
        <row r="727">
          <cell r="J727">
            <v>90400</v>
          </cell>
          <cell r="L727" t="str">
            <v>@@</v>
          </cell>
          <cell r="M727" t="str">
            <v>@@</v>
          </cell>
          <cell r="N727" t="str">
            <v>@@</v>
          </cell>
          <cell r="O727" t="str">
            <v>@@</v>
          </cell>
          <cell r="P727" t="str">
            <v>@@</v>
          </cell>
          <cell r="Q727" t="str">
            <v>@@</v>
          </cell>
          <cell r="R727" t="str">
            <v>@@</v>
          </cell>
          <cell r="S727" t="str">
            <v>@@</v>
          </cell>
          <cell r="AB727" t="str">
            <v>@@</v>
          </cell>
          <cell r="AC727" t="str">
            <v>@@</v>
          </cell>
          <cell r="AD727" t="str">
            <v>@@</v>
          </cell>
          <cell r="AL727" t="str">
            <v>@@</v>
          </cell>
        </row>
        <row r="728">
          <cell r="J728">
            <v>90500</v>
          </cell>
          <cell r="L728" t="str">
            <v>@@</v>
          </cell>
          <cell r="M728" t="str">
            <v>@@</v>
          </cell>
          <cell r="N728" t="str">
            <v>@@</v>
          </cell>
          <cell r="O728" t="str">
            <v>@@</v>
          </cell>
          <cell r="P728" t="str">
            <v>@@</v>
          </cell>
          <cell r="Q728" t="str">
            <v>@@</v>
          </cell>
          <cell r="R728" t="str">
            <v>@@</v>
          </cell>
          <cell r="S728" t="str">
            <v>@@</v>
          </cell>
          <cell r="AB728" t="str">
            <v>@@</v>
          </cell>
          <cell r="AC728">
            <v>0</v>
          </cell>
          <cell r="AD728">
            <v>0</v>
          </cell>
          <cell r="AL728" t="str">
            <v>@@</v>
          </cell>
        </row>
        <row r="729">
          <cell r="J729">
            <v>90600</v>
          </cell>
          <cell r="L729">
            <v>90600</v>
          </cell>
          <cell r="M729">
            <v>0</v>
          </cell>
          <cell r="N729">
            <v>0</v>
          </cell>
          <cell r="O729">
            <v>-69.2</v>
          </cell>
          <cell r="P729">
            <v>6.3</v>
          </cell>
          <cell r="Q729">
            <v>-68.222222222222214</v>
          </cell>
          <cell r="R729">
            <v>4.8</v>
          </cell>
          <cell r="S729">
            <v>1</v>
          </cell>
          <cell r="T729">
            <v>90600</v>
          </cell>
          <cell r="W729">
            <v>-69.2</v>
          </cell>
          <cell r="X729">
            <v>6.3</v>
          </cell>
          <cell r="Y729">
            <v>-68.222222222222214</v>
          </cell>
          <cell r="Z729">
            <v>4.8</v>
          </cell>
          <cell r="AA729">
            <v>1</v>
          </cell>
          <cell r="AB729">
            <v>90600</v>
          </cell>
          <cell r="AC729">
            <v>-69.2</v>
          </cell>
          <cell r="AD729">
            <v>6.3</v>
          </cell>
          <cell r="AE729">
            <v>90600</v>
          </cell>
          <cell r="AF729">
            <v>-69.2</v>
          </cell>
          <cell r="AG729">
            <v>6.3</v>
          </cell>
          <cell r="AL729">
            <v>11.1</v>
          </cell>
          <cell r="AM729">
            <v>11.1</v>
          </cell>
        </row>
        <row r="730">
          <cell r="J730">
            <v>90700</v>
          </cell>
          <cell r="L730" t="str">
            <v>@@</v>
          </cell>
          <cell r="M730" t="str">
            <v>@@</v>
          </cell>
          <cell r="N730" t="str">
            <v>@@</v>
          </cell>
          <cell r="O730" t="str">
            <v>@@</v>
          </cell>
          <cell r="P730" t="str">
            <v>@@</v>
          </cell>
          <cell r="Q730" t="str">
            <v>@@</v>
          </cell>
          <cell r="R730" t="str">
            <v>@@</v>
          </cell>
          <cell r="S730" t="str">
            <v>@@</v>
          </cell>
          <cell r="AB730" t="str">
            <v>@@</v>
          </cell>
          <cell r="AC730">
            <v>-68.222222222222214</v>
          </cell>
          <cell r="AD730">
            <v>4.8</v>
          </cell>
          <cell r="AF730">
            <v>-68.222222222222214</v>
          </cell>
          <cell r="AG730">
            <v>4.8</v>
          </cell>
          <cell r="AL730" t="str">
            <v>@@</v>
          </cell>
        </row>
        <row r="731">
          <cell r="J731">
            <v>90800</v>
          </cell>
          <cell r="L731" t="str">
            <v>@@</v>
          </cell>
          <cell r="M731" t="str">
            <v>@@</v>
          </cell>
          <cell r="N731" t="str">
            <v>@@</v>
          </cell>
          <cell r="O731" t="str">
            <v>@@</v>
          </cell>
          <cell r="P731" t="str">
            <v>@@</v>
          </cell>
          <cell r="Q731" t="str">
            <v>@@</v>
          </cell>
          <cell r="R731" t="str">
            <v>@@</v>
          </cell>
          <cell r="S731" t="str">
            <v>@@</v>
          </cell>
          <cell r="AB731" t="str">
            <v>@@</v>
          </cell>
          <cell r="AC731" t="str">
            <v>@@</v>
          </cell>
          <cell r="AD731" t="str">
            <v>@@</v>
          </cell>
          <cell r="AL731" t="str">
            <v>@@</v>
          </cell>
        </row>
        <row r="732">
          <cell r="J732">
            <v>90900</v>
          </cell>
          <cell r="L732" t="str">
            <v>@@</v>
          </cell>
          <cell r="M732" t="str">
            <v>@@</v>
          </cell>
          <cell r="N732" t="str">
            <v>@@</v>
          </cell>
          <cell r="O732" t="str">
            <v>@@</v>
          </cell>
          <cell r="P732" t="str">
            <v>@@</v>
          </cell>
          <cell r="Q732" t="str">
            <v>@@</v>
          </cell>
          <cell r="R732" t="str">
            <v>@@</v>
          </cell>
          <cell r="S732" t="str">
            <v>@@</v>
          </cell>
          <cell r="AB732" t="str">
            <v>@@</v>
          </cell>
          <cell r="AC732" t="str">
            <v>@@</v>
          </cell>
          <cell r="AD732" t="str">
            <v>@@</v>
          </cell>
          <cell r="AL732" t="str">
            <v>@@</v>
          </cell>
        </row>
        <row r="733">
          <cell r="J733">
            <v>91000</v>
          </cell>
          <cell r="L733" t="str">
            <v>@@</v>
          </cell>
          <cell r="M733" t="str">
            <v>@@</v>
          </cell>
          <cell r="N733" t="str">
            <v>@@</v>
          </cell>
          <cell r="O733" t="str">
            <v>@@</v>
          </cell>
          <cell r="P733" t="str">
            <v>@@</v>
          </cell>
          <cell r="Q733" t="str">
            <v>@@</v>
          </cell>
          <cell r="R733" t="str">
            <v>@@</v>
          </cell>
          <cell r="S733" t="str">
            <v>@@</v>
          </cell>
          <cell r="AB733" t="str">
            <v>@@</v>
          </cell>
          <cell r="AC733" t="str">
            <v>@@</v>
          </cell>
          <cell r="AD733" t="str">
            <v>@@</v>
          </cell>
          <cell r="AL733" t="str">
            <v>@@</v>
          </cell>
        </row>
        <row r="734">
          <cell r="J734">
            <v>91100</v>
          </cell>
          <cell r="L734" t="str">
            <v>@@</v>
          </cell>
          <cell r="M734" t="str">
            <v>@@</v>
          </cell>
          <cell r="N734" t="str">
            <v>@@</v>
          </cell>
          <cell r="O734" t="str">
            <v>@@</v>
          </cell>
          <cell r="P734" t="str">
            <v>@@</v>
          </cell>
          <cell r="Q734" t="str">
            <v>@@</v>
          </cell>
          <cell r="R734" t="str">
            <v>@@</v>
          </cell>
          <cell r="S734" t="str">
            <v>@@</v>
          </cell>
          <cell r="AB734" t="str">
            <v>@@</v>
          </cell>
          <cell r="AC734" t="str">
            <v>@@</v>
          </cell>
          <cell r="AD734" t="str">
            <v>@@</v>
          </cell>
          <cell r="AL734" t="str">
            <v>@@</v>
          </cell>
        </row>
        <row r="735">
          <cell r="J735">
            <v>91200</v>
          </cell>
          <cell r="L735" t="str">
            <v>@@</v>
          </cell>
          <cell r="M735" t="str">
            <v>@@</v>
          </cell>
          <cell r="N735" t="str">
            <v>@@</v>
          </cell>
          <cell r="O735" t="str">
            <v>@@</v>
          </cell>
          <cell r="P735" t="str">
            <v>@@</v>
          </cell>
          <cell r="Q735" t="str">
            <v>@@</v>
          </cell>
          <cell r="R735" t="str">
            <v>@@</v>
          </cell>
          <cell r="S735" t="str">
            <v>@@</v>
          </cell>
          <cell r="AB735" t="str">
            <v>@@</v>
          </cell>
          <cell r="AC735" t="str">
            <v>@@</v>
          </cell>
          <cell r="AD735" t="str">
            <v>@@</v>
          </cell>
          <cell r="AL735" t="str">
            <v>@@</v>
          </cell>
        </row>
        <row r="736">
          <cell r="J736">
            <v>91300</v>
          </cell>
          <cell r="L736" t="str">
            <v>@@</v>
          </cell>
          <cell r="M736" t="str">
            <v>@@</v>
          </cell>
          <cell r="N736" t="str">
            <v>@@</v>
          </cell>
          <cell r="O736" t="str">
            <v>@@</v>
          </cell>
          <cell r="P736" t="str">
            <v>@@</v>
          </cell>
          <cell r="Q736" t="str">
            <v>@@</v>
          </cell>
          <cell r="R736" t="str">
            <v>@@</v>
          </cell>
          <cell r="S736" t="str">
            <v>@@</v>
          </cell>
          <cell r="AB736" t="str">
            <v>@@</v>
          </cell>
          <cell r="AC736" t="str">
            <v>@@</v>
          </cell>
          <cell r="AD736" t="str">
            <v>@@</v>
          </cell>
          <cell r="AL736" t="str">
            <v>@@</v>
          </cell>
        </row>
        <row r="737">
          <cell r="J737">
            <v>91400</v>
          </cell>
          <cell r="L737" t="str">
            <v>@@</v>
          </cell>
          <cell r="M737" t="str">
            <v>@@</v>
          </cell>
          <cell r="N737" t="str">
            <v>@@</v>
          </cell>
          <cell r="O737" t="str">
            <v>@@</v>
          </cell>
          <cell r="P737" t="str">
            <v>@@</v>
          </cell>
          <cell r="Q737" t="str">
            <v>@@</v>
          </cell>
          <cell r="R737" t="str">
            <v>@@</v>
          </cell>
          <cell r="S737" t="str">
            <v>@@</v>
          </cell>
          <cell r="AB737" t="str">
            <v>@@</v>
          </cell>
          <cell r="AC737">
            <v>0</v>
          </cell>
          <cell r="AD737">
            <v>0</v>
          </cell>
          <cell r="AL737" t="str">
            <v>@@</v>
          </cell>
        </row>
        <row r="738">
          <cell r="J738">
            <v>91500</v>
          </cell>
          <cell r="L738">
            <v>91500</v>
          </cell>
          <cell r="M738">
            <v>0</v>
          </cell>
          <cell r="N738">
            <v>0</v>
          </cell>
          <cell r="O738">
            <v>-39.25</v>
          </cell>
          <cell r="P738">
            <v>4.9000000000000004</v>
          </cell>
          <cell r="Q738">
            <v>-63.25</v>
          </cell>
          <cell r="R738">
            <v>4.7</v>
          </cell>
          <cell r="S738">
            <v>1</v>
          </cell>
          <cell r="T738">
            <v>91500</v>
          </cell>
          <cell r="W738">
            <v>-39.25</v>
          </cell>
          <cell r="X738">
            <v>4.9000000000000004</v>
          </cell>
          <cell r="Y738">
            <v>-63.25</v>
          </cell>
          <cell r="Z738">
            <v>4.7</v>
          </cell>
          <cell r="AA738">
            <v>1</v>
          </cell>
          <cell r="AB738">
            <v>91500</v>
          </cell>
          <cell r="AC738">
            <v>-39.25</v>
          </cell>
          <cell r="AD738">
            <v>4.9000000000000004</v>
          </cell>
          <cell r="AE738">
            <v>91500</v>
          </cell>
          <cell r="AF738">
            <v>-39.25</v>
          </cell>
          <cell r="AG738">
            <v>4.9000000000000004</v>
          </cell>
          <cell r="AL738">
            <v>9.6000000000000014</v>
          </cell>
          <cell r="AM738">
            <v>9.6</v>
          </cell>
        </row>
        <row r="739">
          <cell r="J739">
            <v>91600</v>
          </cell>
          <cell r="L739" t="str">
            <v>@@</v>
          </cell>
          <cell r="M739" t="str">
            <v>@@</v>
          </cell>
          <cell r="N739" t="str">
            <v>@@</v>
          </cell>
          <cell r="O739" t="str">
            <v>@@</v>
          </cell>
          <cell r="P739" t="str">
            <v>@@</v>
          </cell>
          <cell r="Q739" t="str">
            <v>@@</v>
          </cell>
          <cell r="R739" t="str">
            <v>@@</v>
          </cell>
          <cell r="S739" t="str">
            <v>@@</v>
          </cell>
          <cell r="AB739" t="str">
            <v>@@</v>
          </cell>
          <cell r="AC739">
            <v>-63.25</v>
          </cell>
          <cell r="AD739">
            <v>4.7</v>
          </cell>
          <cell r="AF739">
            <v>-63.25</v>
          </cell>
          <cell r="AG739">
            <v>4.7</v>
          </cell>
          <cell r="AL739" t="str">
            <v>@@</v>
          </cell>
        </row>
        <row r="740">
          <cell r="J740">
            <v>91700</v>
          </cell>
          <cell r="L740" t="str">
            <v>@@</v>
          </cell>
          <cell r="M740" t="str">
            <v>@@</v>
          </cell>
          <cell r="N740" t="str">
            <v>@@</v>
          </cell>
          <cell r="O740" t="str">
            <v>@@</v>
          </cell>
          <cell r="P740" t="str">
            <v>@@</v>
          </cell>
          <cell r="Q740" t="str">
            <v>@@</v>
          </cell>
          <cell r="R740" t="str">
            <v>@@</v>
          </cell>
          <cell r="S740" t="str">
            <v>@@</v>
          </cell>
          <cell r="AB740" t="str">
            <v>@@</v>
          </cell>
          <cell r="AC740" t="str">
            <v>@@</v>
          </cell>
          <cell r="AD740" t="str">
            <v>@@</v>
          </cell>
          <cell r="AL740" t="str">
            <v>@@</v>
          </cell>
        </row>
        <row r="741">
          <cell r="J741">
            <v>91800</v>
          </cell>
          <cell r="L741" t="str">
            <v>@@</v>
          </cell>
          <cell r="M741" t="str">
            <v>@@</v>
          </cell>
          <cell r="N741" t="str">
            <v>@@</v>
          </cell>
          <cell r="O741" t="str">
            <v>@@</v>
          </cell>
          <cell r="P741" t="str">
            <v>@@</v>
          </cell>
          <cell r="Q741" t="str">
            <v>@@</v>
          </cell>
          <cell r="R741" t="str">
            <v>@@</v>
          </cell>
          <cell r="S741" t="str">
            <v>@@</v>
          </cell>
          <cell r="AB741" t="str">
            <v>@@</v>
          </cell>
          <cell r="AC741" t="str">
            <v>@@</v>
          </cell>
          <cell r="AD741" t="str">
            <v>@@</v>
          </cell>
          <cell r="AL741" t="str">
            <v>@@</v>
          </cell>
        </row>
        <row r="742">
          <cell r="J742">
            <v>91900</v>
          </cell>
          <cell r="L742" t="str">
            <v>@@</v>
          </cell>
          <cell r="M742" t="str">
            <v>@@</v>
          </cell>
          <cell r="N742" t="str">
            <v>@@</v>
          </cell>
          <cell r="O742" t="str">
            <v>@@</v>
          </cell>
          <cell r="P742" t="str">
            <v>@@</v>
          </cell>
          <cell r="Q742" t="str">
            <v>@@</v>
          </cell>
          <cell r="R742" t="str">
            <v>@@</v>
          </cell>
          <cell r="S742" t="str">
            <v>@@</v>
          </cell>
          <cell r="AB742" t="str">
            <v>@@</v>
          </cell>
          <cell r="AC742" t="str">
            <v>@@</v>
          </cell>
          <cell r="AD742" t="str">
            <v>@@</v>
          </cell>
          <cell r="AL742" t="str">
            <v>@@</v>
          </cell>
        </row>
        <row r="743">
          <cell r="J743">
            <v>92000</v>
          </cell>
          <cell r="L743" t="str">
            <v>@@</v>
          </cell>
          <cell r="M743" t="str">
            <v>@@</v>
          </cell>
          <cell r="N743" t="str">
            <v>@@</v>
          </cell>
          <cell r="O743" t="str">
            <v>@@</v>
          </cell>
          <cell r="P743" t="str">
            <v>@@</v>
          </cell>
          <cell r="Q743" t="str">
            <v>@@</v>
          </cell>
          <cell r="R743" t="str">
            <v>@@</v>
          </cell>
          <cell r="S743" t="str">
            <v>@@</v>
          </cell>
          <cell r="AB743" t="str">
            <v>@@</v>
          </cell>
          <cell r="AC743" t="str">
            <v>@@</v>
          </cell>
          <cell r="AD743" t="str">
            <v>@@</v>
          </cell>
          <cell r="AL743" t="str">
            <v>@@</v>
          </cell>
        </row>
        <row r="744">
          <cell r="J744">
            <v>92100</v>
          </cell>
          <cell r="L744" t="str">
            <v>@@</v>
          </cell>
          <cell r="M744" t="str">
            <v>@@</v>
          </cell>
          <cell r="N744" t="str">
            <v>@@</v>
          </cell>
          <cell r="O744" t="str">
            <v>@@</v>
          </cell>
          <cell r="P744" t="str">
            <v>@@</v>
          </cell>
          <cell r="Q744" t="str">
            <v>@@</v>
          </cell>
          <cell r="R744" t="str">
            <v>@@</v>
          </cell>
          <cell r="S744" t="str">
            <v>@@</v>
          </cell>
          <cell r="AB744" t="str">
            <v>@@</v>
          </cell>
          <cell r="AC744" t="str">
            <v>@@</v>
          </cell>
          <cell r="AD744" t="str">
            <v>@@</v>
          </cell>
          <cell r="AL744" t="str">
            <v>@@</v>
          </cell>
        </row>
        <row r="745">
          <cell r="J745">
            <v>92200</v>
          </cell>
          <cell r="L745" t="str">
            <v>@@</v>
          </cell>
          <cell r="M745" t="str">
            <v>@@</v>
          </cell>
          <cell r="N745" t="str">
            <v>@@</v>
          </cell>
          <cell r="O745" t="str">
            <v>@@</v>
          </cell>
          <cell r="P745" t="str">
            <v>@@</v>
          </cell>
          <cell r="Q745" t="str">
            <v>@@</v>
          </cell>
          <cell r="R745" t="str">
            <v>@@</v>
          </cell>
          <cell r="S745" t="str">
            <v>@@</v>
          </cell>
          <cell r="AB745" t="str">
            <v>@@</v>
          </cell>
          <cell r="AC745" t="str">
            <v>@@</v>
          </cell>
          <cell r="AD745" t="str">
            <v>@@</v>
          </cell>
          <cell r="AL745" t="str">
            <v>@@</v>
          </cell>
        </row>
        <row r="746">
          <cell r="J746">
            <v>92300</v>
          </cell>
          <cell r="L746" t="str">
            <v>@@</v>
          </cell>
          <cell r="M746" t="str">
            <v>@@</v>
          </cell>
          <cell r="N746" t="str">
            <v>@@</v>
          </cell>
          <cell r="O746" t="str">
            <v>@@</v>
          </cell>
          <cell r="P746" t="str">
            <v>@@</v>
          </cell>
          <cell r="Q746" t="str">
            <v>@@</v>
          </cell>
          <cell r="R746" t="str">
            <v>@@</v>
          </cell>
          <cell r="S746" t="str">
            <v>@@</v>
          </cell>
          <cell r="AB746" t="str">
            <v>@@</v>
          </cell>
          <cell r="AC746" t="str">
            <v>@@</v>
          </cell>
          <cell r="AD746" t="str">
            <v>@@</v>
          </cell>
          <cell r="AL746" t="str">
            <v>@@</v>
          </cell>
        </row>
        <row r="747">
          <cell r="J747">
            <v>92400</v>
          </cell>
          <cell r="L747" t="str">
            <v>@@</v>
          </cell>
          <cell r="M747" t="str">
            <v>@@</v>
          </cell>
          <cell r="N747" t="str">
            <v>@@</v>
          </cell>
          <cell r="O747" t="str">
            <v>@@</v>
          </cell>
          <cell r="P747" t="str">
            <v>@@</v>
          </cell>
          <cell r="Q747" t="str">
            <v>@@</v>
          </cell>
          <cell r="R747" t="str">
            <v>@@</v>
          </cell>
          <cell r="S747" t="str">
            <v>@@</v>
          </cell>
          <cell r="AB747" t="str">
            <v>@@</v>
          </cell>
          <cell r="AC747">
            <v>0</v>
          </cell>
          <cell r="AD747">
            <v>0</v>
          </cell>
          <cell r="AL747" t="str">
            <v>@@</v>
          </cell>
        </row>
        <row r="748">
          <cell r="J748">
            <v>92500</v>
          </cell>
          <cell r="L748">
            <v>92500</v>
          </cell>
          <cell r="M748">
            <v>0</v>
          </cell>
          <cell r="N748">
            <v>0</v>
          </cell>
          <cell r="O748">
            <v>-21.4</v>
          </cell>
          <cell r="P748">
            <v>6.2</v>
          </cell>
          <cell r="Q748">
            <v>-45.25</v>
          </cell>
          <cell r="R748">
            <v>4</v>
          </cell>
          <cell r="S748">
            <v>1</v>
          </cell>
          <cell r="T748">
            <v>92500</v>
          </cell>
          <cell r="W748">
            <v>-21.4</v>
          </cell>
          <cell r="X748">
            <v>6.2</v>
          </cell>
          <cell r="Y748">
            <v>-45.25</v>
          </cell>
          <cell r="Z748">
            <v>4</v>
          </cell>
          <cell r="AA748">
            <v>1</v>
          </cell>
          <cell r="AB748">
            <v>92500</v>
          </cell>
          <cell r="AC748">
            <v>-21.4</v>
          </cell>
          <cell r="AD748">
            <v>6.2</v>
          </cell>
          <cell r="AE748">
            <v>92500</v>
          </cell>
          <cell r="AF748">
            <v>-21.4</v>
          </cell>
          <cell r="AG748">
            <v>6.2</v>
          </cell>
          <cell r="AL748">
            <v>10.199999999999999</v>
          </cell>
          <cell r="AM748">
            <v>10.199999999999999</v>
          </cell>
        </row>
        <row r="749">
          <cell r="J749">
            <v>92600</v>
          </cell>
          <cell r="L749" t="str">
            <v>@@</v>
          </cell>
          <cell r="M749" t="str">
            <v>@@</v>
          </cell>
          <cell r="N749" t="str">
            <v>@@</v>
          </cell>
          <cell r="O749" t="str">
            <v>@@</v>
          </cell>
          <cell r="P749" t="str">
            <v>@@</v>
          </cell>
          <cell r="Q749" t="str">
            <v>@@</v>
          </cell>
          <cell r="R749" t="str">
            <v>@@</v>
          </cell>
          <cell r="S749" t="str">
            <v>@@</v>
          </cell>
          <cell r="AB749" t="str">
            <v>@@</v>
          </cell>
          <cell r="AC749">
            <v>-45.25</v>
          </cell>
          <cell r="AD749">
            <v>4</v>
          </cell>
          <cell r="AF749">
            <v>-45.25</v>
          </cell>
          <cell r="AG749">
            <v>4</v>
          </cell>
          <cell r="AL749" t="str">
            <v>@@</v>
          </cell>
        </row>
        <row r="750">
          <cell r="J750">
            <v>92700</v>
          </cell>
          <cell r="L750" t="str">
            <v>@@</v>
          </cell>
          <cell r="M750" t="str">
            <v>@@</v>
          </cell>
          <cell r="N750" t="str">
            <v>@@</v>
          </cell>
          <cell r="O750" t="str">
            <v>@@</v>
          </cell>
          <cell r="P750" t="str">
            <v>@@</v>
          </cell>
          <cell r="Q750" t="str">
            <v>@@</v>
          </cell>
          <cell r="R750" t="str">
            <v>@@</v>
          </cell>
          <cell r="S750" t="str">
            <v>@@</v>
          </cell>
          <cell r="AB750" t="str">
            <v>@@</v>
          </cell>
          <cell r="AC750" t="str">
            <v>@@</v>
          </cell>
          <cell r="AD750" t="str">
            <v>@@</v>
          </cell>
          <cell r="AL750" t="str">
            <v>@@</v>
          </cell>
        </row>
        <row r="751">
          <cell r="J751">
            <v>92800</v>
          </cell>
          <cell r="L751" t="str">
            <v>@@</v>
          </cell>
          <cell r="M751" t="str">
            <v>@@</v>
          </cell>
          <cell r="N751" t="str">
            <v>@@</v>
          </cell>
          <cell r="O751" t="str">
            <v>@@</v>
          </cell>
          <cell r="P751" t="str">
            <v>@@</v>
          </cell>
          <cell r="Q751" t="str">
            <v>@@</v>
          </cell>
          <cell r="R751" t="str">
            <v>@@</v>
          </cell>
          <cell r="S751" t="str">
            <v>@@</v>
          </cell>
          <cell r="AB751" t="str">
            <v>@@</v>
          </cell>
          <cell r="AC751" t="str">
            <v>@@</v>
          </cell>
          <cell r="AD751" t="str">
            <v>@@</v>
          </cell>
          <cell r="AL751" t="str">
            <v>@@</v>
          </cell>
        </row>
        <row r="752">
          <cell r="J752">
            <v>92900</v>
          </cell>
          <cell r="L752" t="str">
            <v>@@</v>
          </cell>
          <cell r="M752" t="str">
            <v>@@</v>
          </cell>
          <cell r="N752" t="str">
            <v>@@</v>
          </cell>
          <cell r="O752" t="str">
            <v>@@</v>
          </cell>
          <cell r="P752" t="str">
            <v>@@</v>
          </cell>
          <cell r="Q752" t="str">
            <v>@@</v>
          </cell>
          <cell r="R752" t="str">
            <v>@@</v>
          </cell>
          <cell r="S752" t="str">
            <v>@@</v>
          </cell>
          <cell r="AB752" t="str">
            <v>@@</v>
          </cell>
          <cell r="AC752" t="str">
            <v>@@</v>
          </cell>
          <cell r="AD752" t="str">
            <v>@@</v>
          </cell>
          <cell r="AL752" t="str">
            <v>@@</v>
          </cell>
        </row>
        <row r="753">
          <cell r="J753">
            <v>93000</v>
          </cell>
          <cell r="L753" t="str">
            <v>@@</v>
          </cell>
          <cell r="M753" t="str">
            <v>@@</v>
          </cell>
          <cell r="N753" t="str">
            <v>@@</v>
          </cell>
          <cell r="O753" t="str">
            <v>@@</v>
          </cell>
          <cell r="P753" t="str">
            <v>@@</v>
          </cell>
          <cell r="Q753" t="str">
            <v>@@</v>
          </cell>
          <cell r="R753" t="str">
            <v>@@</v>
          </cell>
          <cell r="S753" t="str">
            <v>@@</v>
          </cell>
          <cell r="AB753" t="str">
            <v>@@</v>
          </cell>
          <cell r="AC753" t="str">
            <v>@@</v>
          </cell>
          <cell r="AD753" t="str">
            <v>@@</v>
          </cell>
          <cell r="AL753" t="str">
            <v>@@</v>
          </cell>
        </row>
        <row r="754">
          <cell r="J754">
            <v>93100</v>
          </cell>
          <cell r="L754" t="str">
            <v>@@</v>
          </cell>
          <cell r="M754" t="str">
            <v>@@</v>
          </cell>
          <cell r="N754" t="str">
            <v>@@</v>
          </cell>
          <cell r="O754" t="str">
            <v>@@</v>
          </cell>
          <cell r="P754" t="str">
            <v>@@</v>
          </cell>
          <cell r="Q754" t="str">
            <v>@@</v>
          </cell>
          <cell r="R754" t="str">
            <v>@@</v>
          </cell>
          <cell r="S754" t="str">
            <v>@@</v>
          </cell>
          <cell r="AB754" t="str">
            <v>@@</v>
          </cell>
          <cell r="AC754" t="str">
            <v>@@</v>
          </cell>
          <cell r="AD754" t="str">
            <v>@@</v>
          </cell>
          <cell r="AL754" t="str">
            <v>@@</v>
          </cell>
        </row>
        <row r="755">
          <cell r="J755">
            <v>93200</v>
          </cell>
          <cell r="L755" t="str">
            <v>@@</v>
          </cell>
          <cell r="M755" t="str">
            <v>@@</v>
          </cell>
          <cell r="N755" t="str">
            <v>@@</v>
          </cell>
          <cell r="O755" t="str">
            <v>@@</v>
          </cell>
          <cell r="P755" t="str">
            <v>@@</v>
          </cell>
          <cell r="Q755" t="str">
            <v>@@</v>
          </cell>
          <cell r="R755" t="str">
            <v>@@</v>
          </cell>
          <cell r="S755" t="str">
            <v>@@</v>
          </cell>
          <cell r="AB755" t="str">
            <v>@@</v>
          </cell>
          <cell r="AC755" t="str">
            <v>@@</v>
          </cell>
          <cell r="AD755" t="str">
            <v>@@</v>
          </cell>
          <cell r="AL755" t="str">
            <v>@@</v>
          </cell>
        </row>
        <row r="756">
          <cell r="J756">
            <v>93300</v>
          </cell>
          <cell r="L756" t="str">
            <v>@@</v>
          </cell>
          <cell r="M756" t="str">
            <v>@@</v>
          </cell>
          <cell r="N756" t="str">
            <v>@@</v>
          </cell>
          <cell r="O756" t="str">
            <v>@@</v>
          </cell>
          <cell r="P756" t="str">
            <v>@@</v>
          </cell>
          <cell r="Q756" t="str">
            <v>@@</v>
          </cell>
          <cell r="R756" t="str">
            <v>@@</v>
          </cell>
          <cell r="S756" t="str">
            <v>@@</v>
          </cell>
          <cell r="AB756" t="str">
            <v>@@</v>
          </cell>
          <cell r="AC756" t="str">
            <v>@@</v>
          </cell>
          <cell r="AD756" t="str">
            <v>@@</v>
          </cell>
          <cell r="AL756" t="str">
            <v>@@</v>
          </cell>
        </row>
        <row r="757">
          <cell r="J757">
            <v>93400</v>
          </cell>
          <cell r="L757" t="str">
            <v>@@</v>
          </cell>
          <cell r="M757" t="str">
            <v>@@</v>
          </cell>
          <cell r="N757" t="str">
            <v>@@</v>
          </cell>
          <cell r="O757" t="str">
            <v>@@</v>
          </cell>
          <cell r="P757" t="str">
            <v>@@</v>
          </cell>
          <cell r="Q757" t="str">
            <v>@@</v>
          </cell>
          <cell r="R757" t="str">
            <v>@@</v>
          </cell>
          <cell r="S757" t="str">
            <v>@@</v>
          </cell>
          <cell r="AB757" t="str">
            <v>@@</v>
          </cell>
          <cell r="AC757">
            <v>0</v>
          </cell>
          <cell r="AD757">
            <v>0</v>
          </cell>
          <cell r="AL757" t="str">
            <v>@@</v>
          </cell>
        </row>
        <row r="758">
          <cell r="J758">
            <v>93500</v>
          </cell>
          <cell r="L758">
            <v>93500</v>
          </cell>
          <cell r="M758">
            <v>0</v>
          </cell>
          <cell r="N758">
            <v>0</v>
          </cell>
          <cell r="O758">
            <v>-18.75</v>
          </cell>
          <cell r="P758">
            <v>4.0999999999999996</v>
          </cell>
          <cell r="Q758">
            <v>-26.666666666666668</v>
          </cell>
          <cell r="R758">
            <v>4.5999999999999996</v>
          </cell>
          <cell r="S758">
            <v>1</v>
          </cell>
          <cell r="T758">
            <v>93500</v>
          </cell>
          <cell r="W758">
            <v>-18.75</v>
          </cell>
          <cell r="X758">
            <v>4.0999999999999996</v>
          </cell>
          <cell r="Y758">
            <v>-26.666666666666668</v>
          </cell>
          <cell r="Z758">
            <v>4.5999999999999996</v>
          </cell>
          <cell r="AA758">
            <v>1</v>
          </cell>
          <cell r="AB758">
            <v>93500</v>
          </cell>
          <cell r="AC758">
            <v>-18.75</v>
          </cell>
          <cell r="AD758">
            <v>4.0999999999999996</v>
          </cell>
          <cell r="AE758">
            <v>93500</v>
          </cell>
          <cell r="AF758">
            <v>-18.75</v>
          </cell>
          <cell r="AG758">
            <v>4.0999999999999996</v>
          </cell>
          <cell r="AL758">
            <v>8.6999999999999993</v>
          </cell>
          <cell r="AM758">
            <v>8.6999999999999993</v>
          </cell>
        </row>
        <row r="759">
          <cell r="J759">
            <v>93600</v>
          </cell>
          <cell r="L759" t="str">
            <v>@@</v>
          </cell>
          <cell r="M759" t="str">
            <v>@@</v>
          </cell>
          <cell r="N759" t="str">
            <v>@@</v>
          </cell>
          <cell r="O759" t="str">
            <v>@@</v>
          </cell>
          <cell r="P759" t="str">
            <v>@@</v>
          </cell>
          <cell r="Q759" t="str">
            <v>@@</v>
          </cell>
          <cell r="R759" t="str">
            <v>@@</v>
          </cell>
          <cell r="S759" t="str">
            <v>@@</v>
          </cell>
          <cell r="AB759" t="str">
            <v>@@</v>
          </cell>
          <cell r="AC759">
            <v>-26.666666666666668</v>
          </cell>
          <cell r="AD759">
            <v>4.5999999999999996</v>
          </cell>
          <cell r="AF759">
            <v>-26.666666666666668</v>
          </cell>
          <cell r="AG759">
            <v>4.5999999999999996</v>
          </cell>
          <cell r="AL759" t="str">
            <v>@@</v>
          </cell>
        </row>
        <row r="760">
          <cell r="J760">
            <v>93700</v>
          </cell>
          <cell r="L760" t="str">
            <v>@@</v>
          </cell>
          <cell r="M760" t="str">
            <v>@@</v>
          </cell>
          <cell r="N760" t="str">
            <v>@@</v>
          </cell>
          <cell r="O760" t="str">
            <v>@@</v>
          </cell>
          <cell r="P760" t="str">
            <v>@@</v>
          </cell>
          <cell r="Q760" t="str">
            <v>@@</v>
          </cell>
          <cell r="R760" t="str">
            <v>@@</v>
          </cell>
          <cell r="S760" t="str">
            <v>@@</v>
          </cell>
          <cell r="AB760" t="str">
            <v>@@</v>
          </cell>
          <cell r="AC760" t="str">
            <v>@@</v>
          </cell>
          <cell r="AD760" t="str">
            <v>@@</v>
          </cell>
          <cell r="AL760" t="str">
            <v>@@</v>
          </cell>
        </row>
        <row r="761">
          <cell r="J761">
            <v>93800</v>
          </cell>
          <cell r="L761" t="str">
            <v>@@</v>
          </cell>
          <cell r="M761" t="str">
            <v>@@</v>
          </cell>
          <cell r="N761" t="str">
            <v>@@</v>
          </cell>
          <cell r="O761" t="str">
            <v>@@</v>
          </cell>
          <cell r="P761" t="str">
            <v>@@</v>
          </cell>
          <cell r="Q761" t="str">
            <v>@@</v>
          </cell>
          <cell r="R761" t="str">
            <v>@@</v>
          </cell>
          <cell r="S761" t="str">
            <v>@@</v>
          </cell>
          <cell r="AB761" t="str">
            <v>@@</v>
          </cell>
          <cell r="AC761" t="str">
            <v>@@</v>
          </cell>
          <cell r="AD761" t="str">
            <v>@@</v>
          </cell>
          <cell r="AL761" t="str">
            <v>@@</v>
          </cell>
        </row>
        <row r="762">
          <cell r="J762">
            <v>93900</v>
          </cell>
          <cell r="L762" t="str">
            <v>@@</v>
          </cell>
          <cell r="M762" t="str">
            <v>@@</v>
          </cell>
          <cell r="N762" t="str">
            <v>@@</v>
          </cell>
          <cell r="O762" t="str">
            <v>@@</v>
          </cell>
          <cell r="P762" t="str">
            <v>@@</v>
          </cell>
          <cell r="Q762" t="str">
            <v>@@</v>
          </cell>
          <cell r="R762" t="str">
            <v>@@</v>
          </cell>
          <cell r="S762" t="str">
            <v>@@</v>
          </cell>
          <cell r="AB762" t="str">
            <v>@@</v>
          </cell>
          <cell r="AC762" t="str">
            <v>@@</v>
          </cell>
          <cell r="AD762" t="str">
            <v>@@</v>
          </cell>
          <cell r="AL762" t="str">
            <v>@@</v>
          </cell>
        </row>
        <row r="763">
          <cell r="J763">
            <v>94000</v>
          </cell>
          <cell r="L763" t="str">
            <v>@@</v>
          </cell>
          <cell r="M763" t="str">
            <v>@@</v>
          </cell>
          <cell r="N763" t="str">
            <v>@@</v>
          </cell>
          <cell r="O763" t="str">
            <v>@@</v>
          </cell>
          <cell r="P763" t="str">
            <v>@@</v>
          </cell>
          <cell r="Q763" t="str">
            <v>@@</v>
          </cell>
          <cell r="R763" t="str">
            <v>@@</v>
          </cell>
          <cell r="S763" t="str">
            <v>@@</v>
          </cell>
          <cell r="AB763" t="str">
            <v>@@</v>
          </cell>
          <cell r="AC763" t="str">
            <v>@@</v>
          </cell>
          <cell r="AD763" t="str">
            <v>@@</v>
          </cell>
          <cell r="AL763" t="str">
            <v>@@</v>
          </cell>
        </row>
        <row r="764">
          <cell r="J764">
            <v>94100</v>
          </cell>
          <cell r="L764" t="str">
            <v>@@</v>
          </cell>
          <cell r="M764" t="str">
            <v>@@</v>
          </cell>
          <cell r="N764" t="str">
            <v>@@</v>
          </cell>
          <cell r="O764" t="str">
            <v>@@</v>
          </cell>
          <cell r="P764" t="str">
            <v>@@</v>
          </cell>
          <cell r="Q764" t="str">
            <v>@@</v>
          </cell>
          <cell r="R764" t="str">
            <v>@@</v>
          </cell>
          <cell r="S764" t="str">
            <v>@@</v>
          </cell>
          <cell r="AB764" t="str">
            <v>@@</v>
          </cell>
          <cell r="AC764" t="str">
            <v>@@</v>
          </cell>
          <cell r="AD764" t="str">
            <v>@@</v>
          </cell>
          <cell r="AL764" t="str">
            <v>@@</v>
          </cell>
        </row>
        <row r="765">
          <cell r="J765">
            <v>94200</v>
          </cell>
          <cell r="L765" t="str">
            <v>@@</v>
          </cell>
          <cell r="M765" t="str">
            <v>@@</v>
          </cell>
          <cell r="N765" t="str">
            <v>@@</v>
          </cell>
          <cell r="O765" t="str">
            <v>@@</v>
          </cell>
          <cell r="P765" t="str">
            <v>@@</v>
          </cell>
          <cell r="Q765" t="str">
            <v>@@</v>
          </cell>
          <cell r="R765" t="str">
            <v>@@</v>
          </cell>
          <cell r="S765" t="str">
            <v>@@</v>
          </cell>
          <cell r="AB765" t="str">
            <v>@@</v>
          </cell>
          <cell r="AC765" t="str">
            <v>@@</v>
          </cell>
          <cell r="AD765" t="str">
            <v>@@</v>
          </cell>
          <cell r="AL765" t="str">
            <v>@@</v>
          </cell>
        </row>
        <row r="766">
          <cell r="J766">
            <v>94300</v>
          </cell>
          <cell r="L766" t="str">
            <v>@@</v>
          </cell>
          <cell r="M766" t="str">
            <v>@@</v>
          </cell>
          <cell r="N766" t="str">
            <v>@@</v>
          </cell>
          <cell r="O766" t="str">
            <v>@@</v>
          </cell>
          <cell r="P766" t="str">
            <v>@@</v>
          </cell>
          <cell r="Q766" t="str">
            <v>@@</v>
          </cell>
          <cell r="R766" t="str">
            <v>@@</v>
          </cell>
          <cell r="S766" t="str">
            <v>@@</v>
          </cell>
          <cell r="AB766" t="str">
            <v>@@</v>
          </cell>
          <cell r="AC766" t="str">
            <v>@@</v>
          </cell>
          <cell r="AD766" t="str">
            <v>@@</v>
          </cell>
          <cell r="AL766" t="str">
            <v>@@</v>
          </cell>
        </row>
        <row r="767">
          <cell r="J767">
            <v>94400</v>
          </cell>
          <cell r="L767" t="str">
            <v>@@</v>
          </cell>
          <cell r="M767" t="str">
            <v>@@</v>
          </cell>
          <cell r="N767" t="str">
            <v>@@</v>
          </cell>
          <cell r="O767" t="str">
            <v>@@</v>
          </cell>
          <cell r="P767" t="str">
            <v>@@</v>
          </cell>
          <cell r="Q767" t="str">
            <v>@@</v>
          </cell>
          <cell r="R767" t="str">
            <v>@@</v>
          </cell>
          <cell r="S767" t="str">
            <v>@@</v>
          </cell>
          <cell r="AB767" t="str">
            <v>@@</v>
          </cell>
          <cell r="AC767">
            <v>0</v>
          </cell>
          <cell r="AD767">
            <v>0</v>
          </cell>
          <cell r="AL767" t="str">
            <v>@@</v>
          </cell>
        </row>
        <row r="768">
          <cell r="J768">
            <v>94500</v>
          </cell>
          <cell r="L768">
            <v>94500</v>
          </cell>
          <cell r="M768">
            <v>0</v>
          </cell>
          <cell r="N768">
            <v>0</v>
          </cell>
          <cell r="O768">
            <v>-32.75</v>
          </cell>
          <cell r="P768">
            <v>4.0999999999999996</v>
          </cell>
          <cell r="Q768">
            <v>-30.888888888888889</v>
          </cell>
          <cell r="R768">
            <v>4.5999999999999996</v>
          </cell>
          <cell r="S768">
            <v>1</v>
          </cell>
          <cell r="T768">
            <v>94500</v>
          </cell>
          <cell r="W768">
            <v>-32.75</v>
          </cell>
          <cell r="X768">
            <v>4.0999999999999996</v>
          </cell>
          <cell r="Y768">
            <v>-30.888888888888889</v>
          </cell>
          <cell r="Z768">
            <v>4.5999999999999996</v>
          </cell>
          <cell r="AA768">
            <v>1</v>
          </cell>
          <cell r="AB768">
            <v>94500</v>
          </cell>
          <cell r="AC768">
            <v>-32.75</v>
          </cell>
          <cell r="AD768">
            <v>4.0999999999999996</v>
          </cell>
          <cell r="AE768">
            <v>94500</v>
          </cell>
          <cell r="AF768">
            <v>-32.75</v>
          </cell>
          <cell r="AG768">
            <v>4.0999999999999996</v>
          </cell>
          <cell r="AL768">
            <v>8.6999999999999993</v>
          </cell>
          <cell r="AM768">
            <v>8.6999999999999993</v>
          </cell>
        </row>
        <row r="769">
          <cell r="J769">
            <v>94600</v>
          </cell>
          <cell r="L769" t="str">
            <v>@@</v>
          </cell>
          <cell r="M769" t="str">
            <v>@@</v>
          </cell>
          <cell r="N769" t="str">
            <v>@@</v>
          </cell>
          <cell r="O769" t="str">
            <v>@@</v>
          </cell>
          <cell r="P769" t="str">
            <v>@@</v>
          </cell>
          <cell r="Q769" t="str">
            <v>@@</v>
          </cell>
          <cell r="R769" t="str">
            <v>@@</v>
          </cell>
          <cell r="S769" t="str">
            <v>@@</v>
          </cell>
          <cell r="AB769" t="str">
            <v>@@</v>
          </cell>
          <cell r="AC769">
            <v>-30.888888888888889</v>
          </cell>
          <cell r="AD769">
            <v>4.5999999999999996</v>
          </cell>
          <cell r="AF769">
            <v>-30.888888888888889</v>
          </cell>
          <cell r="AG769">
            <v>4.5999999999999996</v>
          </cell>
          <cell r="AL769" t="str">
            <v>@@</v>
          </cell>
        </row>
        <row r="770">
          <cell r="J770">
            <v>94700</v>
          </cell>
          <cell r="L770" t="str">
            <v>@@</v>
          </cell>
          <cell r="M770" t="str">
            <v>@@</v>
          </cell>
          <cell r="N770" t="str">
            <v>@@</v>
          </cell>
          <cell r="O770" t="str">
            <v>@@</v>
          </cell>
          <cell r="P770" t="str">
            <v>@@</v>
          </cell>
          <cell r="Q770" t="str">
            <v>@@</v>
          </cell>
          <cell r="R770" t="str">
            <v>@@</v>
          </cell>
          <cell r="S770" t="str">
            <v>@@</v>
          </cell>
          <cell r="AB770" t="str">
            <v>@@</v>
          </cell>
          <cell r="AC770" t="str">
            <v>@@</v>
          </cell>
          <cell r="AD770" t="str">
            <v>@@</v>
          </cell>
          <cell r="AL770" t="str">
            <v>@@</v>
          </cell>
        </row>
        <row r="771">
          <cell r="J771">
            <v>94800</v>
          </cell>
          <cell r="L771" t="str">
            <v>@@</v>
          </cell>
          <cell r="M771" t="str">
            <v>@@</v>
          </cell>
          <cell r="N771" t="str">
            <v>@@</v>
          </cell>
          <cell r="O771" t="str">
            <v>@@</v>
          </cell>
          <cell r="P771" t="str">
            <v>@@</v>
          </cell>
          <cell r="Q771" t="str">
            <v>@@</v>
          </cell>
          <cell r="R771" t="str">
            <v>@@</v>
          </cell>
          <cell r="S771" t="str">
            <v>@@</v>
          </cell>
          <cell r="AB771" t="str">
            <v>@@</v>
          </cell>
          <cell r="AC771" t="str">
            <v>@@</v>
          </cell>
          <cell r="AD771" t="str">
            <v>@@</v>
          </cell>
          <cell r="AL771" t="str">
            <v>@@</v>
          </cell>
        </row>
        <row r="772">
          <cell r="J772">
            <v>94900</v>
          </cell>
          <cell r="L772" t="str">
            <v>@@</v>
          </cell>
          <cell r="M772" t="str">
            <v>@@</v>
          </cell>
          <cell r="N772" t="str">
            <v>@@</v>
          </cell>
          <cell r="O772" t="str">
            <v>@@</v>
          </cell>
          <cell r="P772" t="str">
            <v>@@</v>
          </cell>
          <cell r="Q772" t="str">
            <v>@@</v>
          </cell>
          <cell r="R772" t="str">
            <v>@@</v>
          </cell>
          <cell r="S772" t="str">
            <v>@@</v>
          </cell>
          <cell r="AB772" t="str">
            <v>@@</v>
          </cell>
          <cell r="AC772" t="str">
            <v>@@</v>
          </cell>
          <cell r="AD772" t="str">
            <v>@@</v>
          </cell>
          <cell r="AL772" t="str">
            <v>@@</v>
          </cell>
        </row>
        <row r="773">
          <cell r="J773">
            <v>95000</v>
          </cell>
          <cell r="L773" t="str">
            <v>@@</v>
          </cell>
          <cell r="M773" t="str">
            <v>@@</v>
          </cell>
          <cell r="N773" t="str">
            <v>@@</v>
          </cell>
          <cell r="O773" t="str">
            <v>@@</v>
          </cell>
          <cell r="P773" t="str">
            <v>@@</v>
          </cell>
          <cell r="Q773" t="str">
            <v>@@</v>
          </cell>
          <cell r="R773" t="str">
            <v>@@</v>
          </cell>
          <cell r="S773" t="str">
            <v>@@</v>
          </cell>
          <cell r="AB773" t="str">
            <v>@@</v>
          </cell>
          <cell r="AC773" t="str">
            <v>@@</v>
          </cell>
          <cell r="AD773" t="str">
            <v>@@</v>
          </cell>
          <cell r="AL773" t="str">
            <v>@@</v>
          </cell>
        </row>
        <row r="774">
          <cell r="J774">
            <v>95100</v>
          </cell>
          <cell r="L774" t="str">
            <v>@@</v>
          </cell>
          <cell r="M774" t="str">
            <v>@@</v>
          </cell>
          <cell r="N774" t="str">
            <v>@@</v>
          </cell>
          <cell r="O774" t="str">
            <v>@@</v>
          </cell>
          <cell r="P774" t="str">
            <v>@@</v>
          </cell>
          <cell r="Q774" t="str">
            <v>@@</v>
          </cell>
          <cell r="R774" t="str">
            <v>@@</v>
          </cell>
          <cell r="S774" t="str">
            <v>@@</v>
          </cell>
          <cell r="AB774" t="str">
            <v>@@</v>
          </cell>
          <cell r="AC774" t="str">
            <v>@@</v>
          </cell>
          <cell r="AD774" t="str">
            <v>@@</v>
          </cell>
          <cell r="AL774" t="str">
            <v>@@</v>
          </cell>
        </row>
        <row r="775">
          <cell r="J775">
            <v>95200</v>
          </cell>
          <cell r="L775" t="str">
            <v>@@</v>
          </cell>
          <cell r="M775" t="str">
            <v>@@</v>
          </cell>
          <cell r="N775" t="str">
            <v>@@</v>
          </cell>
          <cell r="O775" t="str">
            <v>@@</v>
          </cell>
          <cell r="P775" t="str">
            <v>@@</v>
          </cell>
          <cell r="Q775" t="str">
            <v>@@</v>
          </cell>
          <cell r="R775" t="str">
            <v>@@</v>
          </cell>
          <cell r="S775" t="str">
            <v>@@</v>
          </cell>
          <cell r="AB775" t="str">
            <v>@@</v>
          </cell>
          <cell r="AC775" t="str">
            <v>@@</v>
          </cell>
          <cell r="AD775" t="str">
            <v>@@</v>
          </cell>
          <cell r="AL775" t="str">
            <v>@@</v>
          </cell>
        </row>
        <row r="776">
          <cell r="J776">
            <v>95300</v>
          </cell>
          <cell r="L776" t="str">
            <v>@@</v>
          </cell>
          <cell r="M776" t="str">
            <v>@@</v>
          </cell>
          <cell r="N776" t="str">
            <v>@@</v>
          </cell>
          <cell r="O776" t="str">
            <v>@@</v>
          </cell>
          <cell r="P776" t="str">
            <v>@@</v>
          </cell>
          <cell r="Q776" t="str">
            <v>@@</v>
          </cell>
          <cell r="R776" t="str">
            <v>@@</v>
          </cell>
          <cell r="S776" t="str">
            <v>@@</v>
          </cell>
          <cell r="AB776" t="str">
            <v>@@</v>
          </cell>
          <cell r="AC776" t="str">
            <v>@@</v>
          </cell>
          <cell r="AD776" t="str">
            <v>@@</v>
          </cell>
          <cell r="AL776" t="str">
            <v>@@</v>
          </cell>
        </row>
        <row r="777">
          <cell r="J777">
            <v>95400</v>
          </cell>
          <cell r="L777" t="str">
            <v>@@</v>
          </cell>
          <cell r="M777" t="str">
            <v>@@</v>
          </cell>
          <cell r="N777" t="str">
            <v>@@</v>
          </cell>
          <cell r="O777" t="str">
            <v>@@</v>
          </cell>
          <cell r="P777" t="str">
            <v>@@</v>
          </cell>
          <cell r="Q777" t="str">
            <v>@@</v>
          </cell>
          <cell r="R777" t="str">
            <v>@@</v>
          </cell>
          <cell r="S777" t="str">
            <v>@@</v>
          </cell>
          <cell r="AB777" t="str">
            <v>@@</v>
          </cell>
          <cell r="AC777">
            <v>0</v>
          </cell>
          <cell r="AD777">
            <v>0</v>
          </cell>
          <cell r="AL777" t="str">
            <v>@@</v>
          </cell>
        </row>
        <row r="778">
          <cell r="J778">
            <v>95500</v>
          </cell>
          <cell r="L778">
            <v>95500</v>
          </cell>
          <cell r="M778">
            <v>0</v>
          </cell>
          <cell r="N778">
            <v>0</v>
          </cell>
          <cell r="O778">
            <v>-23.8</v>
          </cell>
          <cell r="P778">
            <v>6.3</v>
          </cell>
          <cell r="Q778">
            <v>-32.666666666666671</v>
          </cell>
          <cell r="R778">
            <v>3</v>
          </cell>
          <cell r="S778">
            <v>1</v>
          </cell>
          <cell r="T778">
            <v>95500</v>
          </cell>
          <cell r="W778">
            <v>-23.8</v>
          </cell>
          <cell r="X778">
            <v>6.3</v>
          </cell>
          <cell r="Y778">
            <v>-32.666666666666671</v>
          </cell>
          <cell r="Z778">
            <v>3</v>
          </cell>
          <cell r="AA778">
            <v>1</v>
          </cell>
          <cell r="AB778">
            <v>95500</v>
          </cell>
          <cell r="AC778">
            <v>-23.8</v>
          </cell>
          <cell r="AD778">
            <v>6.3</v>
          </cell>
          <cell r="AE778">
            <v>95500</v>
          </cell>
          <cell r="AF778">
            <v>-23.8</v>
          </cell>
          <cell r="AG778">
            <v>6.3</v>
          </cell>
          <cell r="AL778">
            <v>9.3000000000000007</v>
          </cell>
          <cell r="AM778">
            <v>9.3000000000000007</v>
          </cell>
        </row>
        <row r="779">
          <cell r="J779">
            <v>95600</v>
          </cell>
          <cell r="L779" t="str">
            <v>@@</v>
          </cell>
          <cell r="M779" t="str">
            <v>@@</v>
          </cell>
          <cell r="N779" t="str">
            <v>@@</v>
          </cell>
          <cell r="O779" t="str">
            <v>@@</v>
          </cell>
          <cell r="P779" t="str">
            <v>@@</v>
          </cell>
          <cell r="Q779" t="str">
            <v>@@</v>
          </cell>
          <cell r="R779" t="str">
            <v>@@</v>
          </cell>
          <cell r="S779" t="str">
            <v>@@</v>
          </cell>
          <cell r="AB779" t="str">
            <v>@@</v>
          </cell>
          <cell r="AC779">
            <v>-32.666666666666671</v>
          </cell>
          <cell r="AD779">
            <v>3</v>
          </cell>
          <cell r="AF779">
            <v>-32.666666666666671</v>
          </cell>
          <cell r="AG779">
            <v>3</v>
          </cell>
          <cell r="AL779" t="str">
            <v>@@</v>
          </cell>
        </row>
        <row r="780">
          <cell r="J780">
            <v>95700</v>
          </cell>
          <cell r="L780" t="str">
            <v>@@</v>
          </cell>
          <cell r="M780" t="str">
            <v>@@</v>
          </cell>
          <cell r="N780" t="str">
            <v>@@</v>
          </cell>
          <cell r="O780" t="str">
            <v>@@</v>
          </cell>
          <cell r="P780" t="str">
            <v>@@</v>
          </cell>
          <cell r="Q780" t="str">
            <v>@@</v>
          </cell>
          <cell r="R780" t="str">
            <v>@@</v>
          </cell>
          <cell r="S780" t="str">
            <v>@@</v>
          </cell>
          <cell r="AB780" t="str">
            <v>@@</v>
          </cell>
          <cell r="AC780" t="str">
            <v>@@</v>
          </cell>
          <cell r="AD780" t="str">
            <v>@@</v>
          </cell>
          <cell r="AL780" t="str">
            <v>@@</v>
          </cell>
        </row>
        <row r="781">
          <cell r="J781">
            <v>95800</v>
          </cell>
          <cell r="L781" t="str">
            <v>@@</v>
          </cell>
          <cell r="M781" t="str">
            <v>@@</v>
          </cell>
          <cell r="N781" t="str">
            <v>@@</v>
          </cell>
          <cell r="O781" t="str">
            <v>@@</v>
          </cell>
          <cell r="P781" t="str">
            <v>@@</v>
          </cell>
          <cell r="Q781" t="str">
            <v>@@</v>
          </cell>
          <cell r="R781" t="str">
            <v>@@</v>
          </cell>
          <cell r="S781" t="str">
            <v>@@</v>
          </cell>
          <cell r="AB781" t="str">
            <v>@@</v>
          </cell>
          <cell r="AC781" t="str">
            <v>@@</v>
          </cell>
          <cell r="AD781" t="str">
            <v>@@</v>
          </cell>
          <cell r="AL781" t="str">
            <v>@@</v>
          </cell>
        </row>
        <row r="782">
          <cell r="J782">
            <v>95900</v>
          </cell>
          <cell r="L782" t="str">
            <v>@@</v>
          </cell>
          <cell r="M782" t="str">
            <v>@@</v>
          </cell>
          <cell r="N782" t="str">
            <v>@@</v>
          </cell>
          <cell r="O782" t="str">
            <v>@@</v>
          </cell>
          <cell r="P782" t="str">
            <v>@@</v>
          </cell>
          <cell r="Q782" t="str">
            <v>@@</v>
          </cell>
          <cell r="R782" t="str">
            <v>@@</v>
          </cell>
          <cell r="S782" t="str">
            <v>@@</v>
          </cell>
          <cell r="AB782" t="str">
            <v>@@</v>
          </cell>
          <cell r="AC782" t="str">
            <v>@@</v>
          </cell>
          <cell r="AD782" t="str">
            <v>@@</v>
          </cell>
          <cell r="AL782" t="str">
            <v>@@</v>
          </cell>
        </row>
        <row r="783">
          <cell r="J783">
            <v>96000</v>
          </cell>
          <cell r="L783" t="str">
            <v>@@</v>
          </cell>
          <cell r="M783" t="str">
            <v>@@</v>
          </cell>
          <cell r="N783" t="str">
            <v>@@</v>
          </cell>
          <cell r="O783" t="str">
            <v>@@</v>
          </cell>
          <cell r="P783" t="str">
            <v>@@</v>
          </cell>
          <cell r="Q783" t="str">
            <v>@@</v>
          </cell>
          <cell r="R783" t="str">
            <v>@@</v>
          </cell>
          <cell r="S783" t="str">
            <v>@@</v>
          </cell>
          <cell r="AB783" t="str">
            <v>@@</v>
          </cell>
          <cell r="AC783" t="str">
            <v>@@</v>
          </cell>
          <cell r="AD783" t="str">
            <v>@@</v>
          </cell>
          <cell r="AL783" t="str">
            <v>@@</v>
          </cell>
        </row>
        <row r="784">
          <cell r="J784">
            <v>96100</v>
          </cell>
          <cell r="L784" t="str">
            <v>@@</v>
          </cell>
          <cell r="M784" t="str">
            <v>@@</v>
          </cell>
          <cell r="N784" t="str">
            <v>@@</v>
          </cell>
          <cell r="O784" t="str">
            <v>@@</v>
          </cell>
          <cell r="P784" t="str">
            <v>@@</v>
          </cell>
          <cell r="Q784" t="str">
            <v>@@</v>
          </cell>
          <cell r="R784" t="str">
            <v>@@</v>
          </cell>
          <cell r="S784" t="str">
            <v>@@</v>
          </cell>
          <cell r="AB784" t="str">
            <v>@@</v>
          </cell>
          <cell r="AC784" t="str">
            <v>@@</v>
          </cell>
          <cell r="AD784" t="str">
            <v>@@</v>
          </cell>
          <cell r="AL784" t="str">
            <v>@@</v>
          </cell>
        </row>
        <row r="785">
          <cell r="J785">
            <v>96200</v>
          </cell>
          <cell r="L785" t="str">
            <v>@@</v>
          </cell>
          <cell r="M785" t="str">
            <v>@@</v>
          </cell>
          <cell r="N785" t="str">
            <v>@@</v>
          </cell>
          <cell r="O785" t="str">
            <v>@@</v>
          </cell>
          <cell r="P785" t="str">
            <v>@@</v>
          </cell>
          <cell r="Q785" t="str">
            <v>@@</v>
          </cell>
          <cell r="R785" t="str">
            <v>@@</v>
          </cell>
          <cell r="S785" t="str">
            <v>@@</v>
          </cell>
          <cell r="AB785" t="str">
            <v>@@</v>
          </cell>
          <cell r="AC785" t="str">
            <v>@@</v>
          </cell>
          <cell r="AD785" t="str">
            <v>@@</v>
          </cell>
          <cell r="AL785" t="str">
            <v>@@</v>
          </cell>
        </row>
        <row r="786">
          <cell r="J786">
            <v>96300</v>
          </cell>
          <cell r="L786" t="str">
            <v>@@</v>
          </cell>
          <cell r="M786" t="str">
            <v>@@</v>
          </cell>
          <cell r="N786" t="str">
            <v>@@</v>
          </cell>
          <cell r="O786" t="str">
            <v>@@</v>
          </cell>
          <cell r="P786" t="str">
            <v>@@</v>
          </cell>
          <cell r="Q786" t="str">
            <v>@@</v>
          </cell>
          <cell r="R786" t="str">
            <v>@@</v>
          </cell>
          <cell r="S786" t="str">
            <v>@@</v>
          </cell>
          <cell r="AB786" t="str">
            <v>@@</v>
          </cell>
          <cell r="AC786" t="str">
            <v>@@</v>
          </cell>
          <cell r="AD786" t="str">
            <v>@@</v>
          </cell>
          <cell r="AL786" t="str">
            <v>@@</v>
          </cell>
        </row>
        <row r="787">
          <cell r="J787">
            <v>96400</v>
          </cell>
          <cell r="L787" t="str">
            <v>@@</v>
          </cell>
          <cell r="M787" t="str">
            <v>@@</v>
          </cell>
          <cell r="N787" t="str">
            <v>@@</v>
          </cell>
          <cell r="O787" t="str">
            <v>@@</v>
          </cell>
          <cell r="P787" t="str">
            <v>@@</v>
          </cell>
          <cell r="Q787" t="str">
            <v>@@</v>
          </cell>
          <cell r="R787" t="str">
            <v>@@</v>
          </cell>
          <cell r="S787" t="str">
            <v>@@</v>
          </cell>
          <cell r="AB787" t="str">
            <v>@@</v>
          </cell>
          <cell r="AC787">
            <v>0</v>
          </cell>
          <cell r="AD787">
            <v>0</v>
          </cell>
          <cell r="AL787" t="str">
            <v>@@</v>
          </cell>
        </row>
        <row r="788">
          <cell r="J788">
            <v>96500</v>
          </cell>
          <cell r="L788">
            <v>96500</v>
          </cell>
          <cell r="M788">
            <v>0</v>
          </cell>
          <cell r="N788">
            <v>0</v>
          </cell>
          <cell r="O788">
            <v>-37.25</v>
          </cell>
          <cell r="P788">
            <v>5.4</v>
          </cell>
          <cell r="Q788">
            <v>-48</v>
          </cell>
          <cell r="R788">
            <v>3.2</v>
          </cell>
          <cell r="S788">
            <v>1</v>
          </cell>
          <cell r="T788">
            <v>96500</v>
          </cell>
          <cell r="W788">
            <v>-37.25</v>
          </cell>
          <cell r="X788">
            <v>5.4</v>
          </cell>
          <cell r="Y788">
            <v>-48</v>
          </cell>
          <cell r="Z788">
            <v>3.2</v>
          </cell>
          <cell r="AA788">
            <v>1</v>
          </cell>
          <cell r="AB788">
            <v>96500</v>
          </cell>
          <cell r="AC788">
            <v>-37.25</v>
          </cell>
          <cell r="AD788">
            <v>5.4</v>
          </cell>
          <cell r="AE788">
            <v>96500</v>
          </cell>
          <cell r="AF788">
            <v>-37.25</v>
          </cell>
          <cell r="AG788">
            <v>5.4</v>
          </cell>
          <cell r="AL788">
            <v>8.6000000000000014</v>
          </cell>
          <cell r="AM788">
            <v>8.6</v>
          </cell>
        </row>
        <row r="789">
          <cell r="J789">
            <v>96600</v>
          </cell>
          <cell r="L789" t="str">
            <v>@@</v>
          </cell>
          <cell r="M789" t="str">
            <v>@@</v>
          </cell>
          <cell r="N789" t="str">
            <v>@@</v>
          </cell>
          <cell r="O789" t="str">
            <v>@@</v>
          </cell>
          <cell r="P789" t="str">
            <v>@@</v>
          </cell>
          <cell r="Q789" t="str">
            <v>@@</v>
          </cell>
          <cell r="R789" t="str">
            <v>@@</v>
          </cell>
          <cell r="S789" t="str">
            <v>@@</v>
          </cell>
          <cell r="AB789" t="str">
            <v>@@</v>
          </cell>
          <cell r="AC789">
            <v>-48</v>
          </cell>
          <cell r="AD789">
            <v>3.2</v>
          </cell>
          <cell r="AF789">
            <v>-48</v>
          </cell>
          <cell r="AG789">
            <v>3.2</v>
          </cell>
          <cell r="AL789" t="str">
            <v>@@</v>
          </cell>
        </row>
        <row r="790">
          <cell r="J790">
            <v>96700</v>
          </cell>
          <cell r="L790" t="str">
            <v>@@</v>
          </cell>
          <cell r="M790" t="str">
            <v>@@</v>
          </cell>
          <cell r="N790" t="str">
            <v>@@</v>
          </cell>
          <cell r="O790" t="str">
            <v>@@</v>
          </cell>
          <cell r="P790" t="str">
            <v>@@</v>
          </cell>
          <cell r="Q790" t="str">
            <v>@@</v>
          </cell>
          <cell r="R790" t="str">
            <v>@@</v>
          </cell>
          <cell r="S790" t="str">
            <v>@@</v>
          </cell>
          <cell r="AB790" t="str">
            <v>@@</v>
          </cell>
          <cell r="AC790" t="str">
            <v>@@</v>
          </cell>
          <cell r="AD790" t="str">
            <v>@@</v>
          </cell>
          <cell r="AL790" t="str">
            <v>@@</v>
          </cell>
        </row>
        <row r="791">
          <cell r="J791">
            <v>96800</v>
          </cell>
          <cell r="L791" t="str">
            <v>@@</v>
          </cell>
          <cell r="M791" t="str">
            <v>@@</v>
          </cell>
          <cell r="N791" t="str">
            <v>@@</v>
          </cell>
          <cell r="O791" t="str">
            <v>@@</v>
          </cell>
          <cell r="P791" t="str">
            <v>@@</v>
          </cell>
          <cell r="Q791" t="str">
            <v>@@</v>
          </cell>
          <cell r="R791" t="str">
            <v>@@</v>
          </cell>
          <cell r="S791" t="str">
            <v>@@</v>
          </cell>
          <cell r="AB791" t="str">
            <v>@@</v>
          </cell>
          <cell r="AC791" t="str">
            <v>@@</v>
          </cell>
          <cell r="AD791" t="str">
            <v>@@</v>
          </cell>
          <cell r="AL791" t="str">
            <v>@@</v>
          </cell>
        </row>
        <row r="792">
          <cell r="J792">
            <v>96900</v>
          </cell>
          <cell r="L792" t="str">
            <v>@@</v>
          </cell>
          <cell r="M792" t="str">
            <v>@@</v>
          </cell>
          <cell r="N792" t="str">
            <v>@@</v>
          </cell>
          <cell r="O792" t="str">
            <v>@@</v>
          </cell>
          <cell r="P792" t="str">
            <v>@@</v>
          </cell>
          <cell r="Q792" t="str">
            <v>@@</v>
          </cell>
          <cell r="R792" t="str">
            <v>@@</v>
          </cell>
          <cell r="S792" t="str">
            <v>@@</v>
          </cell>
          <cell r="AB792" t="str">
            <v>@@</v>
          </cell>
          <cell r="AC792" t="str">
            <v>@@</v>
          </cell>
          <cell r="AD792" t="str">
            <v>@@</v>
          </cell>
          <cell r="AL792" t="str">
            <v>@@</v>
          </cell>
        </row>
        <row r="793">
          <cell r="J793">
            <v>97000</v>
          </cell>
          <cell r="L793" t="str">
            <v>@@</v>
          </cell>
          <cell r="M793" t="str">
            <v>@@</v>
          </cell>
          <cell r="N793" t="str">
            <v>@@</v>
          </cell>
          <cell r="O793" t="str">
            <v>@@</v>
          </cell>
          <cell r="P793" t="str">
            <v>@@</v>
          </cell>
          <cell r="Q793" t="str">
            <v>@@</v>
          </cell>
          <cell r="R793" t="str">
            <v>@@</v>
          </cell>
          <cell r="S793" t="str">
            <v>@@</v>
          </cell>
          <cell r="AB793" t="str">
            <v>@@</v>
          </cell>
          <cell r="AC793" t="str">
            <v>@@</v>
          </cell>
          <cell r="AD793" t="str">
            <v>@@</v>
          </cell>
          <cell r="AL793" t="str">
            <v>@@</v>
          </cell>
        </row>
        <row r="794">
          <cell r="J794">
            <v>97100</v>
          </cell>
          <cell r="L794" t="str">
            <v>@@</v>
          </cell>
          <cell r="M794" t="str">
            <v>@@</v>
          </cell>
          <cell r="N794" t="str">
            <v>@@</v>
          </cell>
          <cell r="O794" t="str">
            <v>@@</v>
          </cell>
          <cell r="P794" t="str">
            <v>@@</v>
          </cell>
          <cell r="Q794" t="str">
            <v>@@</v>
          </cell>
          <cell r="R794" t="str">
            <v>@@</v>
          </cell>
          <cell r="S794" t="str">
            <v>@@</v>
          </cell>
          <cell r="AB794" t="str">
            <v>@@</v>
          </cell>
          <cell r="AC794" t="str">
            <v>@@</v>
          </cell>
          <cell r="AD794" t="str">
            <v>@@</v>
          </cell>
          <cell r="AL794" t="str">
            <v>@@</v>
          </cell>
        </row>
        <row r="795">
          <cell r="J795">
            <v>97200</v>
          </cell>
          <cell r="L795" t="str">
            <v>@@</v>
          </cell>
          <cell r="M795" t="str">
            <v>@@</v>
          </cell>
          <cell r="N795" t="str">
            <v>@@</v>
          </cell>
          <cell r="O795" t="str">
            <v>@@</v>
          </cell>
          <cell r="P795" t="str">
            <v>@@</v>
          </cell>
          <cell r="Q795" t="str">
            <v>@@</v>
          </cell>
          <cell r="R795" t="str">
            <v>@@</v>
          </cell>
          <cell r="S795" t="str">
            <v>@@</v>
          </cell>
          <cell r="AB795" t="str">
            <v>@@</v>
          </cell>
          <cell r="AC795" t="str">
            <v>@@</v>
          </cell>
          <cell r="AD795" t="str">
            <v>@@</v>
          </cell>
          <cell r="AL795" t="str">
            <v>@@</v>
          </cell>
        </row>
        <row r="796">
          <cell r="J796">
            <v>97300</v>
          </cell>
          <cell r="L796" t="str">
            <v>@@</v>
          </cell>
          <cell r="M796" t="str">
            <v>@@</v>
          </cell>
          <cell r="N796" t="str">
            <v>@@</v>
          </cell>
          <cell r="O796" t="str">
            <v>@@</v>
          </cell>
          <cell r="P796" t="str">
            <v>@@</v>
          </cell>
          <cell r="Q796" t="str">
            <v>@@</v>
          </cell>
          <cell r="R796" t="str">
            <v>@@</v>
          </cell>
          <cell r="S796" t="str">
            <v>@@</v>
          </cell>
          <cell r="AB796" t="str">
            <v>@@</v>
          </cell>
          <cell r="AC796" t="str">
            <v>@@</v>
          </cell>
          <cell r="AD796" t="str">
            <v>@@</v>
          </cell>
          <cell r="AL796" t="str">
            <v>@@</v>
          </cell>
        </row>
        <row r="797">
          <cell r="J797">
            <v>97400</v>
          </cell>
          <cell r="L797" t="str">
            <v>@@</v>
          </cell>
          <cell r="M797" t="str">
            <v>@@</v>
          </cell>
          <cell r="N797" t="str">
            <v>@@</v>
          </cell>
          <cell r="O797" t="str">
            <v>@@</v>
          </cell>
          <cell r="P797" t="str">
            <v>@@</v>
          </cell>
          <cell r="Q797" t="str">
            <v>@@</v>
          </cell>
          <cell r="R797" t="str">
            <v>@@</v>
          </cell>
          <cell r="S797" t="str">
            <v>@@</v>
          </cell>
          <cell r="AB797" t="str">
            <v>@@</v>
          </cell>
          <cell r="AC797" t="str">
            <v>@@</v>
          </cell>
          <cell r="AD797" t="str">
            <v>@@</v>
          </cell>
          <cell r="AL797" t="str">
            <v>@@</v>
          </cell>
        </row>
        <row r="798">
          <cell r="J798">
            <v>97500</v>
          </cell>
          <cell r="L798" t="str">
            <v>@@</v>
          </cell>
          <cell r="M798" t="str">
            <v>@@</v>
          </cell>
          <cell r="N798" t="str">
            <v>@@</v>
          </cell>
          <cell r="O798" t="str">
            <v>@@</v>
          </cell>
          <cell r="P798" t="str">
            <v>@@</v>
          </cell>
          <cell r="Q798" t="str">
            <v>@@</v>
          </cell>
          <cell r="R798" t="str">
            <v>@@</v>
          </cell>
          <cell r="S798" t="str">
            <v>@@</v>
          </cell>
          <cell r="AB798" t="str">
            <v>@@</v>
          </cell>
          <cell r="AC798">
            <v>0</v>
          </cell>
          <cell r="AD798">
            <v>0</v>
          </cell>
          <cell r="AL798" t="str">
            <v>@@</v>
          </cell>
        </row>
        <row r="799">
          <cell r="J799">
            <v>97600</v>
          </cell>
          <cell r="L799">
            <v>97600</v>
          </cell>
          <cell r="M799">
            <v>0</v>
          </cell>
          <cell r="N799">
            <v>0</v>
          </cell>
          <cell r="O799">
            <v>-9.5</v>
          </cell>
          <cell r="P799">
            <v>4.0999999999999996</v>
          </cell>
          <cell r="Q799">
            <v>-18.666666666666664</v>
          </cell>
          <cell r="R799">
            <v>3.2</v>
          </cell>
          <cell r="S799">
            <v>1</v>
          </cell>
          <cell r="T799">
            <v>97600</v>
          </cell>
          <cell r="W799">
            <v>-9.5</v>
          </cell>
          <cell r="X799">
            <v>4.0999999999999996</v>
          </cell>
          <cell r="Y799">
            <v>-18.666666666666664</v>
          </cell>
          <cell r="Z799">
            <v>3.2</v>
          </cell>
          <cell r="AA799">
            <v>1</v>
          </cell>
          <cell r="AB799">
            <v>97600</v>
          </cell>
          <cell r="AC799">
            <v>-9.5</v>
          </cell>
          <cell r="AD799">
            <v>4.0999999999999996</v>
          </cell>
          <cell r="AE799">
            <v>97600</v>
          </cell>
          <cell r="AF799">
            <v>-9.5</v>
          </cell>
          <cell r="AG799">
            <v>4.0999999999999996</v>
          </cell>
          <cell r="AL799">
            <v>7.3</v>
          </cell>
          <cell r="AM799">
            <v>7.3</v>
          </cell>
        </row>
        <row r="800">
          <cell r="J800">
            <v>97700</v>
          </cell>
          <cell r="L800" t="str">
            <v>@@</v>
          </cell>
          <cell r="M800" t="str">
            <v>@@</v>
          </cell>
          <cell r="N800" t="str">
            <v>@@</v>
          </cell>
          <cell r="O800" t="str">
            <v>@@</v>
          </cell>
          <cell r="P800" t="str">
            <v>@@</v>
          </cell>
          <cell r="Q800" t="str">
            <v>@@</v>
          </cell>
          <cell r="R800" t="str">
            <v>@@</v>
          </cell>
          <cell r="S800" t="str">
            <v>@@</v>
          </cell>
          <cell r="AB800" t="str">
            <v>@@</v>
          </cell>
          <cell r="AC800">
            <v>-18.666666666666664</v>
          </cell>
          <cell r="AD800">
            <v>3.2</v>
          </cell>
          <cell r="AF800">
            <v>-18.666666666666664</v>
          </cell>
          <cell r="AG800">
            <v>3.2</v>
          </cell>
          <cell r="AL800" t="str">
            <v>@@</v>
          </cell>
        </row>
        <row r="801">
          <cell r="J801">
            <v>97800</v>
          </cell>
          <cell r="L801" t="str">
            <v>@@</v>
          </cell>
          <cell r="M801" t="str">
            <v>@@</v>
          </cell>
          <cell r="N801" t="str">
            <v>@@</v>
          </cell>
          <cell r="O801" t="str">
            <v>@@</v>
          </cell>
          <cell r="P801" t="str">
            <v>@@</v>
          </cell>
          <cell r="Q801" t="str">
            <v>@@</v>
          </cell>
          <cell r="R801" t="str">
            <v>@@</v>
          </cell>
          <cell r="S801" t="str">
            <v>@@</v>
          </cell>
          <cell r="AB801" t="str">
            <v>@@</v>
          </cell>
          <cell r="AC801" t="str">
            <v>@@</v>
          </cell>
          <cell r="AD801" t="str">
            <v>@@</v>
          </cell>
          <cell r="AL801" t="str">
            <v>@@</v>
          </cell>
        </row>
        <row r="802">
          <cell r="J802">
            <v>97900</v>
          </cell>
          <cell r="L802" t="str">
            <v>@@</v>
          </cell>
          <cell r="M802" t="str">
            <v>@@</v>
          </cell>
          <cell r="N802" t="str">
            <v>@@</v>
          </cell>
          <cell r="O802" t="str">
            <v>@@</v>
          </cell>
          <cell r="P802" t="str">
            <v>@@</v>
          </cell>
          <cell r="Q802" t="str">
            <v>@@</v>
          </cell>
          <cell r="R802" t="str">
            <v>@@</v>
          </cell>
          <cell r="S802" t="str">
            <v>@@</v>
          </cell>
          <cell r="AB802" t="str">
            <v>@@</v>
          </cell>
          <cell r="AC802" t="str">
            <v>@@</v>
          </cell>
          <cell r="AD802" t="str">
            <v>@@</v>
          </cell>
          <cell r="AL802" t="str">
            <v>@@</v>
          </cell>
        </row>
        <row r="803">
          <cell r="J803">
            <v>98000</v>
          </cell>
          <cell r="L803" t="str">
            <v>@@</v>
          </cell>
          <cell r="M803" t="str">
            <v>@@</v>
          </cell>
          <cell r="N803" t="str">
            <v>@@</v>
          </cell>
          <cell r="O803" t="str">
            <v>@@</v>
          </cell>
          <cell r="P803" t="str">
            <v>@@</v>
          </cell>
          <cell r="Q803" t="str">
            <v>@@</v>
          </cell>
          <cell r="R803" t="str">
            <v>@@</v>
          </cell>
          <cell r="S803" t="str">
            <v>@@</v>
          </cell>
          <cell r="AB803" t="str">
            <v>@@</v>
          </cell>
          <cell r="AC803" t="str">
            <v>@@</v>
          </cell>
          <cell r="AD803" t="str">
            <v>@@</v>
          </cell>
          <cell r="AL803" t="str">
            <v>@@</v>
          </cell>
        </row>
        <row r="804">
          <cell r="J804">
            <v>98100</v>
          </cell>
          <cell r="L804" t="str">
            <v>@@</v>
          </cell>
          <cell r="M804" t="str">
            <v>@@</v>
          </cell>
          <cell r="N804" t="str">
            <v>@@</v>
          </cell>
          <cell r="O804" t="str">
            <v>@@</v>
          </cell>
          <cell r="P804" t="str">
            <v>@@</v>
          </cell>
          <cell r="Q804" t="str">
            <v>@@</v>
          </cell>
          <cell r="R804" t="str">
            <v>@@</v>
          </cell>
          <cell r="S804" t="str">
            <v>@@</v>
          </cell>
          <cell r="AB804" t="str">
            <v>@@</v>
          </cell>
          <cell r="AC804" t="str">
            <v>@@</v>
          </cell>
          <cell r="AD804" t="str">
            <v>@@</v>
          </cell>
          <cell r="AL804" t="str">
            <v>@@</v>
          </cell>
        </row>
        <row r="805">
          <cell r="J805">
            <v>98200</v>
          </cell>
          <cell r="L805" t="str">
            <v>@@</v>
          </cell>
          <cell r="M805" t="str">
            <v>@@</v>
          </cell>
          <cell r="N805" t="str">
            <v>@@</v>
          </cell>
          <cell r="O805" t="str">
            <v>@@</v>
          </cell>
          <cell r="P805" t="str">
            <v>@@</v>
          </cell>
          <cell r="Q805" t="str">
            <v>@@</v>
          </cell>
          <cell r="R805" t="str">
            <v>@@</v>
          </cell>
          <cell r="S805" t="str">
            <v>@@</v>
          </cell>
          <cell r="AB805" t="str">
            <v>@@</v>
          </cell>
          <cell r="AC805" t="str">
            <v>@@</v>
          </cell>
          <cell r="AD805" t="str">
            <v>@@</v>
          </cell>
          <cell r="AL805" t="str">
            <v>@@</v>
          </cell>
        </row>
        <row r="806">
          <cell r="J806">
            <v>98300</v>
          </cell>
          <cell r="L806" t="str">
            <v>@@</v>
          </cell>
          <cell r="M806" t="str">
            <v>@@</v>
          </cell>
          <cell r="N806" t="str">
            <v>@@</v>
          </cell>
          <cell r="O806" t="str">
            <v>@@</v>
          </cell>
          <cell r="P806" t="str">
            <v>@@</v>
          </cell>
          <cell r="Q806" t="str">
            <v>@@</v>
          </cell>
          <cell r="R806" t="str">
            <v>@@</v>
          </cell>
          <cell r="S806" t="str">
            <v>@@</v>
          </cell>
          <cell r="AB806" t="str">
            <v>@@</v>
          </cell>
          <cell r="AC806" t="str">
            <v>@@</v>
          </cell>
          <cell r="AD806" t="str">
            <v>@@</v>
          </cell>
          <cell r="AL806" t="str">
            <v>@@</v>
          </cell>
        </row>
        <row r="807">
          <cell r="J807">
            <v>98400</v>
          </cell>
          <cell r="L807" t="str">
            <v>@@</v>
          </cell>
          <cell r="M807" t="str">
            <v>@@</v>
          </cell>
          <cell r="N807" t="str">
            <v>@@</v>
          </cell>
          <cell r="O807" t="str">
            <v>@@</v>
          </cell>
          <cell r="P807" t="str">
            <v>@@</v>
          </cell>
          <cell r="Q807" t="str">
            <v>@@</v>
          </cell>
          <cell r="R807" t="str">
            <v>@@</v>
          </cell>
          <cell r="S807" t="str">
            <v>@@</v>
          </cell>
          <cell r="AB807" t="str">
            <v>@@</v>
          </cell>
          <cell r="AC807">
            <v>0</v>
          </cell>
          <cell r="AD807">
            <v>0</v>
          </cell>
          <cell r="AL807" t="str">
            <v>@@</v>
          </cell>
        </row>
        <row r="808">
          <cell r="J808">
            <v>98500</v>
          </cell>
          <cell r="L808">
            <v>98500</v>
          </cell>
          <cell r="M808">
            <v>0</v>
          </cell>
          <cell r="N808">
            <v>0</v>
          </cell>
          <cell r="O808">
            <v>-15.5</v>
          </cell>
          <cell r="P808">
            <v>4.8</v>
          </cell>
          <cell r="Q808">
            <v>-11</v>
          </cell>
          <cell r="R808">
            <v>3.2</v>
          </cell>
          <cell r="S808">
            <v>1</v>
          </cell>
          <cell r="T808">
            <v>98500</v>
          </cell>
          <cell r="W808">
            <v>-15.5</v>
          </cell>
          <cell r="X808">
            <v>4.8</v>
          </cell>
          <cell r="Y808">
            <v>-11</v>
          </cell>
          <cell r="Z808">
            <v>3.2</v>
          </cell>
          <cell r="AA808">
            <v>1</v>
          </cell>
          <cell r="AB808">
            <v>98500</v>
          </cell>
          <cell r="AC808">
            <v>-15.5</v>
          </cell>
          <cell r="AD808">
            <v>4.8</v>
          </cell>
          <cell r="AE808">
            <v>98500</v>
          </cell>
          <cell r="AF808">
            <v>-15.5</v>
          </cell>
          <cell r="AG808">
            <v>4.8</v>
          </cell>
          <cell r="AL808">
            <v>8</v>
          </cell>
          <cell r="AM808">
            <v>8</v>
          </cell>
        </row>
        <row r="809">
          <cell r="J809">
            <v>98600</v>
          </cell>
          <cell r="L809" t="str">
            <v>@@</v>
          </cell>
          <cell r="M809" t="str">
            <v>@@</v>
          </cell>
          <cell r="N809" t="str">
            <v>@@</v>
          </cell>
          <cell r="O809" t="str">
            <v>@@</v>
          </cell>
          <cell r="P809" t="str">
            <v>@@</v>
          </cell>
          <cell r="Q809" t="str">
            <v>@@</v>
          </cell>
          <cell r="R809" t="str">
            <v>@@</v>
          </cell>
          <cell r="S809" t="str">
            <v>@@</v>
          </cell>
          <cell r="AB809" t="str">
            <v>@@</v>
          </cell>
          <cell r="AC809">
            <v>-11</v>
          </cell>
          <cell r="AD809">
            <v>3.2</v>
          </cell>
          <cell r="AF809">
            <v>-11</v>
          </cell>
          <cell r="AG809">
            <v>3.2</v>
          </cell>
          <cell r="AL809" t="str">
            <v>@@</v>
          </cell>
        </row>
        <row r="810">
          <cell r="J810">
            <v>98700</v>
          </cell>
          <cell r="L810" t="str">
            <v>@@</v>
          </cell>
          <cell r="M810" t="str">
            <v>@@</v>
          </cell>
          <cell r="N810" t="str">
            <v>@@</v>
          </cell>
          <cell r="O810" t="str">
            <v>@@</v>
          </cell>
          <cell r="P810" t="str">
            <v>@@</v>
          </cell>
          <cell r="Q810" t="str">
            <v>@@</v>
          </cell>
          <cell r="R810" t="str">
            <v>@@</v>
          </cell>
          <cell r="S810" t="str">
            <v>@@</v>
          </cell>
          <cell r="AB810" t="str">
            <v>@@</v>
          </cell>
          <cell r="AC810" t="str">
            <v>@@</v>
          </cell>
          <cell r="AD810" t="str">
            <v>@@</v>
          </cell>
          <cell r="AL810" t="str">
            <v>@@</v>
          </cell>
        </row>
        <row r="811">
          <cell r="J811">
            <v>98800</v>
          </cell>
          <cell r="L811" t="str">
            <v>@@</v>
          </cell>
          <cell r="M811" t="str">
            <v>@@</v>
          </cell>
          <cell r="N811" t="str">
            <v>@@</v>
          </cell>
          <cell r="O811" t="str">
            <v>@@</v>
          </cell>
          <cell r="P811" t="str">
            <v>@@</v>
          </cell>
          <cell r="Q811" t="str">
            <v>@@</v>
          </cell>
          <cell r="R811" t="str">
            <v>@@</v>
          </cell>
          <cell r="S811" t="str">
            <v>@@</v>
          </cell>
          <cell r="AB811" t="str">
            <v>@@</v>
          </cell>
          <cell r="AC811" t="str">
            <v>@@</v>
          </cell>
          <cell r="AD811" t="str">
            <v>@@</v>
          </cell>
          <cell r="AL811" t="str">
            <v>@@</v>
          </cell>
        </row>
        <row r="812">
          <cell r="J812">
            <v>98900</v>
          </cell>
          <cell r="L812" t="str">
            <v>@@</v>
          </cell>
          <cell r="M812" t="str">
            <v>@@</v>
          </cell>
          <cell r="N812" t="str">
            <v>@@</v>
          </cell>
          <cell r="O812" t="str">
            <v>@@</v>
          </cell>
          <cell r="P812" t="str">
            <v>@@</v>
          </cell>
          <cell r="Q812" t="str">
            <v>@@</v>
          </cell>
          <cell r="R812" t="str">
            <v>@@</v>
          </cell>
          <cell r="S812" t="str">
            <v>@@</v>
          </cell>
          <cell r="AB812" t="str">
            <v>@@</v>
          </cell>
          <cell r="AC812" t="str">
            <v>@@</v>
          </cell>
          <cell r="AD812" t="str">
            <v>@@</v>
          </cell>
          <cell r="AL812" t="str">
            <v>@@</v>
          </cell>
        </row>
        <row r="813">
          <cell r="J813">
            <v>99000</v>
          </cell>
          <cell r="L813" t="str">
            <v>@@</v>
          </cell>
          <cell r="M813" t="str">
            <v>@@</v>
          </cell>
          <cell r="N813" t="str">
            <v>@@</v>
          </cell>
          <cell r="O813" t="str">
            <v>@@</v>
          </cell>
          <cell r="P813" t="str">
            <v>@@</v>
          </cell>
          <cell r="Q813" t="str">
            <v>@@</v>
          </cell>
          <cell r="R813" t="str">
            <v>@@</v>
          </cell>
          <cell r="S813" t="str">
            <v>@@</v>
          </cell>
          <cell r="AB813" t="str">
            <v>@@</v>
          </cell>
          <cell r="AC813" t="str">
            <v>@@</v>
          </cell>
          <cell r="AD813" t="str">
            <v>@@</v>
          </cell>
          <cell r="AL813" t="str">
            <v>@@</v>
          </cell>
        </row>
        <row r="814">
          <cell r="J814">
            <v>99100</v>
          </cell>
          <cell r="L814" t="str">
            <v>@@</v>
          </cell>
          <cell r="M814" t="str">
            <v>@@</v>
          </cell>
          <cell r="N814" t="str">
            <v>@@</v>
          </cell>
          <cell r="O814" t="str">
            <v>@@</v>
          </cell>
          <cell r="P814" t="str">
            <v>@@</v>
          </cell>
          <cell r="Q814" t="str">
            <v>@@</v>
          </cell>
          <cell r="R814" t="str">
            <v>@@</v>
          </cell>
          <cell r="S814" t="str">
            <v>@@</v>
          </cell>
          <cell r="AB814" t="str">
            <v>@@</v>
          </cell>
          <cell r="AC814" t="str">
            <v>@@</v>
          </cell>
          <cell r="AD814" t="str">
            <v>@@</v>
          </cell>
          <cell r="AL814" t="str">
            <v>@@</v>
          </cell>
        </row>
        <row r="815">
          <cell r="J815">
            <v>99200</v>
          </cell>
          <cell r="L815" t="str">
            <v>@@</v>
          </cell>
          <cell r="M815" t="str">
            <v>@@</v>
          </cell>
          <cell r="N815" t="str">
            <v>@@</v>
          </cell>
          <cell r="O815" t="str">
            <v>@@</v>
          </cell>
          <cell r="P815" t="str">
            <v>@@</v>
          </cell>
          <cell r="Q815" t="str">
            <v>@@</v>
          </cell>
          <cell r="R815" t="str">
            <v>@@</v>
          </cell>
          <cell r="S815" t="str">
            <v>@@</v>
          </cell>
          <cell r="AB815" t="str">
            <v>@@</v>
          </cell>
          <cell r="AC815" t="str">
            <v>@@</v>
          </cell>
          <cell r="AD815" t="str">
            <v>@@</v>
          </cell>
          <cell r="AL815" t="str">
            <v>@@</v>
          </cell>
        </row>
        <row r="816">
          <cell r="J816">
            <v>99300</v>
          </cell>
          <cell r="L816" t="str">
            <v>@@</v>
          </cell>
          <cell r="M816" t="str">
            <v>@@</v>
          </cell>
          <cell r="N816" t="str">
            <v>@@</v>
          </cell>
          <cell r="O816" t="str">
            <v>@@</v>
          </cell>
          <cell r="P816" t="str">
            <v>@@</v>
          </cell>
          <cell r="Q816" t="str">
            <v>@@</v>
          </cell>
          <cell r="R816" t="str">
            <v>@@</v>
          </cell>
          <cell r="S816" t="str">
            <v>@@</v>
          </cell>
          <cell r="AB816" t="str">
            <v>@@</v>
          </cell>
          <cell r="AC816" t="str">
            <v>@@</v>
          </cell>
          <cell r="AD816" t="str">
            <v>@@</v>
          </cell>
          <cell r="AL816" t="str">
            <v>@@</v>
          </cell>
        </row>
        <row r="817">
          <cell r="J817">
            <v>99400</v>
          </cell>
          <cell r="L817" t="str">
            <v>@@</v>
          </cell>
          <cell r="M817" t="str">
            <v>@@</v>
          </cell>
          <cell r="N817" t="str">
            <v>@@</v>
          </cell>
          <cell r="O817" t="str">
            <v>@@</v>
          </cell>
          <cell r="P817" t="str">
            <v>@@</v>
          </cell>
          <cell r="Q817" t="str">
            <v>@@</v>
          </cell>
          <cell r="R817" t="str">
            <v>@@</v>
          </cell>
          <cell r="S817" t="str">
            <v>@@</v>
          </cell>
          <cell r="AB817" t="str">
            <v>@@</v>
          </cell>
          <cell r="AC817">
            <v>0</v>
          </cell>
          <cell r="AD817">
            <v>0</v>
          </cell>
          <cell r="AL817" t="str">
            <v>@@</v>
          </cell>
        </row>
        <row r="818">
          <cell r="J818">
            <v>99500</v>
          </cell>
          <cell r="L818">
            <v>99500</v>
          </cell>
          <cell r="M818">
            <v>0</v>
          </cell>
          <cell r="N818">
            <v>0</v>
          </cell>
          <cell r="O818">
            <v>-32</v>
          </cell>
          <cell r="P818">
            <v>4.5</v>
          </cell>
          <cell r="Q818">
            <v>-19.333333333333332</v>
          </cell>
          <cell r="R818">
            <v>3</v>
          </cell>
          <cell r="S818">
            <v>1</v>
          </cell>
          <cell r="T818">
            <v>99500</v>
          </cell>
          <cell r="W818">
            <v>-32</v>
          </cell>
          <cell r="X818">
            <v>4.5</v>
          </cell>
          <cell r="Y818">
            <v>-19.333333333333332</v>
          </cell>
          <cell r="Z818">
            <v>3</v>
          </cell>
          <cell r="AA818">
            <v>1</v>
          </cell>
          <cell r="AB818">
            <v>99500</v>
          </cell>
          <cell r="AC818">
            <v>-32</v>
          </cell>
          <cell r="AD818">
            <v>4.5</v>
          </cell>
          <cell r="AE818">
            <v>99500</v>
          </cell>
          <cell r="AF818">
            <v>-32</v>
          </cell>
          <cell r="AG818">
            <v>4.5</v>
          </cell>
          <cell r="AL818">
            <v>7.5</v>
          </cell>
          <cell r="AM818">
            <v>7.5</v>
          </cell>
        </row>
        <row r="819">
          <cell r="J819">
            <v>99600</v>
          </cell>
          <cell r="L819" t="str">
            <v>@@</v>
          </cell>
          <cell r="M819" t="str">
            <v>@@</v>
          </cell>
          <cell r="N819" t="str">
            <v>@@</v>
          </cell>
          <cell r="O819" t="str">
            <v>@@</v>
          </cell>
          <cell r="P819" t="str">
            <v>@@</v>
          </cell>
          <cell r="Q819" t="str">
            <v>@@</v>
          </cell>
          <cell r="R819" t="str">
            <v>@@</v>
          </cell>
          <cell r="S819" t="str">
            <v>@@</v>
          </cell>
          <cell r="AB819" t="str">
            <v>@@</v>
          </cell>
          <cell r="AC819">
            <v>-19.333333333333332</v>
          </cell>
          <cell r="AD819">
            <v>3</v>
          </cell>
          <cell r="AF819">
            <v>-19.333333333333332</v>
          </cell>
          <cell r="AG819">
            <v>3</v>
          </cell>
          <cell r="AL819" t="str">
            <v>@@</v>
          </cell>
        </row>
        <row r="820">
          <cell r="J820">
            <v>99700</v>
          </cell>
          <cell r="L820" t="str">
            <v>@@</v>
          </cell>
          <cell r="M820" t="str">
            <v>@@</v>
          </cell>
          <cell r="N820" t="str">
            <v>@@</v>
          </cell>
          <cell r="O820" t="str">
            <v>@@</v>
          </cell>
          <cell r="P820" t="str">
            <v>@@</v>
          </cell>
          <cell r="Q820" t="str">
            <v>@@</v>
          </cell>
          <cell r="R820" t="str">
            <v>@@</v>
          </cell>
          <cell r="S820" t="str">
            <v>@@</v>
          </cell>
          <cell r="AB820" t="str">
            <v>@@</v>
          </cell>
          <cell r="AC820" t="str">
            <v>@@</v>
          </cell>
          <cell r="AD820" t="str">
            <v>@@</v>
          </cell>
          <cell r="AL820" t="str">
            <v>@@</v>
          </cell>
        </row>
        <row r="821">
          <cell r="J821">
            <v>99800</v>
          </cell>
          <cell r="L821" t="str">
            <v>@@</v>
          </cell>
          <cell r="M821" t="str">
            <v>@@</v>
          </cell>
          <cell r="N821" t="str">
            <v>@@</v>
          </cell>
          <cell r="O821" t="str">
            <v>@@</v>
          </cell>
          <cell r="P821" t="str">
            <v>@@</v>
          </cell>
          <cell r="Q821" t="str">
            <v>@@</v>
          </cell>
          <cell r="R821" t="str">
            <v>@@</v>
          </cell>
          <cell r="S821" t="str">
            <v>@@</v>
          </cell>
          <cell r="AB821" t="str">
            <v>@@</v>
          </cell>
          <cell r="AC821" t="str">
            <v>@@</v>
          </cell>
          <cell r="AD821" t="str">
            <v>@@</v>
          </cell>
          <cell r="AL821" t="str">
            <v>@@</v>
          </cell>
        </row>
        <row r="822">
          <cell r="J822">
            <v>99900</v>
          </cell>
          <cell r="L822" t="str">
            <v>@@</v>
          </cell>
          <cell r="M822" t="str">
            <v>@@</v>
          </cell>
          <cell r="N822" t="str">
            <v>@@</v>
          </cell>
          <cell r="O822" t="str">
            <v>@@</v>
          </cell>
          <cell r="P822" t="str">
            <v>@@</v>
          </cell>
          <cell r="Q822" t="str">
            <v>@@</v>
          </cell>
          <cell r="R822" t="str">
            <v>@@</v>
          </cell>
          <cell r="S822" t="str">
            <v>@@</v>
          </cell>
          <cell r="AB822" t="str">
            <v>@@</v>
          </cell>
          <cell r="AC822" t="str">
            <v>@@</v>
          </cell>
          <cell r="AD822" t="str">
            <v>@@</v>
          </cell>
          <cell r="AL822" t="str">
            <v>@@</v>
          </cell>
        </row>
        <row r="823">
          <cell r="J823">
            <v>100000</v>
          </cell>
          <cell r="L823" t="str">
            <v>@@</v>
          </cell>
          <cell r="M823" t="str">
            <v>@@</v>
          </cell>
          <cell r="N823" t="str">
            <v>@@</v>
          </cell>
          <cell r="O823" t="str">
            <v>@@</v>
          </cell>
          <cell r="P823" t="str">
            <v>@@</v>
          </cell>
          <cell r="Q823" t="str">
            <v>@@</v>
          </cell>
          <cell r="R823" t="str">
            <v>@@</v>
          </cell>
          <cell r="S823" t="str">
            <v>@@</v>
          </cell>
          <cell r="AB823" t="str">
            <v>@@</v>
          </cell>
          <cell r="AC823" t="str">
            <v>@@</v>
          </cell>
          <cell r="AD823" t="str">
            <v>@@</v>
          </cell>
          <cell r="AL823" t="str">
            <v>@@</v>
          </cell>
        </row>
        <row r="824">
          <cell r="J824">
            <v>100100</v>
          </cell>
          <cell r="L824" t="str">
            <v>@@</v>
          </cell>
          <cell r="M824" t="str">
            <v>@@</v>
          </cell>
          <cell r="N824" t="str">
            <v>@@</v>
          </cell>
          <cell r="O824" t="str">
            <v>@@</v>
          </cell>
          <cell r="P824" t="str">
            <v>@@</v>
          </cell>
          <cell r="Q824" t="str">
            <v>@@</v>
          </cell>
          <cell r="R824" t="str">
            <v>@@</v>
          </cell>
          <cell r="S824" t="str">
            <v>@@</v>
          </cell>
          <cell r="AB824" t="str">
            <v>@@</v>
          </cell>
          <cell r="AC824" t="str">
            <v>@@</v>
          </cell>
          <cell r="AD824" t="str">
            <v>@@</v>
          </cell>
          <cell r="AL824" t="str">
            <v>@@</v>
          </cell>
        </row>
        <row r="825">
          <cell r="J825">
            <v>100200</v>
          </cell>
          <cell r="L825" t="str">
            <v>@@</v>
          </cell>
          <cell r="M825" t="str">
            <v>@@</v>
          </cell>
          <cell r="N825" t="str">
            <v>@@</v>
          </cell>
          <cell r="O825" t="str">
            <v>@@</v>
          </cell>
          <cell r="P825" t="str">
            <v>@@</v>
          </cell>
          <cell r="Q825" t="str">
            <v>@@</v>
          </cell>
          <cell r="R825" t="str">
            <v>@@</v>
          </cell>
          <cell r="S825" t="str">
            <v>@@</v>
          </cell>
          <cell r="AB825" t="str">
            <v>@@</v>
          </cell>
          <cell r="AC825" t="str">
            <v>@@</v>
          </cell>
          <cell r="AD825" t="str">
            <v>@@</v>
          </cell>
          <cell r="AL825" t="str">
            <v>@@</v>
          </cell>
        </row>
        <row r="826">
          <cell r="J826">
            <v>100300</v>
          </cell>
          <cell r="L826" t="str">
            <v>@@</v>
          </cell>
          <cell r="M826" t="str">
            <v>@@</v>
          </cell>
          <cell r="N826" t="str">
            <v>@@</v>
          </cell>
          <cell r="O826" t="str">
            <v>@@</v>
          </cell>
          <cell r="P826" t="str">
            <v>@@</v>
          </cell>
          <cell r="Q826" t="str">
            <v>@@</v>
          </cell>
          <cell r="R826" t="str">
            <v>@@</v>
          </cell>
          <cell r="S826" t="str">
            <v>@@</v>
          </cell>
          <cell r="AB826" t="str">
            <v>@@</v>
          </cell>
          <cell r="AC826" t="str">
            <v>@@</v>
          </cell>
          <cell r="AD826" t="str">
            <v>@@</v>
          </cell>
          <cell r="AL826" t="str">
            <v>@@</v>
          </cell>
        </row>
        <row r="827">
          <cell r="J827">
            <v>100400</v>
          </cell>
          <cell r="L827" t="str">
            <v>@@</v>
          </cell>
          <cell r="M827" t="str">
            <v>@@</v>
          </cell>
          <cell r="N827" t="str">
            <v>@@</v>
          </cell>
          <cell r="O827" t="str">
            <v>@@</v>
          </cell>
          <cell r="P827" t="str">
            <v>@@</v>
          </cell>
          <cell r="Q827" t="str">
            <v>@@</v>
          </cell>
          <cell r="R827" t="str">
            <v>@@</v>
          </cell>
          <cell r="S827" t="str">
            <v>@@</v>
          </cell>
          <cell r="AB827" t="str">
            <v>@@</v>
          </cell>
          <cell r="AC827">
            <v>-29.4</v>
          </cell>
          <cell r="AD827">
            <v>7.3</v>
          </cell>
          <cell r="AF827">
            <v>-29.4</v>
          </cell>
          <cell r="AG827">
            <v>7.3</v>
          </cell>
          <cell r="AL827" t="str">
            <v>@@</v>
          </cell>
        </row>
        <row r="828">
          <cell r="J828">
            <v>100500</v>
          </cell>
          <cell r="L828">
            <v>100500</v>
          </cell>
          <cell r="M828">
            <v>-29.4</v>
          </cell>
          <cell r="N828">
            <v>7.3</v>
          </cell>
          <cell r="O828">
            <v>-10.8</v>
          </cell>
          <cell r="P828">
            <v>8.5</v>
          </cell>
          <cell r="Q828">
            <v>-12</v>
          </cell>
          <cell r="R828">
            <v>3</v>
          </cell>
          <cell r="S828">
            <v>1</v>
          </cell>
          <cell r="T828">
            <v>100500</v>
          </cell>
          <cell r="U828">
            <v>-29.4</v>
          </cell>
          <cell r="V828">
            <v>7.3</v>
          </cell>
          <cell r="W828">
            <v>-10.8</v>
          </cell>
          <cell r="X828">
            <v>8.5</v>
          </cell>
          <cell r="Y828">
            <v>-12</v>
          </cell>
          <cell r="Z828">
            <v>3</v>
          </cell>
          <cell r="AA828">
            <v>1</v>
          </cell>
          <cell r="AB828">
            <v>100500</v>
          </cell>
          <cell r="AC828">
            <v>-10.8</v>
          </cell>
          <cell r="AD828">
            <v>8.5</v>
          </cell>
          <cell r="AE828">
            <v>100500</v>
          </cell>
          <cell r="AF828">
            <v>-10.8</v>
          </cell>
          <cell r="AG828">
            <v>8.5</v>
          </cell>
          <cell r="AL828">
            <v>18.8</v>
          </cell>
          <cell r="AM828">
            <v>18.8</v>
          </cell>
        </row>
        <row r="829">
          <cell r="J829">
            <v>100600</v>
          </cell>
          <cell r="L829" t="str">
            <v>@@</v>
          </cell>
          <cell r="M829" t="str">
            <v>@@</v>
          </cell>
          <cell r="N829" t="str">
            <v>@@</v>
          </cell>
          <cell r="O829" t="str">
            <v>@@</v>
          </cell>
          <cell r="P829" t="str">
            <v>@@</v>
          </cell>
          <cell r="Q829" t="str">
            <v>@@</v>
          </cell>
          <cell r="R829" t="str">
            <v>@@</v>
          </cell>
          <cell r="S829" t="str">
            <v>@@</v>
          </cell>
          <cell r="AB829" t="str">
            <v>@@</v>
          </cell>
          <cell r="AC829">
            <v>-12</v>
          </cell>
          <cell r="AD829">
            <v>3</v>
          </cell>
          <cell r="AF829">
            <v>-12</v>
          </cell>
          <cell r="AG829">
            <v>3</v>
          </cell>
          <cell r="AL829" t="str">
            <v>@@</v>
          </cell>
        </row>
        <row r="830">
          <cell r="J830">
            <v>100700</v>
          </cell>
          <cell r="L830" t="str">
            <v>@@</v>
          </cell>
          <cell r="M830" t="str">
            <v>@@</v>
          </cell>
          <cell r="N830" t="str">
            <v>@@</v>
          </cell>
          <cell r="O830" t="str">
            <v>@@</v>
          </cell>
          <cell r="P830" t="str">
            <v>@@</v>
          </cell>
          <cell r="Q830" t="str">
            <v>@@</v>
          </cell>
          <cell r="R830" t="str">
            <v>@@</v>
          </cell>
          <cell r="S830" t="str">
            <v>@@</v>
          </cell>
          <cell r="AB830" t="str">
            <v>@@</v>
          </cell>
          <cell r="AC830" t="str">
            <v>@@</v>
          </cell>
          <cell r="AD830" t="str">
            <v>@@</v>
          </cell>
          <cell r="AL830" t="str">
            <v>@@</v>
          </cell>
        </row>
        <row r="831">
          <cell r="J831">
            <v>100800</v>
          </cell>
          <cell r="L831" t="str">
            <v>@@</v>
          </cell>
          <cell r="M831" t="str">
            <v>@@</v>
          </cell>
          <cell r="N831" t="str">
            <v>@@</v>
          </cell>
          <cell r="O831" t="str">
            <v>@@</v>
          </cell>
          <cell r="P831" t="str">
            <v>@@</v>
          </cell>
          <cell r="Q831" t="str">
            <v>@@</v>
          </cell>
          <cell r="R831" t="str">
            <v>@@</v>
          </cell>
          <cell r="S831" t="str">
            <v>@@</v>
          </cell>
          <cell r="AB831" t="str">
            <v>@@</v>
          </cell>
          <cell r="AC831" t="str">
            <v>@@</v>
          </cell>
          <cell r="AD831" t="str">
            <v>@@</v>
          </cell>
          <cell r="AL831" t="str">
            <v>@@</v>
          </cell>
        </row>
        <row r="832">
          <cell r="J832">
            <v>100900</v>
          </cell>
          <cell r="L832" t="str">
            <v>@@</v>
          </cell>
          <cell r="M832" t="str">
            <v>@@</v>
          </cell>
          <cell r="N832" t="str">
            <v>@@</v>
          </cell>
          <cell r="O832" t="str">
            <v>@@</v>
          </cell>
          <cell r="P832" t="str">
            <v>@@</v>
          </cell>
          <cell r="Q832" t="str">
            <v>@@</v>
          </cell>
          <cell r="R832" t="str">
            <v>@@</v>
          </cell>
          <cell r="S832" t="str">
            <v>@@</v>
          </cell>
          <cell r="AB832" t="str">
            <v>@@</v>
          </cell>
          <cell r="AC832" t="str">
            <v>@@</v>
          </cell>
          <cell r="AD832" t="str">
            <v>@@</v>
          </cell>
          <cell r="AL832" t="str">
            <v>@@</v>
          </cell>
        </row>
        <row r="833">
          <cell r="J833">
            <v>101000</v>
          </cell>
          <cell r="L833" t="str">
            <v>@@</v>
          </cell>
          <cell r="M833" t="str">
            <v>@@</v>
          </cell>
          <cell r="N833" t="str">
            <v>@@</v>
          </cell>
          <cell r="O833" t="str">
            <v>@@</v>
          </cell>
          <cell r="P833" t="str">
            <v>@@</v>
          </cell>
          <cell r="Q833" t="str">
            <v>@@</v>
          </cell>
          <cell r="R833" t="str">
            <v>@@</v>
          </cell>
          <cell r="S833" t="str">
            <v>@@</v>
          </cell>
          <cell r="AB833" t="str">
            <v>@@</v>
          </cell>
          <cell r="AC833" t="str">
            <v>@@</v>
          </cell>
          <cell r="AD833" t="str">
            <v>@@</v>
          </cell>
          <cell r="AL833" t="str">
            <v>@@</v>
          </cell>
        </row>
        <row r="834">
          <cell r="J834">
            <v>101100</v>
          </cell>
          <cell r="L834" t="str">
            <v>@@</v>
          </cell>
          <cell r="M834" t="str">
            <v>@@</v>
          </cell>
          <cell r="N834" t="str">
            <v>@@</v>
          </cell>
          <cell r="O834" t="str">
            <v>@@</v>
          </cell>
          <cell r="P834" t="str">
            <v>@@</v>
          </cell>
          <cell r="Q834" t="str">
            <v>@@</v>
          </cell>
          <cell r="R834" t="str">
            <v>@@</v>
          </cell>
          <cell r="S834" t="str">
            <v>@@</v>
          </cell>
          <cell r="AB834" t="str">
            <v>@@</v>
          </cell>
          <cell r="AC834" t="str">
            <v>@@</v>
          </cell>
          <cell r="AD834" t="str">
            <v>@@</v>
          </cell>
          <cell r="AL834" t="str">
            <v>@@</v>
          </cell>
        </row>
        <row r="835">
          <cell r="J835">
            <v>101200</v>
          </cell>
          <cell r="L835" t="str">
            <v>@@</v>
          </cell>
          <cell r="M835" t="str">
            <v>@@</v>
          </cell>
          <cell r="N835" t="str">
            <v>@@</v>
          </cell>
          <cell r="O835" t="str">
            <v>@@</v>
          </cell>
          <cell r="P835" t="str">
            <v>@@</v>
          </cell>
          <cell r="Q835" t="str">
            <v>@@</v>
          </cell>
          <cell r="R835" t="str">
            <v>@@</v>
          </cell>
          <cell r="S835" t="str">
            <v>@@</v>
          </cell>
          <cell r="AB835" t="str">
            <v>@@</v>
          </cell>
          <cell r="AC835" t="str">
            <v>@@</v>
          </cell>
          <cell r="AD835" t="str">
            <v>@@</v>
          </cell>
          <cell r="AL835" t="str">
            <v>@@</v>
          </cell>
        </row>
        <row r="836">
          <cell r="J836">
            <v>101300</v>
          </cell>
          <cell r="L836" t="str">
            <v>@@</v>
          </cell>
          <cell r="M836" t="str">
            <v>@@</v>
          </cell>
          <cell r="N836" t="str">
            <v>@@</v>
          </cell>
          <cell r="O836" t="str">
            <v>@@</v>
          </cell>
          <cell r="P836" t="str">
            <v>@@</v>
          </cell>
          <cell r="Q836" t="str">
            <v>@@</v>
          </cell>
          <cell r="R836" t="str">
            <v>@@</v>
          </cell>
          <cell r="S836" t="str">
            <v>@@</v>
          </cell>
          <cell r="AB836" t="str">
            <v>@@</v>
          </cell>
          <cell r="AC836" t="str">
            <v>@@</v>
          </cell>
          <cell r="AD836" t="str">
            <v>@@</v>
          </cell>
          <cell r="AL836" t="str">
            <v>@@</v>
          </cell>
        </row>
        <row r="837">
          <cell r="J837">
            <v>101400</v>
          </cell>
          <cell r="L837" t="str">
            <v>@@</v>
          </cell>
          <cell r="M837" t="str">
            <v>@@</v>
          </cell>
          <cell r="N837" t="str">
            <v>@@</v>
          </cell>
          <cell r="O837" t="str">
            <v>@@</v>
          </cell>
          <cell r="P837" t="str">
            <v>@@</v>
          </cell>
          <cell r="Q837" t="str">
            <v>@@</v>
          </cell>
          <cell r="R837" t="str">
            <v>@@</v>
          </cell>
          <cell r="S837" t="str">
            <v>@@</v>
          </cell>
          <cell r="AB837" t="str">
            <v>@@</v>
          </cell>
          <cell r="AC837" t="str">
            <v>@@</v>
          </cell>
          <cell r="AD837" t="str">
            <v>@@</v>
          </cell>
          <cell r="AL837" t="str">
            <v>@@</v>
          </cell>
        </row>
        <row r="838">
          <cell r="J838">
            <v>101500</v>
          </cell>
          <cell r="L838" t="str">
            <v>@@</v>
          </cell>
          <cell r="M838" t="str">
            <v>@@</v>
          </cell>
          <cell r="N838" t="str">
            <v>@@</v>
          </cell>
          <cell r="O838" t="str">
            <v>@@</v>
          </cell>
          <cell r="P838" t="str">
            <v>@@</v>
          </cell>
          <cell r="Q838" t="str">
            <v>@@</v>
          </cell>
          <cell r="R838" t="str">
            <v>@@</v>
          </cell>
          <cell r="S838" t="str">
            <v>@@</v>
          </cell>
          <cell r="AB838" t="str">
            <v>@@</v>
          </cell>
          <cell r="AC838" t="str">
            <v>@@</v>
          </cell>
          <cell r="AD838" t="str">
            <v>@@</v>
          </cell>
          <cell r="AL838" t="str">
            <v>@@</v>
          </cell>
        </row>
        <row r="839">
          <cell r="J839">
            <v>101600</v>
          </cell>
          <cell r="L839" t="str">
            <v>@@</v>
          </cell>
          <cell r="M839" t="str">
            <v>@@</v>
          </cell>
          <cell r="N839" t="str">
            <v>@@</v>
          </cell>
          <cell r="O839" t="str">
            <v>@@</v>
          </cell>
          <cell r="P839" t="str">
            <v>@@</v>
          </cell>
          <cell r="Q839" t="str">
            <v>@@</v>
          </cell>
          <cell r="R839" t="str">
            <v>@@</v>
          </cell>
          <cell r="S839" t="str">
            <v>@@</v>
          </cell>
          <cell r="AB839" t="str">
            <v>@@</v>
          </cell>
          <cell r="AC839" t="str">
            <v>@@</v>
          </cell>
          <cell r="AD839" t="str">
            <v>@@</v>
          </cell>
          <cell r="AL839" t="str">
            <v>@@</v>
          </cell>
        </row>
        <row r="840">
          <cell r="J840">
            <v>101700</v>
          </cell>
          <cell r="L840" t="str">
            <v>@@</v>
          </cell>
          <cell r="M840" t="str">
            <v>@@</v>
          </cell>
          <cell r="N840" t="str">
            <v>@@</v>
          </cell>
          <cell r="O840" t="str">
            <v>@@</v>
          </cell>
          <cell r="P840" t="str">
            <v>@@</v>
          </cell>
          <cell r="Q840" t="str">
            <v>@@</v>
          </cell>
          <cell r="R840" t="str">
            <v>@@</v>
          </cell>
          <cell r="S840" t="str">
            <v>@@</v>
          </cell>
          <cell r="AB840" t="str">
            <v>@@</v>
          </cell>
          <cell r="AC840" t="str">
            <v>@@</v>
          </cell>
          <cell r="AD840" t="str">
            <v>@@</v>
          </cell>
          <cell r="AL840" t="str">
            <v>@@</v>
          </cell>
        </row>
        <row r="841">
          <cell r="J841">
            <v>101800</v>
          </cell>
          <cell r="L841" t="str">
            <v>@@</v>
          </cell>
          <cell r="M841" t="str">
            <v>@@</v>
          </cell>
          <cell r="N841" t="str">
            <v>@@</v>
          </cell>
          <cell r="O841" t="str">
            <v>@@</v>
          </cell>
          <cell r="P841" t="str">
            <v>@@</v>
          </cell>
          <cell r="Q841" t="str">
            <v>@@</v>
          </cell>
          <cell r="R841" t="str">
            <v>@@</v>
          </cell>
          <cell r="S841" t="str">
            <v>@@</v>
          </cell>
          <cell r="AB841" t="str">
            <v>@@</v>
          </cell>
          <cell r="AC841" t="str">
            <v>@@</v>
          </cell>
          <cell r="AD841" t="str">
            <v>@@</v>
          </cell>
          <cell r="AL841" t="str">
            <v>@@</v>
          </cell>
        </row>
        <row r="842">
          <cell r="J842">
            <v>101900</v>
          </cell>
          <cell r="L842" t="str">
            <v>@@</v>
          </cell>
          <cell r="M842" t="str">
            <v>@@</v>
          </cell>
          <cell r="N842" t="str">
            <v>@@</v>
          </cell>
          <cell r="O842" t="str">
            <v>@@</v>
          </cell>
          <cell r="P842" t="str">
            <v>@@</v>
          </cell>
          <cell r="Q842" t="str">
            <v>@@</v>
          </cell>
          <cell r="R842" t="str">
            <v>@@</v>
          </cell>
          <cell r="S842" t="str">
            <v>@@</v>
          </cell>
          <cell r="AB842" t="str">
            <v>@@</v>
          </cell>
          <cell r="AC842" t="str">
            <v>@@</v>
          </cell>
          <cell r="AD842" t="str">
            <v>@@</v>
          </cell>
          <cell r="AL842" t="str">
            <v>@@</v>
          </cell>
        </row>
        <row r="843">
          <cell r="J843">
            <v>102000</v>
          </cell>
          <cell r="L843" t="str">
            <v>@@</v>
          </cell>
          <cell r="M843" t="str">
            <v>@@</v>
          </cell>
          <cell r="N843" t="str">
            <v>@@</v>
          </cell>
          <cell r="O843" t="str">
            <v>@@</v>
          </cell>
          <cell r="P843" t="str">
            <v>@@</v>
          </cell>
          <cell r="Q843" t="str">
            <v>@@</v>
          </cell>
          <cell r="R843" t="str">
            <v>@@</v>
          </cell>
          <cell r="S843" t="str">
            <v>@@</v>
          </cell>
          <cell r="AB843" t="str">
            <v>@@</v>
          </cell>
          <cell r="AC843" t="str">
            <v>@@</v>
          </cell>
          <cell r="AD843" t="str">
            <v>@@</v>
          </cell>
          <cell r="AL843" t="str">
            <v>@@</v>
          </cell>
        </row>
        <row r="844">
          <cell r="J844">
            <v>102100</v>
          </cell>
          <cell r="L844" t="str">
            <v>@@</v>
          </cell>
          <cell r="M844" t="str">
            <v>@@</v>
          </cell>
          <cell r="N844" t="str">
            <v>@@</v>
          </cell>
          <cell r="O844" t="str">
            <v>@@</v>
          </cell>
          <cell r="P844" t="str">
            <v>@@</v>
          </cell>
          <cell r="Q844" t="str">
            <v>@@</v>
          </cell>
          <cell r="R844" t="str">
            <v>@@</v>
          </cell>
          <cell r="S844" t="str">
            <v>@@</v>
          </cell>
          <cell r="AB844" t="str">
            <v>@@</v>
          </cell>
          <cell r="AC844" t="str">
            <v>@@</v>
          </cell>
          <cell r="AD844" t="str">
            <v>@@</v>
          </cell>
          <cell r="AL844" t="str">
            <v>@@</v>
          </cell>
        </row>
        <row r="845">
          <cell r="J845">
            <v>102200</v>
          </cell>
          <cell r="L845" t="str">
            <v>@@</v>
          </cell>
          <cell r="M845" t="str">
            <v>@@</v>
          </cell>
          <cell r="N845" t="str">
            <v>@@</v>
          </cell>
          <cell r="O845" t="str">
            <v>@@</v>
          </cell>
          <cell r="P845" t="str">
            <v>@@</v>
          </cell>
          <cell r="Q845" t="str">
            <v>@@</v>
          </cell>
          <cell r="R845" t="str">
            <v>@@</v>
          </cell>
          <cell r="S845" t="str">
            <v>@@</v>
          </cell>
          <cell r="AB845" t="str">
            <v>@@</v>
          </cell>
          <cell r="AC845" t="str">
            <v>@@</v>
          </cell>
          <cell r="AD845" t="str">
            <v>@@</v>
          </cell>
          <cell r="AL845" t="str">
            <v>@@</v>
          </cell>
        </row>
        <row r="846">
          <cell r="J846">
            <v>102300</v>
          </cell>
          <cell r="L846" t="str">
            <v>@@</v>
          </cell>
          <cell r="M846" t="str">
            <v>@@</v>
          </cell>
          <cell r="N846" t="str">
            <v>@@</v>
          </cell>
          <cell r="O846" t="str">
            <v>@@</v>
          </cell>
          <cell r="P846" t="str">
            <v>@@</v>
          </cell>
          <cell r="Q846" t="str">
            <v>@@</v>
          </cell>
          <cell r="R846" t="str">
            <v>@@</v>
          </cell>
          <cell r="S846" t="str">
            <v>@@</v>
          </cell>
          <cell r="AB846" t="str">
            <v>@@</v>
          </cell>
          <cell r="AC846" t="str">
            <v>@@</v>
          </cell>
          <cell r="AD846" t="str">
            <v>@@</v>
          </cell>
          <cell r="AL846" t="str">
            <v>@@</v>
          </cell>
        </row>
        <row r="847">
          <cell r="J847">
            <v>102400</v>
          </cell>
          <cell r="L847" t="str">
            <v>@@</v>
          </cell>
          <cell r="M847" t="str">
            <v>@@</v>
          </cell>
          <cell r="N847" t="str">
            <v>@@</v>
          </cell>
          <cell r="O847" t="str">
            <v>@@</v>
          </cell>
          <cell r="P847" t="str">
            <v>@@</v>
          </cell>
          <cell r="Q847" t="str">
            <v>@@</v>
          </cell>
          <cell r="R847" t="str">
            <v>@@</v>
          </cell>
          <cell r="S847" t="str">
            <v>@@</v>
          </cell>
          <cell r="AB847" t="str">
            <v>@@</v>
          </cell>
          <cell r="AC847" t="str">
            <v>@@</v>
          </cell>
          <cell r="AD847" t="str">
            <v>@@</v>
          </cell>
          <cell r="AL847" t="str">
            <v>@@</v>
          </cell>
        </row>
        <row r="848">
          <cell r="J848">
            <v>102500</v>
          </cell>
          <cell r="L848" t="str">
            <v>@@</v>
          </cell>
          <cell r="M848" t="str">
            <v>@@</v>
          </cell>
          <cell r="N848" t="str">
            <v>@@</v>
          </cell>
          <cell r="O848" t="str">
            <v>@@</v>
          </cell>
          <cell r="P848" t="str">
            <v>@@</v>
          </cell>
          <cell r="Q848" t="str">
            <v>@@</v>
          </cell>
          <cell r="R848" t="str">
            <v>@@</v>
          </cell>
          <cell r="S848" t="str">
            <v>@@</v>
          </cell>
          <cell r="AB848" t="str">
            <v>@@</v>
          </cell>
          <cell r="AC848" t="str">
            <v>@@</v>
          </cell>
          <cell r="AD848" t="str">
            <v>@@</v>
          </cell>
          <cell r="AL848" t="str">
            <v>@@</v>
          </cell>
        </row>
        <row r="849">
          <cell r="J849">
            <v>102600</v>
          </cell>
          <cell r="L849" t="str">
            <v>@@</v>
          </cell>
          <cell r="M849" t="str">
            <v>@@</v>
          </cell>
          <cell r="N849" t="str">
            <v>@@</v>
          </cell>
          <cell r="O849" t="str">
            <v>@@</v>
          </cell>
          <cell r="P849" t="str">
            <v>@@</v>
          </cell>
          <cell r="Q849" t="str">
            <v>@@</v>
          </cell>
          <cell r="R849" t="str">
            <v>@@</v>
          </cell>
          <cell r="S849" t="str">
            <v>@@</v>
          </cell>
          <cell r="AB849" t="str">
            <v>@@</v>
          </cell>
          <cell r="AC849" t="str">
            <v>@@</v>
          </cell>
          <cell r="AD849" t="str">
            <v>@@</v>
          </cell>
          <cell r="AL849" t="str">
            <v>@@</v>
          </cell>
        </row>
        <row r="850">
          <cell r="J850">
            <v>102700</v>
          </cell>
          <cell r="L850" t="str">
            <v>@@</v>
          </cell>
          <cell r="M850" t="str">
            <v>@@</v>
          </cell>
          <cell r="N850" t="str">
            <v>@@</v>
          </cell>
          <cell r="O850" t="str">
            <v>@@</v>
          </cell>
          <cell r="P850" t="str">
            <v>@@</v>
          </cell>
          <cell r="Q850" t="str">
            <v>@@</v>
          </cell>
          <cell r="R850" t="str">
            <v>@@</v>
          </cell>
          <cell r="S850" t="str">
            <v>@@</v>
          </cell>
          <cell r="AB850" t="str">
            <v>@@</v>
          </cell>
          <cell r="AC850" t="str">
            <v>@@</v>
          </cell>
          <cell r="AD850" t="str">
            <v>@@</v>
          </cell>
          <cell r="AL850" t="str">
            <v>@@</v>
          </cell>
        </row>
        <row r="851">
          <cell r="J851">
            <v>102800</v>
          </cell>
          <cell r="L851" t="str">
            <v>@@</v>
          </cell>
          <cell r="M851" t="str">
            <v>@@</v>
          </cell>
          <cell r="N851" t="str">
            <v>@@</v>
          </cell>
          <cell r="O851" t="str">
            <v>@@</v>
          </cell>
          <cell r="P851" t="str">
            <v>@@</v>
          </cell>
          <cell r="Q851" t="str">
            <v>@@</v>
          </cell>
          <cell r="R851" t="str">
            <v>@@</v>
          </cell>
          <cell r="S851" t="str">
            <v>@@</v>
          </cell>
          <cell r="AB851" t="str">
            <v>@@</v>
          </cell>
          <cell r="AC851" t="str">
            <v>@@</v>
          </cell>
          <cell r="AD851" t="str">
            <v>@@</v>
          </cell>
          <cell r="AL851" t="str">
            <v>@@</v>
          </cell>
        </row>
        <row r="852">
          <cell r="J852">
            <v>102900</v>
          </cell>
          <cell r="L852" t="str">
            <v>@@</v>
          </cell>
          <cell r="M852" t="str">
            <v>@@</v>
          </cell>
          <cell r="N852" t="str">
            <v>@@</v>
          </cell>
          <cell r="O852" t="str">
            <v>@@</v>
          </cell>
          <cell r="P852" t="str">
            <v>@@</v>
          </cell>
          <cell r="Q852" t="str">
            <v>@@</v>
          </cell>
          <cell r="R852" t="str">
            <v>@@</v>
          </cell>
          <cell r="S852" t="str">
            <v>@@</v>
          </cell>
          <cell r="AB852" t="str">
            <v>@@</v>
          </cell>
          <cell r="AC852" t="str">
            <v>@@</v>
          </cell>
          <cell r="AD852" t="str">
            <v>@@</v>
          </cell>
          <cell r="AL852" t="str">
            <v>@@</v>
          </cell>
        </row>
        <row r="853">
          <cell r="J853">
            <v>103000</v>
          </cell>
          <cell r="L853" t="str">
            <v>@@</v>
          </cell>
          <cell r="M853" t="str">
            <v>@@</v>
          </cell>
          <cell r="N853" t="str">
            <v>@@</v>
          </cell>
          <cell r="O853" t="str">
            <v>@@</v>
          </cell>
          <cell r="P853" t="str">
            <v>@@</v>
          </cell>
          <cell r="Q853" t="str">
            <v>@@</v>
          </cell>
          <cell r="R853" t="str">
            <v>@@</v>
          </cell>
          <cell r="S853" t="str">
            <v>@@</v>
          </cell>
          <cell r="AB853" t="str">
            <v>@@</v>
          </cell>
          <cell r="AC853" t="str">
            <v>@@</v>
          </cell>
          <cell r="AD853" t="str">
            <v>@@</v>
          </cell>
          <cell r="AL853" t="str">
            <v>@@</v>
          </cell>
        </row>
        <row r="854">
          <cell r="J854">
            <v>103100</v>
          </cell>
          <cell r="L854" t="str">
            <v>@@</v>
          </cell>
          <cell r="M854" t="str">
            <v>@@</v>
          </cell>
          <cell r="N854" t="str">
            <v>@@</v>
          </cell>
          <cell r="O854" t="str">
            <v>@@</v>
          </cell>
          <cell r="P854" t="str">
            <v>@@</v>
          </cell>
          <cell r="Q854" t="str">
            <v>@@</v>
          </cell>
          <cell r="R854" t="str">
            <v>@@</v>
          </cell>
          <cell r="S854" t="str">
            <v>@@</v>
          </cell>
          <cell r="AB854" t="str">
            <v>@@</v>
          </cell>
          <cell r="AC854" t="str">
            <v>@@</v>
          </cell>
          <cell r="AD854" t="str">
            <v>@@</v>
          </cell>
          <cell r="AL854" t="str">
            <v>@@</v>
          </cell>
        </row>
        <row r="855">
          <cell r="J855">
            <v>103200</v>
          </cell>
          <cell r="L855" t="str">
            <v>@@</v>
          </cell>
          <cell r="M855" t="str">
            <v>@@</v>
          </cell>
          <cell r="N855" t="str">
            <v>@@</v>
          </cell>
          <cell r="O855" t="str">
            <v>@@</v>
          </cell>
          <cell r="P855" t="str">
            <v>@@</v>
          </cell>
          <cell r="Q855" t="str">
            <v>@@</v>
          </cell>
          <cell r="R855" t="str">
            <v>@@</v>
          </cell>
          <cell r="S855" t="str">
            <v>@@</v>
          </cell>
          <cell r="AB855" t="str">
            <v>@@</v>
          </cell>
          <cell r="AC855" t="str">
            <v>@@</v>
          </cell>
          <cell r="AD855" t="str">
            <v>@@</v>
          </cell>
          <cell r="AL855" t="str">
            <v>@@</v>
          </cell>
        </row>
        <row r="856">
          <cell r="J856">
            <v>103300</v>
          </cell>
          <cell r="L856" t="str">
            <v>@@</v>
          </cell>
          <cell r="M856" t="str">
            <v>@@</v>
          </cell>
          <cell r="N856" t="str">
            <v>@@</v>
          </cell>
          <cell r="O856" t="str">
            <v>@@</v>
          </cell>
          <cell r="P856" t="str">
            <v>@@</v>
          </cell>
          <cell r="Q856" t="str">
            <v>@@</v>
          </cell>
          <cell r="R856" t="str">
            <v>@@</v>
          </cell>
          <cell r="S856" t="str">
            <v>@@</v>
          </cell>
          <cell r="AB856" t="str">
            <v>@@</v>
          </cell>
          <cell r="AC856" t="str">
            <v>@@</v>
          </cell>
          <cell r="AD856" t="str">
            <v>@@</v>
          </cell>
          <cell r="AL856" t="str">
            <v>@@</v>
          </cell>
        </row>
        <row r="857">
          <cell r="J857">
            <v>103400</v>
          </cell>
          <cell r="L857" t="str">
            <v>@@</v>
          </cell>
          <cell r="M857" t="str">
            <v>@@</v>
          </cell>
          <cell r="N857" t="str">
            <v>@@</v>
          </cell>
          <cell r="O857" t="str">
            <v>@@</v>
          </cell>
          <cell r="P857" t="str">
            <v>@@</v>
          </cell>
          <cell r="Q857" t="str">
            <v>@@</v>
          </cell>
          <cell r="R857" t="str">
            <v>@@</v>
          </cell>
          <cell r="S857" t="str">
            <v>@@</v>
          </cell>
          <cell r="AB857" t="str">
            <v>@@</v>
          </cell>
          <cell r="AC857" t="str">
            <v>@@</v>
          </cell>
          <cell r="AD857" t="str">
            <v>@@</v>
          </cell>
          <cell r="AL857" t="str">
            <v>@@</v>
          </cell>
        </row>
        <row r="858">
          <cell r="J858">
            <v>103500</v>
          </cell>
          <cell r="L858" t="str">
            <v>@@</v>
          </cell>
          <cell r="M858" t="str">
            <v>@@</v>
          </cell>
          <cell r="N858" t="str">
            <v>@@</v>
          </cell>
          <cell r="O858" t="str">
            <v>@@</v>
          </cell>
          <cell r="P858" t="str">
            <v>@@</v>
          </cell>
          <cell r="Q858" t="str">
            <v>@@</v>
          </cell>
          <cell r="R858" t="str">
            <v>@@</v>
          </cell>
          <cell r="S858" t="str">
            <v>@@</v>
          </cell>
          <cell r="AB858" t="str">
            <v>@@</v>
          </cell>
          <cell r="AC858" t="str">
            <v>@@</v>
          </cell>
          <cell r="AD858" t="str">
            <v>@@</v>
          </cell>
          <cell r="AL858" t="str">
            <v>@@</v>
          </cell>
        </row>
        <row r="859">
          <cell r="J859">
            <v>103600</v>
          </cell>
          <cell r="L859" t="str">
            <v>@@</v>
          </cell>
          <cell r="M859" t="str">
            <v>@@</v>
          </cell>
          <cell r="N859" t="str">
            <v>@@</v>
          </cell>
          <cell r="O859" t="str">
            <v>@@</v>
          </cell>
          <cell r="P859" t="str">
            <v>@@</v>
          </cell>
          <cell r="Q859" t="str">
            <v>@@</v>
          </cell>
          <cell r="R859" t="str">
            <v>@@</v>
          </cell>
          <cell r="S859" t="str">
            <v>@@</v>
          </cell>
          <cell r="AB859" t="str">
            <v>@@</v>
          </cell>
          <cell r="AC859" t="str">
            <v>@@</v>
          </cell>
          <cell r="AD859" t="str">
            <v>@@</v>
          </cell>
          <cell r="AL859" t="str">
            <v>@@</v>
          </cell>
        </row>
        <row r="860">
          <cell r="J860">
            <v>103700</v>
          </cell>
          <cell r="L860" t="str">
            <v>@@</v>
          </cell>
          <cell r="M860" t="str">
            <v>@@</v>
          </cell>
          <cell r="N860" t="str">
            <v>@@</v>
          </cell>
          <cell r="O860" t="str">
            <v>@@</v>
          </cell>
          <cell r="P860" t="str">
            <v>@@</v>
          </cell>
          <cell r="Q860" t="str">
            <v>@@</v>
          </cell>
          <cell r="R860" t="str">
            <v>@@</v>
          </cell>
          <cell r="S860" t="str">
            <v>@@</v>
          </cell>
          <cell r="AB860" t="str">
            <v>@@</v>
          </cell>
          <cell r="AC860" t="str">
            <v>@@</v>
          </cell>
          <cell r="AD860" t="str">
            <v>@@</v>
          </cell>
          <cell r="AL860" t="str">
            <v>@@</v>
          </cell>
        </row>
        <row r="861">
          <cell r="J861">
            <v>103800</v>
          </cell>
          <cell r="L861" t="str">
            <v>@@</v>
          </cell>
          <cell r="M861" t="str">
            <v>@@</v>
          </cell>
          <cell r="N861" t="str">
            <v>@@</v>
          </cell>
          <cell r="O861" t="str">
            <v>@@</v>
          </cell>
          <cell r="P861" t="str">
            <v>@@</v>
          </cell>
          <cell r="Q861" t="str">
            <v>@@</v>
          </cell>
          <cell r="R861" t="str">
            <v>@@</v>
          </cell>
          <cell r="S861" t="str">
            <v>@@</v>
          </cell>
          <cell r="AB861" t="str">
            <v>@@</v>
          </cell>
          <cell r="AC861" t="str">
            <v>@@</v>
          </cell>
          <cell r="AD861" t="str">
            <v>@@</v>
          </cell>
          <cell r="AL861" t="str">
            <v>@@</v>
          </cell>
        </row>
        <row r="862">
          <cell r="J862">
            <v>103900</v>
          </cell>
          <cell r="L862" t="str">
            <v>@@</v>
          </cell>
          <cell r="M862" t="str">
            <v>@@</v>
          </cell>
          <cell r="N862" t="str">
            <v>@@</v>
          </cell>
          <cell r="O862" t="str">
            <v>@@</v>
          </cell>
          <cell r="P862" t="str">
            <v>@@</v>
          </cell>
          <cell r="Q862" t="str">
            <v>@@</v>
          </cell>
          <cell r="R862" t="str">
            <v>@@</v>
          </cell>
          <cell r="S862" t="str">
            <v>@@</v>
          </cell>
          <cell r="AB862" t="str">
            <v>@@</v>
          </cell>
          <cell r="AC862" t="str">
            <v>@@</v>
          </cell>
          <cell r="AD862" t="str">
            <v>@@</v>
          </cell>
          <cell r="AL862" t="str">
            <v>@@</v>
          </cell>
        </row>
        <row r="863">
          <cell r="J863">
            <v>104000</v>
          </cell>
          <cell r="L863" t="str">
            <v>@@</v>
          </cell>
          <cell r="M863" t="str">
            <v>@@</v>
          </cell>
          <cell r="N863" t="str">
            <v>@@</v>
          </cell>
          <cell r="O863" t="str">
            <v>@@</v>
          </cell>
          <cell r="P863" t="str">
            <v>@@</v>
          </cell>
          <cell r="Q863" t="str">
            <v>@@</v>
          </cell>
          <cell r="R863" t="str">
            <v>@@</v>
          </cell>
          <cell r="S863" t="str">
            <v>@@</v>
          </cell>
          <cell r="AB863" t="str">
            <v>@@</v>
          </cell>
          <cell r="AC863" t="str">
            <v>@@</v>
          </cell>
          <cell r="AD863" t="str">
            <v>@@</v>
          </cell>
          <cell r="AL863" t="str">
            <v>@@</v>
          </cell>
        </row>
        <row r="864">
          <cell r="J864">
            <v>104100</v>
          </cell>
          <cell r="L864" t="str">
            <v>@@</v>
          </cell>
          <cell r="M864" t="str">
            <v>@@</v>
          </cell>
          <cell r="N864" t="str">
            <v>@@</v>
          </cell>
          <cell r="O864" t="str">
            <v>@@</v>
          </cell>
          <cell r="P864" t="str">
            <v>@@</v>
          </cell>
          <cell r="Q864" t="str">
            <v>@@</v>
          </cell>
          <cell r="R864" t="str">
            <v>@@</v>
          </cell>
          <cell r="S864" t="str">
            <v>@@</v>
          </cell>
          <cell r="AB864" t="str">
            <v>@@</v>
          </cell>
          <cell r="AC864" t="str">
            <v>@@</v>
          </cell>
          <cell r="AD864" t="str">
            <v>@@</v>
          </cell>
          <cell r="AL864" t="str">
            <v>@@</v>
          </cell>
        </row>
        <row r="865">
          <cell r="J865">
            <v>104200</v>
          </cell>
          <cell r="L865" t="str">
            <v>@@</v>
          </cell>
          <cell r="M865" t="str">
            <v>@@</v>
          </cell>
          <cell r="N865" t="str">
            <v>@@</v>
          </cell>
          <cell r="O865" t="str">
            <v>@@</v>
          </cell>
          <cell r="P865" t="str">
            <v>@@</v>
          </cell>
          <cell r="Q865" t="str">
            <v>@@</v>
          </cell>
          <cell r="R865" t="str">
            <v>@@</v>
          </cell>
          <cell r="S865" t="str">
            <v>@@</v>
          </cell>
          <cell r="AB865" t="str">
            <v>@@</v>
          </cell>
          <cell r="AC865" t="str">
            <v>@@</v>
          </cell>
          <cell r="AD865" t="str">
            <v>@@</v>
          </cell>
          <cell r="AL865" t="str">
            <v>@@</v>
          </cell>
        </row>
        <row r="866">
          <cell r="J866">
            <v>104300</v>
          </cell>
          <cell r="L866" t="str">
            <v>@@</v>
          </cell>
          <cell r="M866" t="str">
            <v>@@</v>
          </cell>
          <cell r="N866" t="str">
            <v>@@</v>
          </cell>
          <cell r="O866" t="str">
            <v>@@</v>
          </cell>
          <cell r="P866" t="str">
            <v>@@</v>
          </cell>
          <cell r="Q866" t="str">
            <v>@@</v>
          </cell>
          <cell r="R866" t="str">
            <v>@@</v>
          </cell>
          <cell r="S866" t="str">
            <v>@@</v>
          </cell>
          <cell r="AB866" t="str">
            <v>@@</v>
          </cell>
          <cell r="AC866" t="str">
            <v>@@</v>
          </cell>
          <cell r="AD866" t="str">
            <v>@@</v>
          </cell>
          <cell r="AL866" t="str">
            <v>@@</v>
          </cell>
        </row>
        <row r="867">
          <cell r="J867">
            <v>104400</v>
          </cell>
          <cell r="L867" t="str">
            <v>@@</v>
          </cell>
          <cell r="M867" t="str">
            <v>@@</v>
          </cell>
          <cell r="N867" t="str">
            <v>@@</v>
          </cell>
          <cell r="O867" t="str">
            <v>@@</v>
          </cell>
          <cell r="P867" t="str">
            <v>@@</v>
          </cell>
          <cell r="Q867" t="str">
            <v>@@</v>
          </cell>
          <cell r="R867" t="str">
            <v>@@</v>
          </cell>
          <cell r="S867" t="str">
            <v>@@</v>
          </cell>
          <cell r="AB867" t="str">
            <v>@@</v>
          </cell>
          <cell r="AC867" t="str">
            <v>@@</v>
          </cell>
          <cell r="AD867" t="str">
            <v>@@</v>
          </cell>
          <cell r="AL867" t="str">
            <v>@@</v>
          </cell>
        </row>
        <row r="868">
          <cell r="J868">
            <v>104500</v>
          </cell>
          <cell r="L868" t="str">
            <v>@@</v>
          </cell>
          <cell r="M868" t="str">
            <v>@@</v>
          </cell>
          <cell r="N868" t="str">
            <v>@@</v>
          </cell>
          <cell r="O868" t="str">
            <v>@@</v>
          </cell>
          <cell r="P868" t="str">
            <v>@@</v>
          </cell>
          <cell r="Q868" t="str">
            <v>@@</v>
          </cell>
          <cell r="R868" t="str">
            <v>@@</v>
          </cell>
          <cell r="S868" t="str">
            <v>@@</v>
          </cell>
          <cell r="AB868" t="str">
            <v>@@</v>
          </cell>
          <cell r="AC868" t="str">
            <v>@@</v>
          </cell>
          <cell r="AD868" t="str">
            <v>@@</v>
          </cell>
          <cell r="AL868" t="str">
            <v>@@</v>
          </cell>
        </row>
        <row r="869">
          <cell r="J869">
            <v>104600</v>
          </cell>
          <cell r="L869" t="str">
            <v>@@</v>
          </cell>
          <cell r="M869" t="str">
            <v>@@</v>
          </cell>
          <cell r="N869" t="str">
            <v>@@</v>
          </cell>
          <cell r="O869" t="str">
            <v>@@</v>
          </cell>
          <cell r="P869" t="str">
            <v>@@</v>
          </cell>
          <cell r="Q869" t="str">
            <v>@@</v>
          </cell>
          <cell r="R869" t="str">
            <v>@@</v>
          </cell>
          <cell r="S869" t="str">
            <v>@@</v>
          </cell>
          <cell r="AB869" t="str">
            <v>@@</v>
          </cell>
          <cell r="AC869" t="str">
            <v>@@</v>
          </cell>
          <cell r="AD869" t="str">
            <v>@@</v>
          </cell>
          <cell r="AL869" t="str">
            <v>@@</v>
          </cell>
        </row>
        <row r="870">
          <cell r="J870">
            <v>104700</v>
          </cell>
          <cell r="L870" t="str">
            <v>@@</v>
          </cell>
          <cell r="M870" t="str">
            <v>@@</v>
          </cell>
          <cell r="N870" t="str">
            <v>@@</v>
          </cell>
          <cell r="O870" t="str">
            <v>@@</v>
          </cell>
          <cell r="P870" t="str">
            <v>@@</v>
          </cell>
          <cell r="Q870" t="str">
            <v>@@</v>
          </cell>
          <cell r="R870" t="str">
            <v>@@</v>
          </cell>
          <cell r="S870" t="str">
            <v>@@</v>
          </cell>
          <cell r="AB870" t="str">
            <v>@@</v>
          </cell>
          <cell r="AC870" t="str">
            <v>@@</v>
          </cell>
          <cell r="AD870" t="str">
            <v>@@</v>
          </cell>
          <cell r="AL870" t="str">
            <v>@@</v>
          </cell>
        </row>
        <row r="871">
          <cell r="J871">
            <v>104800</v>
          </cell>
          <cell r="L871" t="str">
            <v>@@</v>
          </cell>
          <cell r="M871" t="str">
            <v>@@</v>
          </cell>
          <cell r="N871" t="str">
            <v>@@</v>
          </cell>
          <cell r="O871" t="str">
            <v>@@</v>
          </cell>
          <cell r="P871" t="str">
            <v>@@</v>
          </cell>
          <cell r="Q871" t="str">
            <v>@@</v>
          </cell>
          <cell r="R871" t="str">
            <v>@@</v>
          </cell>
          <cell r="S871" t="str">
            <v>@@</v>
          </cell>
          <cell r="AB871" t="str">
            <v>@@</v>
          </cell>
          <cell r="AC871" t="str">
            <v>@@</v>
          </cell>
          <cell r="AD871" t="str">
            <v>@@</v>
          </cell>
          <cell r="AL871" t="str">
            <v>@@</v>
          </cell>
        </row>
        <row r="872">
          <cell r="J872">
            <v>104900</v>
          </cell>
          <cell r="L872" t="str">
            <v>@@</v>
          </cell>
          <cell r="M872" t="str">
            <v>@@</v>
          </cell>
          <cell r="N872" t="str">
            <v>@@</v>
          </cell>
          <cell r="O872" t="str">
            <v>@@</v>
          </cell>
          <cell r="P872" t="str">
            <v>@@</v>
          </cell>
          <cell r="Q872" t="str">
            <v>@@</v>
          </cell>
          <cell r="R872" t="str">
            <v>@@</v>
          </cell>
          <cell r="S872" t="str">
            <v>@@</v>
          </cell>
          <cell r="AB872" t="str">
            <v>@@</v>
          </cell>
          <cell r="AC872" t="str">
            <v>@@</v>
          </cell>
          <cell r="AD872" t="str">
            <v>@@</v>
          </cell>
          <cell r="AL872" t="str">
            <v>@@</v>
          </cell>
        </row>
        <row r="873">
          <cell r="J873">
            <v>105000</v>
          </cell>
          <cell r="L873" t="str">
            <v>@@</v>
          </cell>
          <cell r="M873" t="str">
            <v>@@</v>
          </cell>
          <cell r="N873" t="str">
            <v>@@</v>
          </cell>
          <cell r="O873" t="str">
            <v>@@</v>
          </cell>
          <cell r="P873" t="str">
            <v>@@</v>
          </cell>
          <cell r="Q873" t="str">
            <v>@@</v>
          </cell>
          <cell r="R873" t="str">
            <v>@@</v>
          </cell>
          <cell r="S873" t="str">
            <v>@@</v>
          </cell>
          <cell r="AB873" t="str">
            <v>@@</v>
          </cell>
          <cell r="AC873" t="str">
            <v>@@</v>
          </cell>
          <cell r="AD873" t="str">
            <v>@@</v>
          </cell>
          <cell r="AL873" t="str">
            <v>@@</v>
          </cell>
        </row>
        <row r="874">
          <cell r="J874">
            <v>105100</v>
          </cell>
          <cell r="L874" t="str">
            <v>@@</v>
          </cell>
          <cell r="M874" t="str">
            <v>@@</v>
          </cell>
          <cell r="N874" t="str">
            <v>@@</v>
          </cell>
          <cell r="O874" t="str">
            <v>@@</v>
          </cell>
          <cell r="P874" t="str">
            <v>@@</v>
          </cell>
          <cell r="Q874" t="str">
            <v>@@</v>
          </cell>
          <cell r="R874" t="str">
            <v>@@</v>
          </cell>
          <cell r="S874" t="str">
            <v>@@</v>
          </cell>
          <cell r="AB874" t="str">
            <v>@@</v>
          </cell>
          <cell r="AC874" t="str">
            <v>@@</v>
          </cell>
          <cell r="AD874" t="str">
            <v>@@</v>
          </cell>
          <cell r="AL874" t="str">
            <v>@@</v>
          </cell>
        </row>
        <row r="875">
          <cell r="J875">
            <v>105200</v>
          </cell>
          <cell r="L875" t="str">
            <v>@@</v>
          </cell>
          <cell r="M875" t="str">
            <v>@@</v>
          </cell>
          <cell r="N875" t="str">
            <v>@@</v>
          </cell>
          <cell r="O875" t="str">
            <v>@@</v>
          </cell>
          <cell r="P875" t="str">
            <v>@@</v>
          </cell>
          <cell r="Q875" t="str">
            <v>@@</v>
          </cell>
          <cell r="R875" t="str">
            <v>@@</v>
          </cell>
          <cell r="S875" t="str">
            <v>@@</v>
          </cell>
          <cell r="AB875" t="str">
            <v>@@</v>
          </cell>
          <cell r="AC875" t="str">
            <v>@@</v>
          </cell>
          <cell r="AD875" t="str">
            <v>@@</v>
          </cell>
          <cell r="AL875" t="str">
            <v>@@</v>
          </cell>
        </row>
        <row r="876">
          <cell r="J876">
            <v>105300</v>
          </cell>
          <cell r="L876" t="str">
            <v>@@</v>
          </cell>
          <cell r="M876" t="str">
            <v>@@</v>
          </cell>
          <cell r="N876" t="str">
            <v>@@</v>
          </cell>
          <cell r="O876" t="str">
            <v>@@</v>
          </cell>
          <cell r="P876" t="str">
            <v>@@</v>
          </cell>
          <cell r="Q876" t="str">
            <v>@@</v>
          </cell>
          <cell r="R876" t="str">
            <v>@@</v>
          </cell>
          <cell r="S876" t="str">
            <v>@@</v>
          </cell>
          <cell r="AB876" t="str">
            <v>@@</v>
          </cell>
          <cell r="AC876" t="str">
            <v>@@</v>
          </cell>
          <cell r="AD876" t="str">
            <v>@@</v>
          </cell>
          <cell r="AL876" t="str">
            <v>@@</v>
          </cell>
        </row>
        <row r="877">
          <cell r="J877">
            <v>105400</v>
          </cell>
          <cell r="L877" t="str">
            <v>@@</v>
          </cell>
          <cell r="M877" t="str">
            <v>@@</v>
          </cell>
          <cell r="N877" t="str">
            <v>@@</v>
          </cell>
          <cell r="O877" t="str">
            <v>@@</v>
          </cell>
          <cell r="P877" t="str">
            <v>@@</v>
          </cell>
          <cell r="Q877" t="str">
            <v>@@</v>
          </cell>
          <cell r="R877" t="str">
            <v>@@</v>
          </cell>
          <cell r="S877" t="str">
            <v>@@</v>
          </cell>
          <cell r="AB877" t="str">
            <v>@@</v>
          </cell>
          <cell r="AC877" t="str">
            <v>@@</v>
          </cell>
          <cell r="AD877" t="str">
            <v>@@</v>
          </cell>
          <cell r="AL877" t="str">
            <v>@@</v>
          </cell>
        </row>
        <row r="878">
          <cell r="J878">
            <v>105500</v>
          </cell>
          <cell r="L878" t="str">
            <v>@@</v>
          </cell>
          <cell r="M878" t="str">
            <v>@@</v>
          </cell>
          <cell r="N878" t="str">
            <v>@@</v>
          </cell>
          <cell r="O878" t="str">
            <v>@@</v>
          </cell>
          <cell r="P878" t="str">
            <v>@@</v>
          </cell>
          <cell r="Q878" t="str">
            <v>@@</v>
          </cell>
          <cell r="R878" t="str">
            <v>@@</v>
          </cell>
          <cell r="S878" t="str">
            <v>@@</v>
          </cell>
          <cell r="AB878" t="str">
            <v>@@</v>
          </cell>
          <cell r="AC878" t="str">
            <v>@@</v>
          </cell>
          <cell r="AD878" t="str">
            <v>@@</v>
          </cell>
          <cell r="AL878" t="str">
            <v>@@</v>
          </cell>
        </row>
        <row r="879">
          <cell r="J879">
            <v>105600</v>
          </cell>
          <cell r="L879" t="str">
            <v>@@</v>
          </cell>
          <cell r="M879" t="str">
            <v>@@</v>
          </cell>
          <cell r="N879" t="str">
            <v>@@</v>
          </cell>
          <cell r="O879" t="str">
            <v>@@</v>
          </cell>
          <cell r="P879" t="str">
            <v>@@</v>
          </cell>
          <cell r="Q879" t="str">
            <v>@@</v>
          </cell>
          <cell r="R879" t="str">
            <v>@@</v>
          </cell>
          <cell r="S879" t="str">
            <v>@@</v>
          </cell>
          <cell r="AB879" t="str">
            <v>@@</v>
          </cell>
          <cell r="AC879" t="str">
            <v>@@</v>
          </cell>
          <cell r="AD879" t="str">
            <v>@@</v>
          </cell>
          <cell r="AL879" t="str">
            <v>@@</v>
          </cell>
        </row>
        <row r="880">
          <cell r="J880">
            <v>105700</v>
          </cell>
          <cell r="L880" t="str">
            <v>@@</v>
          </cell>
          <cell r="M880" t="str">
            <v>@@</v>
          </cell>
          <cell r="N880" t="str">
            <v>@@</v>
          </cell>
          <cell r="O880" t="str">
            <v>@@</v>
          </cell>
          <cell r="P880" t="str">
            <v>@@</v>
          </cell>
          <cell r="Q880" t="str">
            <v>@@</v>
          </cell>
          <cell r="R880" t="str">
            <v>@@</v>
          </cell>
          <cell r="S880" t="str">
            <v>@@</v>
          </cell>
          <cell r="AB880" t="str">
            <v>@@</v>
          </cell>
          <cell r="AC880" t="str">
            <v>@@</v>
          </cell>
          <cell r="AD880" t="str">
            <v>@@</v>
          </cell>
          <cell r="AL880" t="str">
            <v>@@</v>
          </cell>
        </row>
        <row r="881">
          <cell r="J881">
            <v>105800</v>
          </cell>
          <cell r="L881" t="str">
            <v>@@</v>
          </cell>
          <cell r="M881" t="str">
            <v>@@</v>
          </cell>
          <cell r="N881" t="str">
            <v>@@</v>
          </cell>
          <cell r="O881" t="str">
            <v>@@</v>
          </cell>
          <cell r="P881" t="str">
            <v>@@</v>
          </cell>
          <cell r="Q881" t="str">
            <v>@@</v>
          </cell>
          <cell r="R881" t="str">
            <v>@@</v>
          </cell>
          <cell r="S881" t="str">
            <v>@@</v>
          </cell>
          <cell r="AB881" t="str">
            <v>@@</v>
          </cell>
          <cell r="AC881" t="str">
            <v>@@</v>
          </cell>
          <cell r="AD881" t="str">
            <v>@@</v>
          </cell>
          <cell r="AL881" t="str">
            <v>@@</v>
          </cell>
        </row>
        <row r="882">
          <cell r="J882">
            <v>105900</v>
          </cell>
          <cell r="L882" t="str">
            <v>@@</v>
          </cell>
          <cell r="M882" t="str">
            <v>@@</v>
          </cell>
          <cell r="N882" t="str">
            <v>@@</v>
          </cell>
          <cell r="O882" t="str">
            <v>@@</v>
          </cell>
          <cell r="P882" t="str">
            <v>@@</v>
          </cell>
          <cell r="Q882" t="str">
            <v>@@</v>
          </cell>
          <cell r="R882" t="str">
            <v>@@</v>
          </cell>
          <cell r="S882" t="str">
            <v>@@</v>
          </cell>
          <cell r="AB882" t="str">
            <v>@@</v>
          </cell>
          <cell r="AC882" t="str">
            <v>@@</v>
          </cell>
          <cell r="AD882" t="str">
            <v>@@</v>
          </cell>
          <cell r="AL882" t="str">
            <v>@@</v>
          </cell>
        </row>
        <row r="883">
          <cell r="J883">
            <v>106000</v>
          </cell>
          <cell r="L883" t="str">
            <v>@@</v>
          </cell>
          <cell r="M883" t="str">
            <v>@@</v>
          </cell>
          <cell r="N883" t="str">
            <v>@@</v>
          </cell>
          <cell r="O883" t="str">
            <v>@@</v>
          </cell>
          <cell r="P883" t="str">
            <v>@@</v>
          </cell>
          <cell r="Q883" t="str">
            <v>@@</v>
          </cell>
          <cell r="R883" t="str">
            <v>@@</v>
          </cell>
          <cell r="S883" t="str">
            <v>@@</v>
          </cell>
          <cell r="AB883" t="str">
            <v>@@</v>
          </cell>
          <cell r="AC883" t="str">
            <v>@@</v>
          </cell>
          <cell r="AD883" t="str">
            <v>@@</v>
          </cell>
          <cell r="AL883" t="str">
            <v>@@</v>
          </cell>
        </row>
        <row r="884">
          <cell r="J884">
            <v>106100</v>
          </cell>
          <cell r="L884" t="str">
            <v>@@</v>
          </cell>
          <cell r="M884" t="str">
            <v>@@</v>
          </cell>
          <cell r="N884" t="str">
            <v>@@</v>
          </cell>
          <cell r="O884" t="str">
            <v>@@</v>
          </cell>
          <cell r="P884" t="str">
            <v>@@</v>
          </cell>
          <cell r="Q884" t="str">
            <v>@@</v>
          </cell>
          <cell r="R884" t="str">
            <v>@@</v>
          </cell>
          <cell r="S884" t="str">
            <v>@@</v>
          </cell>
          <cell r="AB884" t="str">
            <v>@@</v>
          </cell>
          <cell r="AC884" t="str">
            <v>@@</v>
          </cell>
          <cell r="AD884" t="str">
            <v>@@</v>
          </cell>
          <cell r="AL884" t="str">
            <v>@@</v>
          </cell>
        </row>
        <row r="885">
          <cell r="J885">
            <v>106200</v>
          </cell>
          <cell r="L885" t="str">
            <v>@@</v>
          </cell>
          <cell r="M885" t="str">
            <v>@@</v>
          </cell>
          <cell r="N885" t="str">
            <v>@@</v>
          </cell>
          <cell r="O885" t="str">
            <v>@@</v>
          </cell>
          <cell r="P885" t="str">
            <v>@@</v>
          </cell>
          <cell r="Q885" t="str">
            <v>@@</v>
          </cell>
          <cell r="R885" t="str">
            <v>@@</v>
          </cell>
          <cell r="S885" t="str">
            <v>@@</v>
          </cell>
          <cell r="AB885" t="str">
            <v>@@</v>
          </cell>
          <cell r="AC885" t="str">
            <v>@@</v>
          </cell>
          <cell r="AD885" t="str">
            <v>@@</v>
          </cell>
          <cell r="AL885" t="str">
            <v>@@</v>
          </cell>
        </row>
        <row r="886">
          <cell r="J886">
            <v>106300</v>
          </cell>
          <cell r="L886" t="str">
            <v>@@</v>
          </cell>
          <cell r="M886" t="str">
            <v>@@</v>
          </cell>
          <cell r="N886" t="str">
            <v>@@</v>
          </cell>
          <cell r="O886" t="str">
            <v>@@</v>
          </cell>
          <cell r="P886" t="str">
            <v>@@</v>
          </cell>
          <cell r="Q886" t="str">
            <v>@@</v>
          </cell>
          <cell r="R886" t="str">
            <v>@@</v>
          </cell>
          <cell r="S886" t="str">
            <v>@@</v>
          </cell>
          <cell r="AB886" t="str">
            <v>@@</v>
          </cell>
          <cell r="AC886" t="str">
            <v>@@</v>
          </cell>
          <cell r="AD886" t="str">
            <v>@@</v>
          </cell>
          <cell r="AL886" t="str">
            <v>@@</v>
          </cell>
        </row>
        <row r="887">
          <cell r="J887">
            <v>106400</v>
          </cell>
          <cell r="L887" t="str">
            <v>@@</v>
          </cell>
          <cell r="M887" t="str">
            <v>@@</v>
          </cell>
          <cell r="N887" t="str">
            <v>@@</v>
          </cell>
          <cell r="O887" t="str">
            <v>@@</v>
          </cell>
          <cell r="P887" t="str">
            <v>@@</v>
          </cell>
          <cell r="Q887" t="str">
            <v>@@</v>
          </cell>
          <cell r="R887" t="str">
            <v>@@</v>
          </cell>
          <cell r="S887" t="str">
            <v>@@</v>
          </cell>
          <cell r="AB887" t="str">
            <v>@@</v>
          </cell>
          <cell r="AC887" t="str">
            <v>@@</v>
          </cell>
          <cell r="AD887" t="str">
            <v>@@</v>
          </cell>
          <cell r="AL887" t="str">
            <v>@@</v>
          </cell>
        </row>
        <row r="888">
          <cell r="J888">
            <v>106500</v>
          </cell>
          <cell r="L888" t="str">
            <v>@@</v>
          </cell>
          <cell r="M888" t="str">
            <v>@@</v>
          </cell>
          <cell r="N888" t="str">
            <v>@@</v>
          </cell>
          <cell r="O888" t="str">
            <v>@@</v>
          </cell>
          <cell r="P888" t="str">
            <v>@@</v>
          </cell>
          <cell r="Q888" t="str">
            <v>@@</v>
          </cell>
          <cell r="R888" t="str">
            <v>@@</v>
          </cell>
          <cell r="S888" t="str">
            <v>@@</v>
          </cell>
          <cell r="AB888" t="str">
            <v>@@</v>
          </cell>
          <cell r="AC888" t="str">
            <v>@@</v>
          </cell>
          <cell r="AD888" t="str">
            <v>@@</v>
          </cell>
          <cell r="AL888" t="str">
            <v>@@</v>
          </cell>
        </row>
        <row r="889">
          <cell r="J889">
            <v>106600</v>
          </cell>
          <cell r="L889" t="str">
            <v>@@</v>
          </cell>
          <cell r="M889" t="str">
            <v>@@</v>
          </cell>
          <cell r="N889" t="str">
            <v>@@</v>
          </cell>
          <cell r="O889" t="str">
            <v>@@</v>
          </cell>
          <cell r="P889" t="str">
            <v>@@</v>
          </cell>
          <cell r="Q889" t="str">
            <v>@@</v>
          </cell>
          <cell r="R889" t="str">
            <v>@@</v>
          </cell>
          <cell r="S889" t="str">
            <v>@@</v>
          </cell>
          <cell r="AB889" t="str">
            <v>@@</v>
          </cell>
          <cell r="AC889" t="str">
            <v>@@</v>
          </cell>
          <cell r="AD889" t="str">
            <v>@@</v>
          </cell>
          <cell r="AL889" t="str">
            <v>@@</v>
          </cell>
        </row>
        <row r="890">
          <cell r="J890">
            <v>106700</v>
          </cell>
          <cell r="L890" t="str">
            <v>@@</v>
          </cell>
          <cell r="M890" t="str">
            <v>@@</v>
          </cell>
          <cell r="N890" t="str">
            <v>@@</v>
          </cell>
          <cell r="O890" t="str">
            <v>@@</v>
          </cell>
          <cell r="P890" t="str">
            <v>@@</v>
          </cell>
          <cell r="Q890" t="str">
            <v>@@</v>
          </cell>
          <cell r="R890" t="str">
            <v>@@</v>
          </cell>
          <cell r="S890" t="str">
            <v>@@</v>
          </cell>
          <cell r="AB890" t="str">
            <v>@@</v>
          </cell>
          <cell r="AC890" t="str">
            <v>@@</v>
          </cell>
          <cell r="AD890" t="str">
            <v>@@</v>
          </cell>
          <cell r="AL890" t="str">
            <v>@@</v>
          </cell>
        </row>
        <row r="891">
          <cell r="J891">
            <v>106800</v>
          </cell>
          <cell r="L891" t="str">
            <v>@@</v>
          </cell>
          <cell r="M891" t="str">
            <v>@@</v>
          </cell>
          <cell r="N891" t="str">
            <v>@@</v>
          </cell>
          <cell r="O891" t="str">
            <v>@@</v>
          </cell>
          <cell r="P891" t="str">
            <v>@@</v>
          </cell>
          <cell r="Q891" t="str">
            <v>@@</v>
          </cell>
          <cell r="R891" t="str">
            <v>@@</v>
          </cell>
          <cell r="S891" t="str">
            <v>@@</v>
          </cell>
          <cell r="AB891" t="str">
            <v>@@</v>
          </cell>
          <cell r="AC891" t="str">
            <v>@@</v>
          </cell>
          <cell r="AD891" t="str">
            <v>@@</v>
          </cell>
          <cell r="AL891" t="str">
            <v>@@</v>
          </cell>
        </row>
        <row r="892">
          <cell r="J892">
            <v>106900</v>
          </cell>
          <cell r="L892" t="str">
            <v>@@</v>
          </cell>
          <cell r="M892" t="str">
            <v>@@</v>
          </cell>
          <cell r="N892" t="str">
            <v>@@</v>
          </cell>
          <cell r="O892" t="str">
            <v>@@</v>
          </cell>
          <cell r="P892" t="str">
            <v>@@</v>
          </cell>
          <cell r="Q892" t="str">
            <v>@@</v>
          </cell>
          <cell r="R892" t="str">
            <v>@@</v>
          </cell>
          <cell r="S892" t="str">
            <v>@@</v>
          </cell>
          <cell r="AB892" t="str">
            <v>@@</v>
          </cell>
          <cell r="AC892" t="str">
            <v>@@</v>
          </cell>
          <cell r="AD892" t="str">
            <v>@@</v>
          </cell>
          <cell r="AL892" t="str">
            <v>@@</v>
          </cell>
        </row>
        <row r="893">
          <cell r="J893">
            <v>107000</v>
          </cell>
          <cell r="L893" t="str">
            <v>@@</v>
          </cell>
          <cell r="M893" t="str">
            <v>@@</v>
          </cell>
          <cell r="N893" t="str">
            <v>@@</v>
          </cell>
          <cell r="O893" t="str">
            <v>@@</v>
          </cell>
          <cell r="P893" t="str">
            <v>@@</v>
          </cell>
          <cell r="Q893" t="str">
            <v>@@</v>
          </cell>
          <cell r="R893" t="str">
            <v>@@</v>
          </cell>
          <cell r="S893" t="str">
            <v>@@</v>
          </cell>
          <cell r="AB893" t="str">
            <v>@@</v>
          </cell>
          <cell r="AC893" t="str">
            <v>@@</v>
          </cell>
          <cell r="AD893" t="str">
            <v>@@</v>
          </cell>
          <cell r="AL893" t="str">
            <v>@@</v>
          </cell>
        </row>
        <row r="894">
          <cell r="J894">
            <v>107100</v>
          </cell>
          <cell r="L894" t="str">
            <v>@@</v>
          </cell>
          <cell r="M894" t="str">
            <v>@@</v>
          </cell>
          <cell r="N894" t="str">
            <v>@@</v>
          </cell>
          <cell r="O894" t="str">
            <v>@@</v>
          </cell>
          <cell r="P894" t="str">
            <v>@@</v>
          </cell>
          <cell r="Q894" t="str">
            <v>@@</v>
          </cell>
          <cell r="R894" t="str">
            <v>@@</v>
          </cell>
          <cell r="S894" t="str">
            <v>@@</v>
          </cell>
          <cell r="AB894" t="str">
            <v>@@</v>
          </cell>
          <cell r="AC894" t="str">
            <v>@@</v>
          </cell>
          <cell r="AD894" t="str">
            <v>@@</v>
          </cell>
          <cell r="AL894" t="str">
            <v>@@</v>
          </cell>
        </row>
        <row r="895">
          <cell r="J895">
            <v>107200</v>
          </cell>
          <cell r="L895" t="str">
            <v>@@</v>
          </cell>
          <cell r="M895" t="str">
            <v>@@</v>
          </cell>
          <cell r="N895" t="str">
            <v>@@</v>
          </cell>
          <cell r="O895" t="str">
            <v>@@</v>
          </cell>
          <cell r="P895" t="str">
            <v>@@</v>
          </cell>
          <cell r="Q895" t="str">
            <v>@@</v>
          </cell>
          <cell r="R895" t="str">
            <v>@@</v>
          </cell>
          <cell r="S895" t="str">
            <v>@@</v>
          </cell>
          <cell r="AB895" t="str">
            <v>@@</v>
          </cell>
          <cell r="AC895" t="str">
            <v>@@</v>
          </cell>
          <cell r="AD895" t="str">
            <v>@@</v>
          </cell>
          <cell r="AL895" t="str">
            <v>@@</v>
          </cell>
        </row>
        <row r="896">
          <cell r="J896">
            <v>107300</v>
          </cell>
          <cell r="L896" t="str">
            <v>@@</v>
          </cell>
          <cell r="M896" t="str">
            <v>@@</v>
          </cell>
          <cell r="N896" t="str">
            <v>@@</v>
          </cell>
          <cell r="O896" t="str">
            <v>@@</v>
          </cell>
          <cell r="P896" t="str">
            <v>@@</v>
          </cell>
          <cell r="Q896" t="str">
            <v>@@</v>
          </cell>
          <cell r="R896" t="str">
            <v>@@</v>
          </cell>
          <cell r="S896" t="str">
            <v>@@</v>
          </cell>
          <cell r="AB896" t="str">
            <v>@@</v>
          </cell>
          <cell r="AC896" t="str">
            <v>@@</v>
          </cell>
          <cell r="AD896" t="str">
            <v>@@</v>
          </cell>
          <cell r="AL896" t="str">
            <v>@@</v>
          </cell>
        </row>
        <row r="897">
          <cell r="J897">
            <v>107400</v>
          </cell>
          <cell r="L897" t="str">
            <v>@@</v>
          </cell>
          <cell r="M897" t="str">
            <v>@@</v>
          </cell>
          <cell r="N897" t="str">
            <v>@@</v>
          </cell>
          <cell r="O897" t="str">
            <v>@@</v>
          </cell>
          <cell r="P897" t="str">
            <v>@@</v>
          </cell>
          <cell r="Q897" t="str">
            <v>@@</v>
          </cell>
          <cell r="R897" t="str">
            <v>@@</v>
          </cell>
          <cell r="S897" t="str">
            <v>@@</v>
          </cell>
          <cell r="AB897" t="str">
            <v>@@</v>
          </cell>
          <cell r="AC897" t="str">
            <v>@@</v>
          </cell>
          <cell r="AD897" t="str">
            <v>@@</v>
          </cell>
          <cell r="AL897" t="str">
            <v>@@</v>
          </cell>
        </row>
        <row r="898">
          <cell r="J898">
            <v>107500</v>
          </cell>
          <cell r="L898" t="str">
            <v>@@</v>
          </cell>
          <cell r="M898" t="str">
            <v>@@</v>
          </cell>
          <cell r="N898" t="str">
            <v>@@</v>
          </cell>
          <cell r="O898" t="str">
            <v>@@</v>
          </cell>
          <cell r="P898" t="str">
            <v>@@</v>
          </cell>
          <cell r="Q898" t="str">
            <v>@@</v>
          </cell>
          <cell r="R898" t="str">
            <v>@@</v>
          </cell>
          <cell r="S898" t="str">
            <v>@@</v>
          </cell>
          <cell r="AB898" t="str">
            <v>@@</v>
          </cell>
          <cell r="AC898" t="str">
            <v>@@</v>
          </cell>
          <cell r="AD898" t="str">
            <v>@@</v>
          </cell>
          <cell r="AL898" t="str">
            <v>@@</v>
          </cell>
        </row>
        <row r="899">
          <cell r="J899">
            <v>107600</v>
          </cell>
          <cell r="L899" t="str">
            <v>@@</v>
          </cell>
          <cell r="M899" t="str">
            <v>@@</v>
          </cell>
          <cell r="N899" t="str">
            <v>@@</v>
          </cell>
          <cell r="O899" t="str">
            <v>@@</v>
          </cell>
          <cell r="P899" t="str">
            <v>@@</v>
          </cell>
          <cell r="Q899" t="str">
            <v>@@</v>
          </cell>
          <cell r="R899" t="str">
            <v>@@</v>
          </cell>
          <cell r="S899" t="str">
            <v>@@</v>
          </cell>
          <cell r="AB899" t="str">
            <v>@@</v>
          </cell>
          <cell r="AC899" t="str">
            <v>@@</v>
          </cell>
          <cell r="AD899" t="str">
            <v>@@</v>
          </cell>
          <cell r="AL899" t="str">
            <v>@@</v>
          </cell>
        </row>
        <row r="900">
          <cell r="J900">
            <v>107700</v>
          </cell>
          <cell r="L900" t="str">
            <v>@@</v>
          </cell>
          <cell r="M900" t="str">
            <v>@@</v>
          </cell>
          <cell r="N900" t="str">
            <v>@@</v>
          </cell>
          <cell r="O900" t="str">
            <v>@@</v>
          </cell>
          <cell r="P900" t="str">
            <v>@@</v>
          </cell>
          <cell r="Q900" t="str">
            <v>@@</v>
          </cell>
          <cell r="R900" t="str">
            <v>@@</v>
          </cell>
          <cell r="S900" t="str">
            <v>@@</v>
          </cell>
          <cell r="AB900" t="str">
            <v>@@</v>
          </cell>
          <cell r="AC900" t="str">
            <v>@@</v>
          </cell>
          <cell r="AD900" t="str">
            <v>@@</v>
          </cell>
          <cell r="AL900" t="str">
            <v>@@</v>
          </cell>
        </row>
        <row r="901">
          <cell r="J901">
            <v>107800</v>
          </cell>
          <cell r="L901" t="str">
            <v>@@</v>
          </cell>
          <cell r="M901" t="str">
            <v>@@</v>
          </cell>
          <cell r="N901" t="str">
            <v>@@</v>
          </cell>
          <cell r="O901" t="str">
            <v>@@</v>
          </cell>
          <cell r="P901" t="str">
            <v>@@</v>
          </cell>
          <cell r="Q901" t="str">
            <v>@@</v>
          </cell>
          <cell r="R901" t="str">
            <v>@@</v>
          </cell>
          <cell r="S901" t="str">
            <v>@@</v>
          </cell>
          <cell r="AB901" t="str">
            <v>@@</v>
          </cell>
          <cell r="AC901" t="str">
            <v>@@</v>
          </cell>
          <cell r="AD901" t="str">
            <v>@@</v>
          </cell>
          <cell r="AL901" t="str">
            <v>@@</v>
          </cell>
        </row>
        <row r="902">
          <cell r="J902">
            <v>107900</v>
          </cell>
          <cell r="L902" t="str">
            <v>@@</v>
          </cell>
          <cell r="M902" t="str">
            <v>@@</v>
          </cell>
          <cell r="N902" t="str">
            <v>@@</v>
          </cell>
          <cell r="O902" t="str">
            <v>@@</v>
          </cell>
          <cell r="P902" t="str">
            <v>@@</v>
          </cell>
          <cell r="Q902" t="str">
            <v>@@</v>
          </cell>
          <cell r="R902" t="str">
            <v>@@</v>
          </cell>
          <cell r="S902" t="str">
            <v>@@</v>
          </cell>
          <cell r="AB902" t="str">
            <v>@@</v>
          </cell>
          <cell r="AC902" t="str">
            <v>@@</v>
          </cell>
          <cell r="AD902" t="str">
            <v>@@</v>
          </cell>
          <cell r="AL902" t="str">
            <v>@@</v>
          </cell>
        </row>
        <row r="903">
          <cell r="J903">
            <v>108000</v>
          </cell>
          <cell r="L903" t="str">
            <v>@@</v>
          </cell>
          <cell r="M903" t="str">
            <v>@@</v>
          </cell>
          <cell r="N903" t="str">
            <v>@@</v>
          </cell>
          <cell r="O903" t="str">
            <v>@@</v>
          </cell>
          <cell r="P903" t="str">
            <v>@@</v>
          </cell>
          <cell r="Q903" t="str">
            <v>@@</v>
          </cell>
          <cell r="R903" t="str">
            <v>@@</v>
          </cell>
          <cell r="S903" t="str">
            <v>@@</v>
          </cell>
          <cell r="AB903" t="str">
            <v>@@</v>
          </cell>
          <cell r="AC903" t="str">
            <v>@@</v>
          </cell>
          <cell r="AD903" t="str">
            <v>@@</v>
          </cell>
          <cell r="AL903" t="str">
            <v>@@</v>
          </cell>
        </row>
        <row r="904">
          <cell r="J904">
            <v>108100</v>
          </cell>
          <cell r="L904" t="str">
            <v>@@</v>
          </cell>
          <cell r="M904" t="str">
            <v>@@</v>
          </cell>
          <cell r="N904" t="str">
            <v>@@</v>
          </cell>
          <cell r="O904" t="str">
            <v>@@</v>
          </cell>
          <cell r="P904" t="str">
            <v>@@</v>
          </cell>
          <cell r="Q904" t="str">
            <v>@@</v>
          </cell>
          <cell r="R904" t="str">
            <v>@@</v>
          </cell>
          <cell r="S904" t="str">
            <v>@@</v>
          </cell>
          <cell r="AB904" t="str">
            <v>@@</v>
          </cell>
          <cell r="AC904" t="str">
            <v>@@</v>
          </cell>
          <cell r="AD904" t="str">
            <v>@@</v>
          </cell>
          <cell r="AL904" t="str">
            <v>@@</v>
          </cell>
        </row>
        <row r="905">
          <cell r="J905">
            <v>108200</v>
          </cell>
          <cell r="L905" t="str">
            <v>@@</v>
          </cell>
          <cell r="M905" t="str">
            <v>@@</v>
          </cell>
          <cell r="N905" t="str">
            <v>@@</v>
          </cell>
          <cell r="O905" t="str">
            <v>@@</v>
          </cell>
          <cell r="P905" t="str">
            <v>@@</v>
          </cell>
          <cell r="Q905" t="str">
            <v>@@</v>
          </cell>
          <cell r="R905" t="str">
            <v>@@</v>
          </cell>
          <cell r="S905" t="str">
            <v>@@</v>
          </cell>
          <cell r="AB905" t="str">
            <v>@@</v>
          </cell>
          <cell r="AC905" t="str">
            <v>@@</v>
          </cell>
          <cell r="AD905" t="str">
            <v>@@</v>
          </cell>
          <cell r="AL905" t="str">
            <v>@@</v>
          </cell>
        </row>
        <row r="906">
          <cell r="J906">
            <v>108300</v>
          </cell>
          <cell r="L906" t="str">
            <v>@@</v>
          </cell>
          <cell r="M906" t="str">
            <v>@@</v>
          </cell>
          <cell r="N906" t="str">
            <v>@@</v>
          </cell>
          <cell r="O906" t="str">
            <v>@@</v>
          </cell>
          <cell r="P906" t="str">
            <v>@@</v>
          </cell>
          <cell r="Q906" t="str">
            <v>@@</v>
          </cell>
          <cell r="R906" t="str">
            <v>@@</v>
          </cell>
          <cell r="S906" t="str">
            <v>@@</v>
          </cell>
          <cell r="AB906" t="str">
            <v>@@</v>
          </cell>
          <cell r="AC906" t="str">
            <v>@@</v>
          </cell>
          <cell r="AD906" t="str">
            <v>@@</v>
          </cell>
          <cell r="AL906" t="str">
            <v>@@</v>
          </cell>
        </row>
        <row r="907">
          <cell r="J907">
            <v>108400</v>
          </cell>
          <cell r="L907" t="str">
            <v>@@</v>
          </cell>
          <cell r="M907" t="str">
            <v>@@</v>
          </cell>
          <cell r="N907" t="str">
            <v>@@</v>
          </cell>
          <cell r="O907" t="str">
            <v>@@</v>
          </cell>
          <cell r="P907" t="str">
            <v>@@</v>
          </cell>
          <cell r="Q907" t="str">
            <v>@@</v>
          </cell>
          <cell r="R907" t="str">
            <v>@@</v>
          </cell>
          <cell r="S907" t="str">
            <v>@@</v>
          </cell>
          <cell r="AB907" t="str">
            <v>@@</v>
          </cell>
          <cell r="AC907" t="str">
            <v>@@</v>
          </cell>
          <cell r="AD907" t="str">
            <v>@@</v>
          </cell>
          <cell r="AL907" t="str">
            <v>@@</v>
          </cell>
        </row>
        <row r="908">
          <cell r="J908">
            <v>108500</v>
          </cell>
          <cell r="L908" t="str">
            <v>@@</v>
          </cell>
          <cell r="M908" t="str">
            <v>@@</v>
          </cell>
          <cell r="N908" t="str">
            <v>@@</v>
          </cell>
          <cell r="O908" t="str">
            <v>@@</v>
          </cell>
          <cell r="P908" t="str">
            <v>@@</v>
          </cell>
          <cell r="Q908" t="str">
            <v>@@</v>
          </cell>
          <cell r="R908" t="str">
            <v>@@</v>
          </cell>
          <cell r="S908" t="str">
            <v>@@</v>
          </cell>
          <cell r="AB908" t="str">
            <v>@@</v>
          </cell>
          <cell r="AC908" t="str">
            <v>@@</v>
          </cell>
          <cell r="AD908" t="str">
            <v>@@</v>
          </cell>
          <cell r="AL908" t="str">
            <v>@@</v>
          </cell>
        </row>
        <row r="909">
          <cell r="J909">
            <v>108600</v>
          </cell>
          <cell r="L909" t="str">
            <v>@@</v>
          </cell>
          <cell r="M909" t="str">
            <v>@@</v>
          </cell>
          <cell r="N909" t="str">
            <v>@@</v>
          </cell>
          <cell r="O909" t="str">
            <v>@@</v>
          </cell>
          <cell r="P909" t="str">
            <v>@@</v>
          </cell>
          <cell r="Q909" t="str">
            <v>@@</v>
          </cell>
          <cell r="R909" t="str">
            <v>@@</v>
          </cell>
          <cell r="S909" t="str">
            <v>@@</v>
          </cell>
          <cell r="AB909" t="str">
            <v>@@</v>
          </cell>
          <cell r="AC909" t="str">
            <v>@@</v>
          </cell>
          <cell r="AD909" t="str">
            <v>@@</v>
          </cell>
          <cell r="AL909" t="str">
            <v>@@</v>
          </cell>
        </row>
        <row r="910">
          <cell r="J910">
            <v>108700</v>
          </cell>
          <cell r="L910" t="str">
            <v>@@</v>
          </cell>
          <cell r="M910" t="str">
            <v>@@</v>
          </cell>
          <cell r="N910" t="str">
            <v>@@</v>
          </cell>
          <cell r="O910" t="str">
            <v>@@</v>
          </cell>
          <cell r="P910" t="str">
            <v>@@</v>
          </cell>
          <cell r="Q910" t="str">
            <v>@@</v>
          </cell>
          <cell r="R910" t="str">
            <v>@@</v>
          </cell>
          <cell r="S910" t="str">
            <v>@@</v>
          </cell>
          <cell r="AB910" t="str">
            <v>@@</v>
          </cell>
          <cell r="AC910" t="str">
            <v>@@</v>
          </cell>
          <cell r="AD910" t="str">
            <v>@@</v>
          </cell>
          <cell r="AL910" t="str">
            <v>@@</v>
          </cell>
        </row>
        <row r="911">
          <cell r="J911">
            <v>108800</v>
          </cell>
          <cell r="L911" t="str">
            <v>@@</v>
          </cell>
          <cell r="M911" t="str">
            <v>@@</v>
          </cell>
          <cell r="N911" t="str">
            <v>@@</v>
          </cell>
          <cell r="O911" t="str">
            <v>@@</v>
          </cell>
          <cell r="P911" t="str">
            <v>@@</v>
          </cell>
          <cell r="Q911" t="str">
            <v>@@</v>
          </cell>
          <cell r="R911" t="str">
            <v>@@</v>
          </cell>
          <cell r="S911" t="str">
            <v>@@</v>
          </cell>
          <cell r="AB911" t="str">
            <v>@@</v>
          </cell>
          <cell r="AC911" t="str">
            <v>@@</v>
          </cell>
          <cell r="AD911" t="str">
            <v>@@</v>
          </cell>
          <cell r="AL911" t="str">
            <v>@@</v>
          </cell>
        </row>
        <row r="912">
          <cell r="J912">
            <v>108900</v>
          </cell>
          <cell r="L912" t="str">
            <v>@@</v>
          </cell>
          <cell r="M912" t="str">
            <v>@@</v>
          </cell>
          <cell r="N912" t="str">
            <v>@@</v>
          </cell>
          <cell r="O912" t="str">
            <v>@@</v>
          </cell>
          <cell r="P912" t="str">
            <v>@@</v>
          </cell>
          <cell r="Q912" t="str">
            <v>@@</v>
          </cell>
          <cell r="R912" t="str">
            <v>@@</v>
          </cell>
          <cell r="S912" t="str">
            <v>@@</v>
          </cell>
          <cell r="AB912" t="str">
            <v>@@</v>
          </cell>
          <cell r="AC912" t="str">
            <v>@@</v>
          </cell>
          <cell r="AD912" t="str">
            <v>@@</v>
          </cell>
          <cell r="AL912" t="str">
            <v>@@</v>
          </cell>
        </row>
        <row r="913">
          <cell r="J913">
            <v>109000</v>
          </cell>
          <cell r="L913" t="str">
            <v>@@</v>
          </cell>
          <cell r="M913" t="str">
            <v>@@</v>
          </cell>
          <cell r="N913" t="str">
            <v>@@</v>
          </cell>
          <cell r="O913" t="str">
            <v>@@</v>
          </cell>
          <cell r="P913" t="str">
            <v>@@</v>
          </cell>
          <cell r="Q913" t="str">
            <v>@@</v>
          </cell>
          <cell r="R913" t="str">
            <v>@@</v>
          </cell>
          <cell r="S913" t="str">
            <v>@@</v>
          </cell>
          <cell r="AB913" t="str">
            <v>@@</v>
          </cell>
          <cell r="AC913" t="str">
            <v>@@</v>
          </cell>
          <cell r="AD913" t="str">
            <v>@@</v>
          </cell>
          <cell r="AL913" t="str">
            <v>@@</v>
          </cell>
        </row>
        <row r="914">
          <cell r="J914">
            <v>109100</v>
          </cell>
          <cell r="L914" t="str">
            <v>@@</v>
          </cell>
          <cell r="M914" t="str">
            <v>@@</v>
          </cell>
          <cell r="N914" t="str">
            <v>@@</v>
          </cell>
          <cell r="O914" t="str">
            <v>@@</v>
          </cell>
          <cell r="P914" t="str">
            <v>@@</v>
          </cell>
          <cell r="Q914" t="str">
            <v>@@</v>
          </cell>
          <cell r="R914" t="str">
            <v>@@</v>
          </cell>
          <cell r="S914" t="str">
            <v>@@</v>
          </cell>
          <cell r="AB914" t="str">
            <v>@@</v>
          </cell>
          <cell r="AC914" t="str">
            <v>@@</v>
          </cell>
          <cell r="AD914" t="str">
            <v>@@</v>
          </cell>
          <cell r="AL914" t="str">
            <v>@@</v>
          </cell>
        </row>
        <row r="915">
          <cell r="J915">
            <v>109200</v>
          </cell>
          <cell r="L915" t="str">
            <v>@@</v>
          </cell>
          <cell r="M915" t="str">
            <v>@@</v>
          </cell>
          <cell r="N915" t="str">
            <v>@@</v>
          </cell>
          <cell r="O915" t="str">
            <v>@@</v>
          </cell>
          <cell r="P915" t="str">
            <v>@@</v>
          </cell>
          <cell r="Q915" t="str">
            <v>@@</v>
          </cell>
          <cell r="R915" t="str">
            <v>@@</v>
          </cell>
          <cell r="S915" t="str">
            <v>@@</v>
          </cell>
          <cell r="AB915" t="str">
            <v>@@</v>
          </cell>
          <cell r="AC915" t="str">
            <v>@@</v>
          </cell>
          <cell r="AD915" t="str">
            <v>@@</v>
          </cell>
          <cell r="AL915" t="str">
            <v>@@</v>
          </cell>
        </row>
        <row r="916">
          <cell r="J916">
            <v>109300</v>
          </cell>
          <cell r="L916" t="str">
            <v>@@</v>
          </cell>
          <cell r="M916" t="str">
            <v>@@</v>
          </cell>
          <cell r="N916" t="str">
            <v>@@</v>
          </cell>
          <cell r="O916" t="str">
            <v>@@</v>
          </cell>
          <cell r="P916" t="str">
            <v>@@</v>
          </cell>
          <cell r="Q916" t="str">
            <v>@@</v>
          </cell>
          <cell r="R916" t="str">
            <v>@@</v>
          </cell>
          <cell r="S916" t="str">
            <v>@@</v>
          </cell>
          <cell r="AB916" t="str">
            <v>@@</v>
          </cell>
          <cell r="AC916" t="str">
            <v>@@</v>
          </cell>
          <cell r="AD916" t="str">
            <v>@@</v>
          </cell>
          <cell r="AL916" t="str">
            <v>@@</v>
          </cell>
        </row>
        <row r="917">
          <cell r="J917">
            <v>109400</v>
          </cell>
          <cell r="L917" t="str">
            <v>@@</v>
          </cell>
          <cell r="M917" t="str">
            <v>@@</v>
          </cell>
          <cell r="N917" t="str">
            <v>@@</v>
          </cell>
          <cell r="O917" t="str">
            <v>@@</v>
          </cell>
          <cell r="P917" t="str">
            <v>@@</v>
          </cell>
          <cell r="Q917" t="str">
            <v>@@</v>
          </cell>
          <cell r="R917" t="str">
            <v>@@</v>
          </cell>
          <cell r="S917" t="str">
            <v>@@</v>
          </cell>
          <cell r="AB917" t="str">
            <v>@@</v>
          </cell>
          <cell r="AC917" t="str">
            <v>@@</v>
          </cell>
          <cell r="AD917" t="str">
            <v>@@</v>
          </cell>
          <cell r="AL917" t="str">
            <v>@@</v>
          </cell>
        </row>
        <row r="918">
          <cell r="J918">
            <v>109500</v>
          </cell>
          <cell r="L918" t="str">
            <v>@@</v>
          </cell>
          <cell r="M918" t="str">
            <v>@@</v>
          </cell>
          <cell r="N918" t="str">
            <v>@@</v>
          </cell>
          <cell r="O918" t="str">
            <v>@@</v>
          </cell>
          <cell r="P918" t="str">
            <v>@@</v>
          </cell>
          <cell r="Q918" t="str">
            <v>@@</v>
          </cell>
          <cell r="R918" t="str">
            <v>@@</v>
          </cell>
          <cell r="S918" t="str">
            <v>@@</v>
          </cell>
          <cell r="AB918" t="str">
            <v>@@</v>
          </cell>
          <cell r="AC918" t="str">
            <v>@@</v>
          </cell>
          <cell r="AD918" t="str">
            <v>@@</v>
          </cell>
          <cell r="AL918" t="str">
            <v>@@</v>
          </cell>
        </row>
        <row r="919">
          <cell r="J919">
            <v>109600</v>
          </cell>
          <cell r="L919" t="str">
            <v>@@</v>
          </cell>
          <cell r="M919" t="str">
            <v>@@</v>
          </cell>
          <cell r="N919" t="str">
            <v>@@</v>
          </cell>
          <cell r="O919" t="str">
            <v>@@</v>
          </cell>
          <cell r="P919" t="str">
            <v>@@</v>
          </cell>
          <cell r="Q919" t="str">
            <v>@@</v>
          </cell>
          <cell r="R919" t="str">
            <v>@@</v>
          </cell>
          <cell r="S919" t="str">
            <v>@@</v>
          </cell>
          <cell r="AB919" t="str">
            <v>@@</v>
          </cell>
          <cell r="AC919" t="str">
            <v>@@</v>
          </cell>
          <cell r="AD919" t="str">
            <v>@@</v>
          </cell>
          <cell r="AL919" t="str">
            <v>@@</v>
          </cell>
        </row>
        <row r="920">
          <cell r="J920">
            <v>109700</v>
          </cell>
          <cell r="L920" t="str">
            <v>@@</v>
          </cell>
          <cell r="M920" t="str">
            <v>@@</v>
          </cell>
          <cell r="N920" t="str">
            <v>@@</v>
          </cell>
          <cell r="O920" t="str">
            <v>@@</v>
          </cell>
          <cell r="P920" t="str">
            <v>@@</v>
          </cell>
          <cell r="Q920" t="str">
            <v>@@</v>
          </cell>
          <cell r="R920" t="str">
            <v>@@</v>
          </cell>
          <cell r="S920" t="str">
            <v>@@</v>
          </cell>
          <cell r="AB920" t="str">
            <v>@@</v>
          </cell>
          <cell r="AC920" t="str">
            <v>@@</v>
          </cell>
          <cell r="AD920" t="str">
            <v>@@</v>
          </cell>
          <cell r="AL920" t="str">
            <v>@@</v>
          </cell>
        </row>
        <row r="921">
          <cell r="J921">
            <v>109800</v>
          </cell>
          <cell r="L921" t="str">
            <v>@@</v>
          </cell>
          <cell r="M921" t="str">
            <v>@@</v>
          </cell>
          <cell r="N921" t="str">
            <v>@@</v>
          </cell>
          <cell r="O921" t="str">
            <v>@@</v>
          </cell>
          <cell r="P921" t="str">
            <v>@@</v>
          </cell>
          <cell r="Q921" t="str">
            <v>@@</v>
          </cell>
          <cell r="R921" t="str">
            <v>@@</v>
          </cell>
          <cell r="S921" t="str">
            <v>@@</v>
          </cell>
          <cell r="AB921" t="str">
            <v>@@</v>
          </cell>
          <cell r="AC921" t="str">
            <v>@@</v>
          </cell>
          <cell r="AD921" t="str">
            <v>@@</v>
          </cell>
          <cell r="AL921" t="str">
            <v>@@</v>
          </cell>
        </row>
        <row r="922">
          <cell r="J922">
            <v>109900</v>
          </cell>
          <cell r="L922" t="str">
            <v>@@</v>
          </cell>
          <cell r="M922" t="str">
            <v>@@</v>
          </cell>
          <cell r="N922" t="str">
            <v>@@</v>
          </cell>
          <cell r="O922" t="str">
            <v>@@</v>
          </cell>
          <cell r="P922" t="str">
            <v>@@</v>
          </cell>
          <cell r="Q922" t="str">
            <v>@@</v>
          </cell>
          <cell r="R922" t="str">
            <v>@@</v>
          </cell>
          <cell r="S922" t="str">
            <v>@@</v>
          </cell>
          <cell r="AB922" t="str">
            <v>@@</v>
          </cell>
          <cell r="AC922">
            <v>-21</v>
          </cell>
          <cell r="AD922">
            <v>6.8</v>
          </cell>
          <cell r="AF922">
            <v>-21</v>
          </cell>
          <cell r="AG922">
            <v>6.8</v>
          </cell>
          <cell r="AL922" t="str">
            <v>@@</v>
          </cell>
        </row>
        <row r="923">
          <cell r="J923">
            <v>110000</v>
          </cell>
          <cell r="L923">
            <v>110000</v>
          </cell>
          <cell r="M923">
            <v>-21</v>
          </cell>
          <cell r="N923">
            <v>6.8</v>
          </cell>
          <cell r="O923">
            <v>-35.25</v>
          </cell>
          <cell r="P923">
            <v>4</v>
          </cell>
          <cell r="Q923">
            <v>-9.8000000000000007</v>
          </cell>
          <cell r="R923">
            <v>5.8</v>
          </cell>
          <cell r="S923">
            <v>1</v>
          </cell>
          <cell r="T923">
            <v>110000</v>
          </cell>
          <cell r="U923">
            <v>-21</v>
          </cell>
          <cell r="V923">
            <v>6.8</v>
          </cell>
          <cell r="W923">
            <v>-35.25</v>
          </cell>
          <cell r="X923">
            <v>4</v>
          </cell>
          <cell r="Y923">
            <v>-9.8000000000000007</v>
          </cell>
          <cell r="Z923">
            <v>5.8</v>
          </cell>
          <cell r="AA923">
            <v>1</v>
          </cell>
          <cell r="AB923">
            <v>110000</v>
          </cell>
          <cell r="AC923">
            <v>-35.25</v>
          </cell>
          <cell r="AD923">
            <v>4</v>
          </cell>
          <cell r="AE923">
            <v>110000</v>
          </cell>
          <cell r="AF923">
            <v>-35.25</v>
          </cell>
          <cell r="AG923">
            <v>4</v>
          </cell>
          <cell r="AL923">
            <v>16.600000000000001</v>
          </cell>
          <cell r="AM923">
            <v>16.600000000000001</v>
          </cell>
        </row>
        <row r="924">
          <cell r="J924">
            <v>110100</v>
          </cell>
          <cell r="L924" t="str">
            <v>@@</v>
          </cell>
          <cell r="M924" t="str">
            <v>@@</v>
          </cell>
          <cell r="N924" t="str">
            <v>@@</v>
          </cell>
          <cell r="O924" t="str">
            <v>@@</v>
          </cell>
          <cell r="P924" t="str">
            <v>@@</v>
          </cell>
          <cell r="Q924" t="str">
            <v>@@</v>
          </cell>
          <cell r="R924" t="str">
            <v>@@</v>
          </cell>
          <cell r="S924" t="str">
            <v>@@</v>
          </cell>
          <cell r="AB924" t="str">
            <v>@@</v>
          </cell>
          <cell r="AC924">
            <v>-9.8000000000000007</v>
          </cell>
          <cell r="AD924">
            <v>5.8</v>
          </cell>
          <cell r="AF924">
            <v>-9.8000000000000007</v>
          </cell>
          <cell r="AG924">
            <v>5.8</v>
          </cell>
          <cell r="AL924" t="str">
            <v>@@</v>
          </cell>
        </row>
        <row r="925">
          <cell r="J925">
            <v>110200</v>
          </cell>
          <cell r="L925" t="str">
            <v>@@</v>
          </cell>
          <cell r="M925" t="str">
            <v>@@</v>
          </cell>
          <cell r="N925" t="str">
            <v>@@</v>
          </cell>
          <cell r="O925" t="str">
            <v>@@</v>
          </cell>
          <cell r="P925" t="str">
            <v>@@</v>
          </cell>
          <cell r="Q925" t="str">
            <v>@@</v>
          </cell>
          <cell r="R925" t="str">
            <v>@@</v>
          </cell>
          <cell r="S925" t="str">
            <v>@@</v>
          </cell>
          <cell r="AB925" t="str">
            <v>@@</v>
          </cell>
          <cell r="AC925" t="str">
            <v>@@</v>
          </cell>
          <cell r="AD925" t="str">
            <v>@@</v>
          </cell>
          <cell r="AL925" t="str">
            <v>@@</v>
          </cell>
        </row>
        <row r="926">
          <cell r="J926">
            <v>110300</v>
          </cell>
          <cell r="L926" t="str">
            <v>@@</v>
          </cell>
          <cell r="M926" t="str">
            <v>@@</v>
          </cell>
          <cell r="N926" t="str">
            <v>@@</v>
          </cell>
          <cell r="O926" t="str">
            <v>@@</v>
          </cell>
          <cell r="P926" t="str">
            <v>@@</v>
          </cell>
          <cell r="Q926" t="str">
            <v>@@</v>
          </cell>
          <cell r="R926" t="str">
            <v>@@</v>
          </cell>
          <cell r="S926" t="str">
            <v>@@</v>
          </cell>
          <cell r="AB926" t="str">
            <v>@@</v>
          </cell>
          <cell r="AC926" t="str">
            <v>@@</v>
          </cell>
          <cell r="AD926" t="str">
            <v>@@</v>
          </cell>
          <cell r="AL926" t="str">
            <v>@@</v>
          </cell>
        </row>
        <row r="927">
          <cell r="J927">
            <v>110400</v>
          </cell>
          <cell r="L927" t="str">
            <v>@@</v>
          </cell>
          <cell r="M927" t="str">
            <v>@@</v>
          </cell>
          <cell r="N927" t="str">
            <v>@@</v>
          </cell>
          <cell r="O927" t="str">
            <v>@@</v>
          </cell>
          <cell r="P927" t="str">
            <v>@@</v>
          </cell>
          <cell r="Q927" t="str">
            <v>@@</v>
          </cell>
          <cell r="R927" t="str">
            <v>@@</v>
          </cell>
          <cell r="S927" t="str">
            <v>@@</v>
          </cell>
          <cell r="AB927" t="str">
            <v>@@</v>
          </cell>
          <cell r="AC927" t="str">
            <v>@@</v>
          </cell>
          <cell r="AD927" t="str">
            <v>@@</v>
          </cell>
          <cell r="AL927" t="str">
            <v>@@</v>
          </cell>
        </row>
        <row r="928">
          <cell r="J928">
            <v>110500</v>
          </cell>
          <cell r="L928" t="str">
            <v>@@</v>
          </cell>
          <cell r="M928" t="str">
            <v>@@</v>
          </cell>
          <cell r="N928" t="str">
            <v>@@</v>
          </cell>
          <cell r="O928" t="str">
            <v>@@</v>
          </cell>
          <cell r="P928" t="str">
            <v>@@</v>
          </cell>
          <cell r="Q928" t="str">
            <v>@@</v>
          </cell>
          <cell r="R928" t="str">
            <v>@@</v>
          </cell>
          <cell r="S928" t="str">
            <v>@@</v>
          </cell>
          <cell r="AB928" t="str">
            <v>@@</v>
          </cell>
          <cell r="AC928" t="str">
            <v>@@</v>
          </cell>
          <cell r="AD928" t="str">
            <v>@@</v>
          </cell>
          <cell r="AL928" t="str">
            <v>@@</v>
          </cell>
        </row>
        <row r="929">
          <cell r="J929">
            <v>110600</v>
          </cell>
          <cell r="L929" t="str">
            <v>@@</v>
          </cell>
          <cell r="M929" t="str">
            <v>@@</v>
          </cell>
          <cell r="N929" t="str">
            <v>@@</v>
          </cell>
          <cell r="O929" t="str">
            <v>@@</v>
          </cell>
          <cell r="P929" t="str">
            <v>@@</v>
          </cell>
          <cell r="Q929" t="str">
            <v>@@</v>
          </cell>
          <cell r="R929" t="str">
            <v>@@</v>
          </cell>
          <cell r="S929" t="str">
            <v>@@</v>
          </cell>
          <cell r="AB929" t="str">
            <v>@@</v>
          </cell>
          <cell r="AC929" t="str">
            <v>@@</v>
          </cell>
          <cell r="AD929" t="str">
            <v>@@</v>
          </cell>
          <cell r="AL929" t="str">
            <v>@@</v>
          </cell>
        </row>
        <row r="930">
          <cell r="J930">
            <v>110700</v>
          </cell>
          <cell r="L930" t="str">
            <v>@@</v>
          </cell>
          <cell r="M930" t="str">
            <v>@@</v>
          </cell>
          <cell r="N930" t="str">
            <v>@@</v>
          </cell>
          <cell r="O930" t="str">
            <v>@@</v>
          </cell>
          <cell r="P930" t="str">
            <v>@@</v>
          </cell>
          <cell r="Q930" t="str">
            <v>@@</v>
          </cell>
          <cell r="R930" t="str">
            <v>@@</v>
          </cell>
          <cell r="S930" t="str">
            <v>@@</v>
          </cell>
          <cell r="AB930" t="str">
            <v>@@</v>
          </cell>
          <cell r="AC930" t="str">
            <v>@@</v>
          </cell>
          <cell r="AD930" t="str">
            <v>@@</v>
          </cell>
          <cell r="AL930" t="str">
            <v>@@</v>
          </cell>
        </row>
        <row r="931">
          <cell r="J931">
            <v>110800</v>
          </cell>
          <cell r="L931" t="str">
            <v>@@</v>
          </cell>
          <cell r="M931" t="str">
            <v>@@</v>
          </cell>
          <cell r="N931" t="str">
            <v>@@</v>
          </cell>
          <cell r="O931" t="str">
            <v>@@</v>
          </cell>
          <cell r="P931" t="str">
            <v>@@</v>
          </cell>
          <cell r="Q931" t="str">
            <v>@@</v>
          </cell>
          <cell r="R931" t="str">
            <v>@@</v>
          </cell>
          <cell r="S931" t="str">
            <v>@@</v>
          </cell>
          <cell r="AB931" t="str">
            <v>@@</v>
          </cell>
          <cell r="AC931" t="str">
            <v>@@</v>
          </cell>
          <cell r="AD931" t="str">
            <v>@@</v>
          </cell>
          <cell r="AL931" t="str">
            <v>@@</v>
          </cell>
        </row>
        <row r="932">
          <cell r="J932">
            <v>110900</v>
          </cell>
          <cell r="L932" t="str">
            <v>@@</v>
          </cell>
          <cell r="M932" t="str">
            <v>@@</v>
          </cell>
          <cell r="N932" t="str">
            <v>@@</v>
          </cell>
          <cell r="O932" t="str">
            <v>@@</v>
          </cell>
          <cell r="P932" t="str">
            <v>@@</v>
          </cell>
          <cell r="Q932" t="str">
            <v>@@</v>
          </cell>
          <cell r="R932" t="str">
            <v>@@</v>
          </cell>
          <cell r="S932" t="str">
            <v>@@</v>
          </cell>
          <cell r="AB932" t="str">
            <v>@@</v>
          </cell>
          <cell r="AC932">
            <v>-36.4</v>
          </cell>
          <cell r="AD932">
            <v>6.3</v>
          </cell>
          <cell r="AF932">
            <v>-36.4</v>
          </cell>
          <cell r="AG932">
            <v>6.3</v>
          </cell>
          <cell r="AL932" t="str">
            <v>@@</v>
          </cell>
        </row>
        <row r="933">
          <cell r="J933">
            <v>111000</v>
          </cell>
          <cell r="L933">
            <v>111000</v>
          </cell>
          <cell r="M933">
            <v>-36.4</v>
          </cell>
          <cell r="N933">
            <v>6.3</v>
          </cell>
          <cell r="O933">
            <v>-28.5</v>
          </cell>
          <cell r="P933">
            <v>4.5</v>
          </cell>
          <cell r="Q933">
            <v>-19.555555555555557</v>
          </cell>
          <cell r="R933">
            <v>4.9000000000000004</v>
          </cell>
          <cell r="S933">
            <v>1</v>
          </cell>
          <cell r="T933">
            <v>111000</v>
          </cell>
          <cell r="U933">
            <v>-36.4</v>
          </cell>
          <cell r="V933">
            <v>6.3</v>
          </cell>
          <cell r="W933">
            <v>-28.5</v>
          </cell>
          <cell r="X933">
            <v>4.5</v>
          </cell>
          <cell r="Y933">
            <v>-19.555555555555557</v>
          </cell>
          <cell r="Z933">
            <v>4.9000000000000004</v>
          </cell>
          <cell r="AA933">
            <v>1</v>
          </cell>
          <cell r="AB933">
            <v>111000</v>
          </cell>
          <cell r="AC933">
            <v>-28.5</v>
          </cell>
          <cell r="AD933">
            <v>4.5</v>
          </cell>
          <cell r="AE933">
            <v>111000</v>
          </cell>
          <cell r="AF933">
            <v>-28.5</v>
          </cell>
          <cell r="AG933">
            <v>4.5</v>
          </cell>
          <cell r="AL933">
            <v>15.700000000000001</v>
          </cell>
          <cell r="AM933">
            <v>15.7</v>
          </cell>
        </row>
        <row r="934">
          <cell r="J934">
            <v>111100</v>
          </cell>
          <cell r="L934" t="str">
            <v>@@</v>
          </cell>
          <cell r="M934" t="str">
            <v>@@</v>
          </cell>
          <cell r="N934" t="str">
            <v>@@</v>
          </cell>
          <cell r="O934" t="str">
            <v>@@</v>
          </cell>
          <cell r="P934" t="str">
            <v>@@</v>
          </cell>
          <cell r="Q934" t="str">
            <v>@@</v>
          </cell>
          <cell r="R934" t="str">
            <v>@@</v>
          </cell>
          <cell r="S934" t="str">
            <v>@@</v>
          </cell>
          <cell r="AB934" t="str">
            <v>@@</v>
          </cell>
          <cell r="AC934">
            <v>-19.555555555555557</v>
          </cell>
          <cell r="AD934">
            <v>4.9000000000000004</v>
          </cell>
          <cell r="AF934">
            <v>-19.555555555555557</v>
          </cell>
          <cell r="AG934">
            <v>4.9000000000000004</v>
          </cell>
          <cell r="AL934" t="str">
            <v>@@</v>
          </cell>
        </row>
        <row r="935">
          <cell r="J935">
            <v>111200</v>
          </cell>
          <cell r="L935" t="str">
            <v>@@</v>
          </cell>
          <cell r="M935" t="str">
            <v>@@</v>
          </cell>
          <cell r="N935" t="str">
            <v>@@</v>
          </cell>
          <cell r="O935" t="str">
            <v>@@</v>
          </cell>
          <cell r="P935" t="str">
            <v>@@</v>
          </cell>
          <cell r="Q935" t="str">
            <v>@@</v>
          </cell>
          <cell r="R935" t="str">
            <v>@@</v>
          </cell>
          <cell r="S935" t="str">
            <v>@@</v>
          </cell>
          <cell r="AB935" t="str">
            <v>@@</v>
          </cell>
          <cell r="AC935" t="str">
            <v>@@</v>
          </cell>
          <cell r="AD935" t="str">
            <v>@@</v>
          </cell>
          <cell r="AL935" t="str">
            <v>@@</v>
          </cell>
        </row>
        <row r="936">
          <cell r="J936">
            <v>111300</v>
          </cell>
          <cell r="L936" t="str">
            <v>@@</v>
          </cell>
          <cell r="M936" t="str">
            <v>@@</v>
          </cell>
          <cell r="N936" t="str">
            <v>@@</v>
          </cell>
          <cell r="O936" t="str">
            <v>@@</v>
          </cell>
          <cell r="P936" t="str">
            <v>@@</v>
          </cell>
          <cell r="Q936" t="str">
            <v>@@</v>
          </cell>
          <cell r="R936" t="str">
            <v>@@</v>
          </cell>
          <cell r="S936" t="str">
            <v>@@</v>
          </cell>
          <cell r="AB936" t="str">
            <v>@@</v>
          </cell>
          <cell r="AC936" t="str">
            <v>@@</v>
          </cell>
          <cell r="AD936" t="str">
            <v>@@</v>
          </cell>
          <cell r="AL936" t="str">
            <v>@@</v>
          </cell>
        </row>
        <row r="937">
          <cell r="J937">
            <v>111400</v>
          </cell>
          <cell r="L937" t="str">
            <v>@@</v>
          </cell>
          <cell r="M937" t="str">
            <v>@@</v>
          </cell>
          <cell r="N937" t="str">
            <v>@@</v>
          </cell>
          <cell r="O937" t="str">
            <v>@@</v>
          </cell>
          <cell r="P937" t="str">
            <v>@@</v>
          </cell>
          <cell r="Q937" t="str">
            <v>@@</v>
          </cell>
          <cell r="R937" t="str">
            <v>@@</v>
          </cell>
          <cell r="S937" t="str">
            <v>@@</v>
          </cell>
          <cell r="AB937" t="str">
            <v>@@</v>
          </cell>
          <cell r="AC937" t="str">
            <v>@@</v>
          </cell>
          <cell r="AD937" t="str">
            <v>@@</v>
          </cell>
          <cell r="AL937" t="str">
            <v>@@</v>
          </cell>
        </row>
        <row r="938">
          <cell r="J938">
            <v>111500</v>
          </cell>
          <cell r="L938" t="str">
            <v>@@</v>
          </cell>
          <cell r="M938" t="str">
            <v>@@</v>
          </cell>
          <cell r="N938" t="str">
            <v>@@</v>
          </cell>
          <cell r="O938" t="str">
            <v>@@</v>
          </cell>
          <cell r="P938" t="str">
            <v>@@</v>
          </cell>
          <cell r="Q938" t="str">
            <v>@@</v>
          </cell>
          <cell r="R938" t="str">
            <v>@@</v>
          </cell>
          <cell r="S938" t="str">
            <v>@@</v>
          </cell>
          <cell r="AB938" t="str">
            <v>@@</v>
          </cell>
          <cell r="AC938" t="str">
            <v>@@</v>
          </cell>
          <cell r="AD938" t="str">
            <v>@@</v>
          </cell>
          <cell r="AL938" t="str">
            <v>@@</v>
          </cell>
        </row>
        <row r="939">
          <cell r="J939">
            <v>111600</v>
          </cell>
          <cell r="L939" t="str">
            <v>@@</v>
          </cell>
          <cell r="M939" t="str">
            <v>@@</v>
          </cell>
          <cell r="N939" t="str">
            <v>@@</v>
          </cell>
          <cell r="O939" t="str">
            <v>@@</v>
          </cell>
          <cell r="P939" t="str">
            <v>@@</v>
          </cell>
          <cell r="Q939" t="str">
            <v>@@</v>
          </cell>
          <cell r="R939" t="str">
            <v>@@</v>
          </cell>
          <cell r="S939" t="str">
            <v>@@</v>
          </cell>
          <cell r="AB939" t="str">
            <v>@@</v>
          </cell>
          <cell r="AC939" t="str">
            <v>@@</v>
          </cell>
          <cell r="AD939" t="str">
            <v>@@</v>
          </cell>
          <cell r="AL939" t="str">
            <v>@@</v>
          </cell>
        </row>
        <row r="940">
          <cell r="J940">
            <v>111700</v>
          </cell>
          <cell r="L940" t="str">
            <v>@@</v>
          </cell>
          <cell r="M940" t="str">
            <v>@@</v>
          </cell>
          <cell r="N940" t="str">
            <v>@@</v>
          </cell>
          <cell r="O940" t="str">
            <v>@@</v>
          </cell>
          <cell r="P940" t="str">
            <v>@@</v>
          </cell>
          <cell r="Q940" t="str">
            <v>@@</v>
          </cell>
          <cell r="R940" t="str">
            <v>@@</v>
          </cell>
          <cell r="S940" t="str">
            <v>@@</v>
          </cell>
          <cell r="AB940" t="str">
            <v>@@</v>
          </cell>
          <cell r="AC940" t="str">
            <v>@@</v>
          </cell>
          <cell r="AD940" t="str">
            <v>@@</v>
          </cell>
          <cell r="AL940" t="str">
            <v>@@</v>
          </cell>
        </row>
        <row r="941">
          <cell r="J941">
            <v>111800</v>
          </cell>
          <cell r="L941" t="str">
            <v>@@</v>
          </cell>
          <cell r="M941" t="str">
            <v>@@</v>
          </cell>
          <cell r="N941" t="str">
            <v>@@</v>
          </cell>
          <cell r="O941" t="str">
            <v>@@</v>
          </cell>
          <cell r="P941" t="str">
            <v>@@</v>
          </cell>
          <cell r="Q941" t="str">
            <v>@@</v>
          </cell>
          <cell r="R941" t="str">
            <v>@@</v>
          </cell>
          <cell r="S941" t="str">
            <v>@@</v>
          </cell>
          <cell r="AB941" t="str">
            <v>@@</v>
          </cell>
          <cell r="AC941" t="str">
            <v>@@</v>
          </cell>
          <cell r="AD941" t="str">
            <v>@@</v>
          </cell>
          <cell r="AL941" t="str">
            <v>@@</v>
          </cell>
        </row>
        <row r="942">
          <cell r="J942">
            <v>111900</v>
          </cell>
          <cell r="L942" t="str">
            <v>@@</v>
          </cell>
          <cell r="M942" t="str">
            <v>@@</v>
          </cell>
          <cell r="N942" t="str">
            <v>@@</v>
          </cell>
          <cell r="O942" t="str">
            <v>@@</v>
          </cell>
          <cell r="P942" t="str">
            <v>@@</v>
          </cell>
          <cell r="Q942" t="str">
            <v>@@</v>
          </cell>
          <cell r="R942" t="str">
            <v>@@</v>
          </cell>
          <cell r="S942" t="str">
            <v>@@</v>
          </cell>
          <cell r="AB942" t="str">
            <v>@@</v>
          </cell>
          <cell r="AC942" t="str">
            <v>@@</v>
          </cell>
          <cell r="AD942" t="str">
            <v>@@</v>
          </cell>
          <cell r="AL942" t="str">
            <v>@@</v>
          </cell>
        </row>
        <row r="943">
          <cell r="J943">
            <v>112000</v>
          </cell>
          <cell r="L943" t="str">
            <v>@@</v>
          </cell>
          <cell r="M943" t="str">
            <v>@@</v>
          </cell>
          <cell r="N943" t="str">
            <v>@@</v>
          </cell>
          <cell r="O943" t="str">
            <v>@@</v>
          </cell>
          <cell r="P943" t="str">
            <v>@@</v>
          </cell>
          <cell r="Q943" t="str">
            <v>@@</v>
          </cell>
          <cell r="R943" t="str">
            <v>@@</v>
          </cell>
          <cell r="S943" t="str">
            <v>@@</v>
          </cell>
          <cell r="AB943" t="str">
            <v>@@</v>
          </cell>
          <cell r="AC943" t="str">
            <v>@@</v>
          </cell>
          <cell r="AD943" t="str">
            <v>@@</v>
          </cell>
          <cell r="AL943" t="str">
            <v>@@</v>
          </cell>
        </row>
        <row r="944">
          <cell r="J944">
            <v>112100</v>
          </cell>
          <cell r="L944" t="str">
            <v>@@</v>
          </cell>
          <cell r="M944" t="str">
            <v>@@</v>
          </cell>
          <cell r="N944" t="str">
            <v>@@</v>
          </cell>
          <cell r="O944" t="str">
            <v>@@</v>
          </cell>
          <cell r="P944" t="str">
            <v>@@</v>
          </cell>
          <cell r="Q944" t="str">
            <v>@@</v>
          </cell>
          <cell r="R944" t="str">
            <v>@@</v>
          </cell>
          <cell r="S944" t="str">
            <v>@@</v>
          </cell>
          <cell r="AB944" t="str">
            <v>@@</v>
          </cell>
          <cell r="AC944" t="str">
            <v>@@</v>
          </cell>
          <cell r="AD944" t="str">
            <v>@@</v>
          </cell>
          <cell r="AL944" t="str">
            <v>@@</v>
          </cell>
        </row>
        <row r="945">
          <cell r="J945">
            <v>112200</v>
          </cell>
          <cell r="L945" t="str">
            <v>@@</v>
          </cell>
          <cell r="M945" t="str">
            <v>@@</v>
          </cell>
          <cell r="N945" t="str">
            <v>@@</v>
          </cell>
          <cell r="O945" t="str">
            <v>@@</v>
          </cell>
          <cell r="P945" t="str">
            <v>@@</v>
          </cell>
          <cell r="Q945" t="str">
            <v>@@</v>
          </cell>
          <cell r="R945" t="str">
            <v>@@</v>
          </cell>
          <cell r="S945" t="str">
            <v>@@</v>
          </cell>
          <cell r="AB945" t="str">
            <v>@@</v>
          </cell>
          <cell r="AC945" t="str">
            <v>@@</v>
          </cell>
          <cell r="AD945" t="str">
            <v>@@</v>
          </cell>
          <cell r="AL945" t="str">
            <v>@@</v>
          </cell>
        </row>
        <row r="946">
          <cell r="J946">
            <v>112300</v>
          </cell>
          <cell r="L946" t="str">
            <v>@@</v>
          </cell>
          <cell r="M946" t="str">
            <v>@@</v>
          </cell>
          <cell r="N946" t="str">
            <v>@@</v>
          </cell>
          <cell r="O946" t="str">
            <v>@@</v>
          </cell>
          <cell r="P946" t="str">
            <v>@@</v>
          </cell>
          <cell r="Q946" t="str">
            <v>@@</v>
          </cell>
          <cell r="R946" t="str">
            <v>@@</v>
          </cell>
          <cell r="S946" t="str">
            <v>@@</v>
          </cell>
          <cell r="AB946" t="str">
            <v>@@</v>
          </cell>
          <cell r="AC946" t="str">
            <v>@@</v>
          </cell>
          <cell r="AD946" t="str">
            <v>@@</v>
          </cell>
          <cell r="AL946" t="str">
            <v>@@</v>
          </cell>
        </row>
        <row r="947">
          <cell r="J947">
            <v>112400</v>
          </cell>
          <cell r="L947" t="str">
            <v>@@</v>
          </cell>
          <cell r="M947" t="str">
            <v>@@</v>
          </cell>
          <cell r="N947" t="str">
            <v>@@</v>
          </cell>
          <cell r="O947" t="str">
            <v>@@</v>
          </cell>
          <cell r="P947" t="str">
            <v>@@</v>
          </cell>
          <cell r="Q947" t="str">
            <v>@@</v>
          </cell>
          <cell r="R947" t="str">
            <v>@@</v>
          </cell>
          <cell r="S947" t="str">
            <v>@@</v>
          </cell>
          <cell r="AB947" t="str">
            <v>@@</v>
          </cell>
          <cell r="AC947" t="str">
            <v>@@</v>
          </cell>
          <cell r="AD947" t="str">
            <v>@@</v>
          </cell>
          <cell r="AL947" t="str">
            <v>@@</v>
          </cell>
        </row>
        <row r="948">
          <cell r="J948">
            <v>112500</v>
          </cell>
          <cell r="L948" t="str">
            <v>@@</v>
          </cell>
          <cell r="M948" t="str">
            <v>@@</v>
          </cell>
          <cell r="N948" t="str">
            <v>@@</v>
          </cell>
          <cell r="O948" t="str">
            <v>@@</v>
          </cell>
          <cell r="P948" t="str">
            <v>@@</v>
          </cell>
          <cell r="Q948" t="str">
            <v>@@</v>
          </cell>
          <cell r="R948" t="str">
            <v>@@</v>
          </cell>
          <cell r="S948" t="str">
            <v>@@</v>
          </cell>
          <cell r="AB948" t="str">
            <v>@@</v>
          </cell>
          <cell r="AC948" t="str">
            <v>@@</v>
          </cell>
          <cell r="AD948" t="str">
            <v>@@</v>
          </cell>
          <cell r="AL948" t="str">
            <v>@@</v>
          </cell>
        </row>
        <row r="949">
          <cell r="J949">
            <v>112600</v>
          </cell>
          <cell r="L949" t="str">
            <v>@@</v>
          </cell>
          <cell r="M949" t="str">
            <v>@@</v>
          </cell>
          <cell r="N949" t="str">
            <v>@@</v>
          </cell>
          <cell r="O949" t="str">
            <v>@@</v>
          </cell>
          <cell r="P949" t="str">
            <v>@@</v>
          </cell>
          <cell r="Q949" t="str">
            <v>@@</v>
          </cell>
          <cell r="R949" t="str">
            <v>@@</v>
          </cell>
          <cell r="S949" t="str">
            <v>@@</v>
          </cell>
          <cell r="AB949" t="str">
            <v>@@</v>
          </cell>
          <cell r="AC949" t="str">
            <v>@@</v>
          </cell>
          <cell r="AD949" t="str">
            <v>@@</v>
          </cell>
          <cell r="AL949" t="str">
            <v>@@</v>
          </cell>
        </row>
        <row r="950">
          <cell r="J950">
            <v>112700</v>
          </cell>
          <cell r="L950" t="str">
            <v>@@</v>
          </cell>
          <cell r="M950" t="str">
            <v>@@</v>
          </cell>
          <cell r="N950" t="str">
            <v>@@</v>
          </cell>
          <cell r="O950" t="str">
            <v>@@</v>
          </cell>
          <cell r="P950" t="str">
            <v>@@</v>
          </cell>
          <cell r="Q950" t="str">
            <v>@@</v>
          </cell>
          <cell r="R950" t="str">
            <v>@@</v>
          </cell>
          <cell r="S950" t="str">
            <v>@@</v>
          </cell>
          <cell r="AB950" t="str">
            <v>@@</v>
          </cell>
          <cell r="AC950" t="str">
            <v>@@</v>
          </cell>
          <cell r="AD950" t="str">
            <v>@@</v>
          </cell>
          <cell r="AL950" t="str">
            <v>@@</v>
          </cell>
        </row>
        <row r="951">
          <cell r="J951">
            <v>112800</v>
          </cell>
          <cell r="L951" t="str">
            <v>@@</v>
          </cell>
          <cell r="M951" t="str">
            <v>@@</v>
          </cell>
          <cell r="N951" t="str">
            <v>@@</v>
          </cell>
          <cell r="O951" t="str">
            <v>@@</v>
          </cell>
          <cell r="P951" t="str">
            <v>@@</v>
          </cell>
          <cell r="Q951" t="str">
            <v>@@</v>
          </cell>
          <cell r="R951" t="str">
            <v>@@</v>
          </cell>
          <cell r="S951" t="str">
            <v>@@</v>
          </cell>
          <cell r="AB951" t="str">
            <v>@@</v>
          </cell>
          <cell r="AC951" t="str">
            <v>@@</v>
          </cell>
          <cell r="AD951" t="str">
            <v>@@</v>
          </cell>
          <cell r="AL951" t="str">
            <v>@@</v>
          </cell>
        </row>
        <row r="952">
          <cell r="J952">
            <v>112900</v>
          </cell>
          <cell r="L952" t="str">
            <v>@@</v>
          </cell>
          <cell r="M952" t="str">
            <v>@@</v>
          </cell>
          <cell r="N952" t="str">
            <v>@@</v>
          </cell>
          <cell r="O952" t="str">
            <v>@@</v>
          </cell>
          <cell r="P952" t="str">
            <v>@@</v>
          </cell>
          <cell r="Q952" t="str">
            <v>@@</v>
          </cell>
          <cell r="R952" t="str">
            <v>@@</v>
          </cell>
          <cell r="S952" t="str">
            <v>@@</v>
          </cell>
          <cell r="AB952" t="str">
            <v>@@</v>
          </cell>
          <cell r="AC952">
            <v>-13.6</v>
          </cell>
          <cell r="AD952">
            <v>9.3000000000000007</v>
          </cell>
          <cell r="AF952">
            <v>-13.6</v>
          </cell>
          <cell r="AG952">
            <v>9.3000000000000007</v>
          </cell>
          <cell r="AL952" t="str">
            <v>@@</v>
          </cell>
        </row>
        <row r="953">
          <cell r="J953">
            <v>113000</v>
          </cell>
          <cell r="L953">
            <v>113000</v>
          </cell>
          <cell r="M953">
            <v>-13.6</v>
          </cell>
          <cell r="N953">
            <v>9.3000000000000007</v>
          </cell>
          <cell r="O953">
            <v>-25.333333333333329</v>
          </cell>
          <cell r="P953">
            <v>3.1</v>
          </cell>
          <cell r="Q953">
            <v>-13.4</v>
          </cell>
          <cell r="R953">
            <v>6.7</v>
          </cell>
          <cell r="S953">
            <v>1</v>
          </cell>
          <cell r="T953">
            <v>113000</v>
          </cell>
          <cell r="U953">
            <v>-13.6</v>
          </cell>
          <cell r="V953">
            <v>9.3000000000000007</v>
          </cell>
          <cell r="W953">
            <v>-25.333333333333329</v>
          </cell>
          <cell r="X953">
            <v>3.1</v>
          </cell>
          <cell r="Y953">
            <v>-13.4</v>
          </cell>
          <cell r="Z953">
            <v>6.7</v>
          </cell>
          <cell r="AA953">
            <v>1</v>
          </cell>
          <cell r="AB953">
            <v>113000</v>
          </cell>
          <cell r="AC953">
            <v>-25.333333333333329</v>
          </cell>
          <cell r="AD953">
            <v>3.1</v>
          </cell>
          <cell r="AE953">
            <v>113000</v>
          </cell>
          <cell r="AF953">
            <v>-25.333333333333329</v>
          </cell>
          <cell r="AG953">
            <v>3.1</v>
          </cell>
          <cell r="AL953">
            <v>19.100000000000001</v>
          </cell>
          <cell r="AM953">
            <v>19.100000000000001</v>
          </cell>
        </row>
        <row r="954">
          <cell r="J954">
            <v>113100</v>
          </cell>
          <cell r="L954" t="str">
            <v>@@</v>
          </cell>
          <cell r="M954" t="str">
            <v>@@</v>
          </cell>
          <cell r="N954" t="str">
            <v>@@</v>
          </cell>
          <cell r="O954" t="str">
            <v>@@</v>
          </cell>
          <cell r="P954" t="str">
            <v>@@</v>
          </cell>
          <cell r="Q954" t="str">
            <v>@@</v>
          </cell>
          <cell r="R954" t="str">
            <v>@@</v>
          </cell>
          <cell r="S954" t="str">
            <v>@@</v>
          </cell>
          <cell r="AB954" t="str">
            <v>@@</v>
          </cell>
          <cell r="AC954">
            <v>-13.4</v>
          </cell>
          <cell r="AD954">
            <v>6.7</v>
          </cell>
          <cell r="AF954">
            <v>-13.4</v>
          </cell>
          <cell r="AG954">
            <v>6.7</v>
          </cell>
          <cell r="AL954" t="str">
            <v>@@</v>
          </cell>
        </row>
        <row r="955">
          <cell r="J955">
            <v>113200</v>
          </cell>
          <cell r="L955" t="str">
            <v>@@</v>
          </cell>
          <cell r="M955" t="str">
            <v>@@</v>
          </cell>
          <cell r="N955" t="str">
            <v>@@</v>
          </cell>
          <cell r="O955" t="str">
            <v>@@</v>
          </cell>
          <cell r="P955" t="str">
            <v>@@</v>
          </cell>
          <cell r="Q955" t="str">
            <v>@@</v>
          </cell>
          <cell r="R955" t="str">
            <v>@@</v>
          </cell>
          <cell r="S955" t="str">
            <v>@@</v>
          </cell>
          <cell r="AB955" t="str">
            <v>@@</v>
          </cell>
          <cell r="AC955" t="str">
            <v>@@</v>
          </cell>
          <cell r="AD955" t="str">
            <v>@@</v>
          </cell>
          <cell r="AL955" t="str">
            <v>@@</v>
          </cell>
        </row>
        <row r="956">
          <cell r="J956">
            <v>113300</v>
          </cell>
          <cell r="L956" t="str">
            <v>@@</v>
          </cell>
          <cell r="M956" t="str">
            <v>@@</v>
          </cell>
          <cell r="N956" t="str">
            <v>@@</v>
          </cell>
          <cell r="O956" t="str">
            <v>@@</v>
          </cell>
          <cell r="P956" t="str">
            <v>@@</v>
          </cell>
          <cell r="Q956" t="str">
            <v>@@</v>
          </cell>
          <cell r="R956" t="str">
            <v>@@</v>
          </cell>
          <cell r="S956" t="str">
            <v>@@</v>
          </cell>
          <cell r="AB956" t="str">
            <v>@@</v>
          </cell>
          <cell r="AC956" t="str">
            <v>@@</v>
          </cell>
          <cell r="AD956" t="str">
            <v>@@</v>
          </cell>
          <cell r="AL956" t="str">
            <v>@@</v>
          </cell>
        </row>
        <row r="957">
          <cell r="J957">
            <v>113400</v>
          </cell>
          <cell r="L957" t="str">
            <v>@@</v>
          </cell>
          <cell r="M957" t="str">
            <v>@@</v>
          </cell>
          <cell r="N957" t="str">
            <v>@@</v>
          </cell>
          <cell r="O957" t="str">
            <v>@@</v>
          </cell>
          <cell r="P957" t="str">
            <v>@@</v>
          </cell>
          <cell r="Q957" t="str">
            <v>@@</v>
          </cell>
          <cell r="R957" t="str">
            <v>@@</v>
          </cell>
          <cell r="S957" t="str">
            <v>@@</v>
          </cell>
          <cell r="AB957" t="str">
            <v>@@</v>
          </cell>
          <cell r="AC957" t="str">
            <v>@@</v>
          </cell>
          <cell r="AD957" t="str">
            <v>@@</v>
          </cell>
          <cell r="AL957" t="str">
            <v>@@</v>
          </cell>
        </row>
        <row r="958">
          <cell r="J958">
            <v>113500</v>
          </cell>
          <cell r="L958" t="str">
            <v>@@</v>
          </cell>
          <cell r="M958" t="str">
            <v>@@</v>
          </cell>
          <cell r="N958" t="str">
            <v>@@</v>
          </cell>
          <cell r="O958" t="str">
            <v>@@</v>
          </cell>
          <cell r="P958" t="str">
            <v>@@</v>
          </cell>
          <cell r="Q958" t="str">
            <v>@@</v>
          </cell>
          <cell r="R958" t="str">
            <v>@@</v>
          </cell>
          <cell r="S958" t="str">
            <v>@@</v>
          </cell>
          <cell r="AB958" t="str">
            <v>@@</v>
          </cell>
          <cell r="AC958" t="str">
            <v>@@</v>
          </cell>
          <cell r="AD958" t="str">
            <v>@@</v>
          </cell>
          <cell r="AL958" t="str">
            <v>@@</v>
          </cell>
        </row>
        <row r="959">
          <cell r="J959">
            <v>113600</v>
          </cell>
          <cell r="L959" t="str">
            <v>@@</v>
          </cell>
          <cell r="M959" t="str">
            <v>@@</v>
          </cell>
          <cell r="N959" t="str">
            <v>@@</v>
          </cell>
          <cell r="O959" t="str">
            <v>@@</v>
          </cell>
          <cell r="P959" t="str">
            <v>@@</v>
          </cell>
          <cell r="Q959" t="str">
            <v>@@</v>
          </cell>
          <cell r="R959" t="str">
            <v>@@</v>
          </cell>
          <cell r="S959" t="str">
            <v>@@</v>
          </cell>
          <cell r="AB959" t="str">
            <v>@@</v>
          </cell>
          <cell r="AC959" t="str">
            <v>@@</v>
          </cell>
          <cell r="AD959" t="str">
            <v>@@</v>
          </cell>
          <cell r="AL959" t="str">
            <v>@@</v>
          </cell>
        </row>
        <row r="960">
          <cell r="J960">
            <v>113700</v>
          </cell>
          <cell r="L960" t="str">
            <v>@@</v>
          </cell>
          <cell r="M960" t="str">
            <v>@@</v>
          </cell>
          <cell r="N960" t="str">
            <v>@@</v>
          </cell>
          <cell r="O960" t="str">
            <v>@@</v>
          </cell>
          <cell r="P960" t="str">
            <v>@@</v>
          </cell>
          <cell r="Q960" t="str">
            <v>@@</v>
          </cell>
          <cell r="R960" t="str">
            <v>@@</v>
          </cell>
          <cell r="S960" t="str">
            <v>@@</v>
          </cell>
          <cell r="AB960" t="str">
            <v>@@</v>
          </cell>
          <cell r="AC960" t="str">
            <v>@@</v>
          </cell>
          <cell r="AD960" t="str">
            <v>@@</v>
          </cell>
          <cell r="AL960" t="str">
            <v>@@</v>
          </cell>
        </row>
        <row r="961">
          <cell r="J961">
            <v>113800</v>
          </cell>
          <cell r="L961" t="str">
            <v>@@</v>
          </cell>
          <cell r="M961" t="str">
            <v>@@</v>
          </cell>
          <cell r="N961" t="str">
            <v>@@</v>
          </cell>
          <cell r="O961" t="str">
            <v>@@</v>
          </cell>
          <cell r="P961" t="str">
            <v>@@</v>
          </cell>
          <cell r="Q961" t="str">
            <v>@@</v>
          </cell>
          <cell r="R961" t="str">
            <v>@@</v>
          </cell>
          <cell r="S961" t="str">
            <v>@@</v>
          </cell>
          <cell r="AB961" t="str">
            <v>@@</v>
          </cell>
          <cell r="AC961" t="str">
            <v>@@</v>
          </cell>
          <cell r="AD961" t="str">
            <v>@@</v>
          </cell>
          <cell r="AL961" t="str">
            <v>@@</v>
          </cell>
        </row>
        <row r="962">
          <cell r="J962">
            <v>113900</v>
          </cell>
          <cell r="L962" t="str">
            <v>@@</v>
          </cell>
          <cell r="M962" t="str">
            <v>@@</v>
          </cell>
          <cell r="N962" t="str">
            <v>@@</v>
          </cell>
          <cell r="O962" t="str">
            <v>@@</v>
          </cell>
          <cell r="P962" t="str">
            <v>@@</v>
          </cell>
          <cell r="Q962" t="str">
            <v>@@</v>
          </cell>
          <cell r="R962" t="str">
            <v>@@</v>
          </cell>
          <cell r="S962" t="str">
            <v>@@</v>
          </cell>
          <cell r="AB962" t="str">
            <v>@@</v>
          </cell>
          <cell r="AC962">
            <v>-10.25</v>
          </cell>
          <cell r="AD962">
            <v>4.4000000000000004</v>
          </cell>
          <cell r="AF962">
            <v>-10.25</v>
          </cell>
          <cell r="AG962">
            <v>4.4000000000000004</v>
          </cell>
          <cell r="AL962" t="str">
            <v>@@</v>
          </cell>
        </row>
        <row r="963">
          <cell r="J963">
            <v>114000</v>
          </cell>
          <cell r="L963">
            <v>114000</v>
          </cell>
          <cell r="M963">
            <v>-10.25</v>
          </cell>
          <cell r="N963">
            <v>4.4000000000000004</v>
          </cell>
          <cell r="O963">
            <v>-14.285714285714285</v>
          </cell>
          <cell r="P963">
            <v>3.6</v>
          </cell>
          <cell r="Q963">
            <v>-32.285714285714292</v>
          </cell>
          <cell r="R963">
            <v>3.6</v>
          </cell>
          <cell r="S963">
            <v>1</v>
          </cell>
          <cell r="T963">
            <v>114000</v>
          </cell>
          <cell r="U963">
            <v>-10.25</v>
          </cell>
          <cell r="V963">
            <v>4.4000000000000004</v>
          </cell>
          <cell r="W963">
            <v>-14.285714285714285</v>
          </cell>
          <cell r="X963">
            <v>3.6</v>
          </cell>
          <cell r="Y963">
            <v>-32.285714285714292</v>
          </cell>
          <cell r="Z963">
            <v>3.6</v>
          </cell>
          <cell r="AA963">
            <v>1</v>
          </cell>
          <cell r="AB963">
            <v>114000</v>
          </cell>
          <cell r="AC963">
            <v>-14.285714285714285</v>
          </cell>
          <cell r="AD963">
            <v>3.6</v>
          </cell>
          <cell r="AE963">
            <v>114000</v>
          </cell>
          <cell r="AF963">
            <v>-14.285714285714285</v>
          </cell>
          <cell r="AG963">
            <v>3.6</v>
          </cell>
          <cell r="AL963">
            <v>11.6</v>
          </cell>
          <cell r="AM963">
            <v>11.6</v>
          </cell>
        </row>
        <row r="964">
          <cell r="J964">
            <v>114100</v>
          </cell>
          <cell r="L964" t="str">
            <v>@@</v>
          </cell>
          <cell r="M964" t="str">
            <v>@@</v>
          </cell>
          <cell r="N964" t="str">
            <v>@@</v>
          </cell>
          <cell r="O964" t="str">
            <v>@@</v>
          </cell>
          <cell r="P964" t="str">
            <v>@@</v>
          </cell>
          <cell r="Q964" t="str">
            <v>@@</v>
          </cell>
          <cell r="R964" t="str">
            <v>@@</v>
          </cell>
          <cell r="S964" t="str">
            <v>@@</v>
          </cell>
          <cell r="AB964" t="str">
            <v>@@</v>
          </cell>
          <cell r="AC964">
            <v>-32.285714285714292</v>
          </cell>
          <cell r="AD964">
            <v>3.6</v>
          </cell>
          <cell r="AF964">
            <v>-32.285714285714292</v>
          </cell>
          <cell r="AG964">
            <v>3.6</v>
          </cell>
          <cell r="AL964" t="str">
            <v>@@</v>
          </cell>
        </row>
        <row r="965">
          <cell r="J965">
            <v>114200</v>
          </cell>
          <cell r="L965" t="str">
            <v>@@</v>
          </cell>
          <cell r="M965" t="str">
            <v>@@</v>
          </cell>
          <cell r="N965" t="str">
            <v>@@</v>
          </cell>
          <cell r="O965" t="str">
            <v>@@</v>
          </cell>
          <cell r="P965" t="str">
            <v>@@</v>
          </cell>
          <cell r="Q965" t="str">
            <v>@@</v>
          </cell>
          <cell r="R965" t="str">
            <v>@@</v>
          </cell>
          <cell r="S965" t="str">
            <v>@@</v>
          </cell>
          <cell r="AB965" t="str">
            <v>@@</v>
          </cell>
          <cell r="AC965" t="str">
            <v>@@</v>
          </cell>
          <cell r="AD965" t="str">
            <v>@@</v>
          </cell>
          <cell r="AL965" t="str">
            <v>@@</v>
          </cell>
        </row>
        <row r="966">
          <cell r="J966">
            <v>114300</v>
          </cell>
          <cell r="L966" t="str">
            <v>@@</v>
          </cell>
          <cell r="M966" t="str">
            <v>@@</v>
          </cell>
          <cell r="N966" t="str">
            <v>@@</v>
          </cell>
          <cell r="O966" t="str">
            <v>@@</v>
          </cell>
          <cell r="P966" t="str">
            <v>@@</v>
          </cell>
          <cell r="Q966" t="str">
            <v>@@</v>
          </cell>
          <cell r="R966" t="str">
            <v>@@</v>
          </cell>
          <cell r="S966" t="str">
            <v>@@</v>
          </cell>
          <cell r="AB966" t="str">
            <v>@@</v>
          </cell>
          <cell r="AC966" t="str">
            <v>@@</v>
          </cell>
          <cell r="AD966" t="str">
            <v>@@</v>
          </cell>
          <cell r="AL966" t="str">
            <v>@@</v>
          </cell>
        </row>
        <row r="967">
          <cell r="J967">
            <v>114400</v>
          </cell>
          <cell r="L967" t="str">
            <v>@@</v>
          </cell>
          <cell r="M967" t="str">
            <v>@@</v>
          </cell>
          <cell r="N967" t="str">
            <v>@@</v>
          </cell>
          <cell r="O967" t="str">
            <v>@@</v>
          </cell>
          <cell r="P967" t="str">
            <v>@@</v>
          </cell>
          <cell r="Q967" t="str">
            <v>@@</v>
          </cell>
          <cell r="R967" t="str">
            <v>@@</v>
          </cell>
          <cell r="S967" t="str">
            <v>@@</v>
          </cell>
          <cell r="AB967" t="str">
            <v>@@</v>
          </cell>
          <cell r="AC967" t="str">
            <v>@@</v>
          </cell>
          <cell r="AD967" t="str">
            <v>@@</v>
          </cell>
          <cell r="AL967" t="str">
            <v>@@</v>
          </cell>
        </row>
        <row r="968">
          <cell r="J968">
            <v>114500</v>
          </cell>
          <cell r="L968" t="str">
            <v>@@</v>
          </cell>
          <cell r="M968" t="str">
            <v>@@</v>
          </cell>
          <cell r="N968" t="str">
            <v>@@</v>
          </cell>
          <cell r="O968" t="str">
            <v>@@</v>
          </cell>
          <cell r="P968" t="str">
            <v>@@</v>
          </cell>
          <cell r="Q968" t="str">
            <v>@@</v>
          </cell>
          <cell r="R968" t="str">
            <v>@@</v>
          </cell>
          <cell r="S968" t="str">
            <v>@@</v>
          </cell>
          <cell r="AB968" t="str">
            <v>@@</v>
          </cell>
          <cell r="AC968" t="str">
            <v>@@</v>
          </cell>
          <cell r="AD968" t="str">
            <v>@@</v>
          </cell>
          <cell r="AL968" t="str">
            <v>@@</v>
          </cell>
        </row>
        <row r="969">
          <cell r="J969">
            <v>114600</v>
          </cell>
          <cell r="L969" t="str">
            <v>@@</v>
          </cell>
          <cell r="M969" t="str">
            <v>@@</v>
          </cell>
          <cell r="N969" t="str">
            <v>@@</v>
          </cell>
          <cell r="O969" t="str">
            <v>@@</v>
          </cell>
          <cell r="P969" t="str">
            <v>@@</v>
          </cell>
          <cell r="Q969" t="str">
            <v>@@</v>
          </cell>
          <cell r="R969" t="str">
            <v>@@</v>
          </cell>
          <cell r="S969" t="str">
            <v>@@</v>
          </cell>
          <cell r="AB969" t="str">
            <v>@@</v>
          </cell>
          <cell r="AC969" t="str">
            <v>@@</v>
          </cell>
          <cell r="AD969" t="str">
            <v>@@</v>
          </cell>
          <cell r="AL969" t="str">
            <v>@@</v>
          </cell>
        </row>
        <row r="970">
          <cell r="J970">
            <v>114700</v>
          </cell>
          <cell r="L970" t="str">
            <v>@@</v>
          </cell>
          <cell r="M970" t="str">
            <v>@@</v>
          </cell>
          <cell r="N970" t="str">
            <v>@@</v>
          </cell>
          <cell r="O970" t="str">
            <v>@@</v>
          </cell>
          <cell r="P970" t="str">
            <v>@@</v>
          </cell>
          <cell r="Q970" t="str">
            <v>@@</v>
          </cell>
          <cell r="R970" t="str">
            <v>@@</v>
          </cell>
          <cell r="S970" t="str">
            <v>@@</v>
          </cell>
          <cell r="AB970" t="str">
            <v>@@</v>
          </cell>
          <cell r="AC970" t="str">
            <v>@@</v>
          </cell>
          <cell r="AD970" t="str">
            <v>@@</v>
          </cell>
          <cell r="AL970" t="str">
            <v>@@</v>
          </cell>
        </row>
        <row r="971">
          <cell r="J971">
            <v>114800</v>
          </cell>
          <cell r="L971" t="str">
            <v>@@</v>
          </cell>
          <cell r="M971" t="str">
            <v>@@</v>
          </cell>
          <cell r="N971" t="str">
            <v>@@</v>
          </cell>
          <cell r="O971" t="str">
            <v>@@</v>
          </cell>
          <cell r="P971" t="str">
            <v>@@</v>
          </cell>
          <cell r="Q971" t="str">
            <v>@@</v>
          </cell>
          <cell r="R971" t="str">
            <v>@@</v>
          </cell>
          <cell r="S971" t="str">
            <v>@@</v>
          </cell>
          <cell r="AB971" t="str">
            <v>@@</v>
          </cell>
          <cell r="AC971" t="str">
            <v>@@</v>
          </cell>
          <cell r="AD971" t="str">
            <v>@@</v>
          </cell>
          <cell r="AL971" t="str">
            <v>@@</v>
          </cell>
        </row>
        <row r="972">
          <cell r="J972">
            <v>114900</v>
          </cell>
          <cell r="L972" t="str">
            <v>@@</v>
          </cell>
          <cell r="M972" t="str">
            <v>@@</v>
          </cell>
          <cell r="N972" t="str">
            <v>@@</v>
          </cell>
          <cell r="O972" t="str">
            <v>@@</v>
          </cell>
          <cell r="P972" t="str">
            <v>@@</v>
          </cell>
          <cell r="Q972" t="str">
            <v>@@</v>
          </cell>
          <cell r="R972" t="str">
            <v>@@</v>
          </cell>
          <cell r="S972" t="str">
            <v>@@</v>
          </cell>
          <cell r="AB972" t="str">
            <v>@@</v>
          </cell>
          <cell r="AC972">
            <v>-20</v>
          </cell>
          <cell r="AD972">
            <v>5</v>
          </cell>
          <cell r="AF972">
            <v>-20</v>
          </cell>
          <cell r="AG972">
            <v>5</v>
          </cell>
          <cell r="AL972" t="str">
            <v>@@</v>
          </cell>
        </row>
        <row r="973">
          <cell r="J973">
            <v>115000</v>
          </cell>
          <cell r="L973">
            <v>115000</v>
          </cell>
          <cell r="M973">
            <v>-20</v>
          </cell>
          <cell r="N973">
            <v>5</v>
          </cell>
          <cell r="O973">
            <v>-25.4</v>
          </cell>
          <cell r="P973">
            <v>5</v>
          </cell>
          <cell r="Q973">
            <v>-13.2</v>
          </cell>
          <cell r="R973">
            <v>6.2</v>
          </cell>
          <cell r="S973">
            <v>1</v>
          </cell>
          <cell r="T973">
            <v>115000</v>
          </cell>
          <cell r="U973">
            <v>-20</v>
          </cell>
          <cell r="V973">
            <v>5</v>
          </cell>
          <cell r="W973">
            <v>-25.4</v>
          </cell>
          <cell r="X973">
            <v>5</v>
          </cell>
          <cell r="Y973">
            <v>-13.2</v>
          </cell>
          <cell r="Z973">
            <v>6.2</v>
          </cell>
          <cell r="AA973">
            <v>1</v>
          </cell>
          <cell r="AB973">
            <v>115000</v>
          </cell>
          <cell r="AC973">
            <v>-25.4</v>
          </cell>
          <cell r="AD973">
            <v>5</v>
          </cell>
          <cell r="AE973">
            <v>115000</v>
          </cell>
          <cell r="AF973">
            <v>-25.4</v>
          </cell>
          <cell r="AG973">
            <v>5</v>
          </cell>
          <cell r="AL973">
            <v>16.2</v>
          </cell>
          <cell r="AM973">
            <v>16.2</v>
          </cell>
        </row>
        <row r="974">
          <cell r="J974">
            <v>115100</v>
          </cell>
          <cell r="L974" t="str">
            <v>@@</v>
          </cell>
          <cell r="M974" t="str">
            <v>@@</v>
          </cell>
          <cell r="N974" t="str">
            <v>@@</v>
          </cell>
          <cell r="O974" t="str">
            <v>@@</v>
          </cell>
          <cell r="P974" t="str">
            <v>@@</v>
          </cell>
          <cell r="Q974" t="str">
            <v>@@</v>
          </cell>
          <cell r="R974" t="str">
            <v>@@</v>
          </cell>
          <cell r="S974" t="str">
            <v>@@</v>
          </cell>
          <cell r="AB974" t="str">
            <v>@@</v>
          </cell>
          <cell r="AC974">
            <v>-13.2</v>
          </cell>
          <cell r="AD974">
            <v>6.2</v>
          </cell>
          <cell r="AF974">
            <v>-13.2</v>
          </cell>
          <cell r="AG974">
            <v>6.2</v>
          </cell>
          <cell r="AL974" t="str">
            <v>@@</v>
          </cell>
        </row>
        <row r="975">
          <cell r="J975">
            <v>115200</v>
          </cell>
          <cell r="L975" t="str">
            <v>@@</v>
          </cell>
          <cell r="M975" t="str">
            <v>@@</v>
          </cell>
          <cell r="N975" t="str">
            <v>@@</v>
          </cell>
          <cell r="O975" t="str">
            <v>@@</v>
          </cell>
          <cell r="P975" t="str">
            <v>@@</v>
          </cell>
          <cell r="Q975" t="str">
            <v>@@</v>
          </cell>
          <cell r="R975" t="str">
            <v>@@</v>
          </cell>
          <cell r="S975" t="str">
            <v>@@</v>
          </cell>
          <cell r="AB975" t="str">
            <v>@@</v>
          </cell>
          <cell r="AC975" t="str">
            <v>@@</v>
          </cell>
          <cell r="AD975" t="str">
            <v>@@</v>
          </cell>
          <cell r="AL975" t="str">
            <v>@@</v>
          </cell>
        </row>
        <row r="976">
          <cell r="J976">
            <v>115300</v>
          </cell>
          <cell r="L976" t="str">
            <v>@@</v>
          </cell>
          <cell r="M976" t="str">
            <v>@@</v>
          </cell>
          <cell r="N976" t="str">
            <v>@@</v>
          </cell>
          <cell r="O976" t="str">
            <v>@@</v>
          </cell>
          <cell r="P976" t="str">
            <v>@@</v>
          </cell>
          <cell r="Q976" t="str">
            <v>@@</v>
          </cell>
          <cell r="R976" t="str">
            <v>@@</v>
          </cell>
          <cell r="S976" t="str">
            <v>@@</v>
          </cell>
          <cell r="AB976" t="str">
            <v>@@</v>
          </cell>
          <cell r="AC976" t="str">
            <v>@@</v>
          </cell>
          <cell r="AD976" t="str">
            <v>@@</v>
          </cell>
          <cell r="AL976" t="str">
            <v>@@</v>
          </cell>
        </row>
        <row r="977">
          <cell r="J977">
            <v>115400</v>
          </cell>
          <cell r="L977" t="str">
            <v>@@</v>
          </cell>
          <cell r="M977" t="str">
            <v>@@</v>
          </cell>
          <cell r="N977" t="str">
            <v>@@</v>
          </cell>
          <cell r="O977" t="str">
            <v>@@</v>
          </cell>
          <cell r="P977" t="str">
            <v>@@</v>
          </cell>
          <cell r="Q977" t="str">
            <v>@@</v>
          </cell>
          <cell r="R977" t="str">
            <v>@@</v>
          </cell>
          <cell r="S977" t="str">
            <v>@@</v>
          </cell>
          <cell r="AB977" t="str">
            <v>@@</v>
          </cell>
          <cell r="AC977" t="str">
            <v>@@</v>
          </cell>
          <cell r="AD977" t="str">
            <v>@@</v>
          </cell>
          <cell r="AL977" t="str">
            <v>@@</v>
          </cell>
        </row>
        <row r="978">
          <cell r="J978">
            <v>115500</v>
          </cell>
          <cell r="L978" t="str">
            <v>@@</v>
          </cell>
          <cell r="M978" t="str">
            <v>@@</v>
          </cell>
          <cell r="N978" t="str">
            <v>@@</v>
          </cell>
          <cell r="O978" t="str">
            <v>@@</v>
          </cell>
          <cell r="P978" t="str">
            <v>@@</v>
          </cell>
          <cell r="Q978" t="str">
            <v>@@</v>
          </cell>
          <cell r="R978" t="str">
            <v>@@</v>
          </cell>
          <cell r="S978" t="str">
            <v>@@</v>
          </cell>
          <cell r="AB978" t="str">
            <v>@@</v>
          </cell>
          <cell r="AC978" t="str">
            <v>@@</v>
          </cell>
          <cell r="AD978" t="str">
            <v>@@</v>
          </cell>
          <cell r="AL978" t="str">
            <v>@@</v>
          </cell>
        </row>
        <row r="979">
          <cell r="J979">
            <v>115600</v>
          </cell>
          <cell r="L979" t="str">
            <v>@@</v>
          </cell>
          <cell r="M979" t="str">
            <v>@@</v>
          </cell>
          <cell r="N979" t="str">
            <v>@@</v>
          </cell>
          <cell r="O979" t="str">
            <v>@@</v>
          </cell>
          <cell r="P979" t="str">
            <v>@@</v>
          </cell>
          <cell r="Q979" t="str">
            <v>@@</v>
          </cell>
          <cell r="R979" t="str">
            <v>@@</v>
          </cell>
          <cell r="S979" t="str">
            <v>@@</v>
          </cell>
          <cell r="AB979" t="str">
            <v>@@</v>
          </cell>
          <cell r="AC979" t="str">
            <v>@@</v>
          </cell>
          <cell r="AD979" t="str">
            <v>@@</v>
          </cell>
          <cell r="AL979" t="str">
            <v>@@</v>
          </cell>
        </row>
        <row r="980">
          <cell r="J980">
            <v>115700</v>
          </cell>
          <cell r="L980" t="str">
            <v>@@</v>
          </cell>
          <cell r="M980" t="str">
            <v>@@</v>
          </cell>
          <cell r="N980" t="str">
            <v>@@</v>
          </cell>
          <cell r="O980" t="str">
            <v>@@</v>
          </cell>
          <cell r="P980" t="str">
            <v>@@</v>
          </cell>
          <cell r="Q980" t="str">
            <v>@@</v>
          </cell>
          <cell r="R980" t="str">
            <v>@@</v>
          </cell>
          <cell r="S980" t="str">
            <v>@@</v>
          </cell>
          <cell r="AB980" t="str">
            <v>@@</v>
          </cell>
          <cell r="AC980" t="str">
            <v>@@</v>
          </cell>
          <cell r="AD980" t="str">
            <v>@@</v>
          </cell>
          <cell r="AL980" t="str">
            <v>@@</v>
          </cell>
        </row>
        <row r="981">
          <cell r="J981">
            <v>115800</v>
          </cell>
          <cell r="L981" t="str">
            <v>@@</v>
          </cell>
          <cell r="M981" t="str">
            <v>@@</v>
          </cell>
          <cell r="N981" t="str">
            <v>@@</v>
          </cell>
          <cell r="O981" t="str">
            <v>@@</v>
          </cell>
          <cell r="P981" t="str">
            <v>@@</v>
          </cell>
          <cell r="Q981" t="str">
            <v>@@</v>
          </cell>
          <cell r="R981" t="str">
            <v>@@</v>
          </cell>
          <cell r="S981" t="str">
            <v>@@</v>
          </cell>
          <cell r="AB981" t="str">
            <v>@@</v>
          </cell>
          <cell r="AC981" t="str">
            <v>@@</v>
          </cell>
          <cell r="AD981" t="str">
            <v>@@</v>
          </cell>
          <cell r="AL981" t="str">
            <v>@@</v>
          </cell>
        </row>
        <row r="982">
          <cell r="J982">
            <v>115900</v>
          </cell>
          <cell r="L982" t="str">
            <v>@@</v>
          </cell>
          <cell r="M982" t="str">
            <v>@@</v>
          </cell>
          <cell r="N982" t="str">
            <v>@@</v>
          </cell>
          <cell r="O982" t="str">
            <v>@@</v>
          </cell>
          <cell r="P982" t="str">
            <v>@@</v>
          </cell>
          <cell r="Q982" t="str">
            <v>@@</v>
          </cell>
          <cell r="R982" t="str">
            <v>@@</v>
          </cell>
          <cell r="S982" t="str">
            <v>@@</v>
          </cell>
          <cell r="AB982" t="str">
            <v>@@</v>
          </cell>
          <cell r="AC982">
            <v>-42.5</v>
          </cell>
          <cell r="AD982">
            <v>4</v>
          </cell>
          <cell r="AF982">
            <v>-42.5</v>
          </cell>
          <cell r="AG982">
            <v>4</v>
          </cell>
          <cell r="AL982" t="str">
            <v>@@</v>
          </cell>
        </row>
        <row r="983">
          <cell r="J983">
            <v>116000</v>
          </cell>
          <cell r="L983">
            <v>116000</v>
          </cell>
          <cell r="M983">
            <v>-42.5</v>
          </cell>
          <cell r="N983">
            <v>4</v>
          </cell>
          <cell r="O983">
            <v>-17.333333333333336</v>
          </cell>
          <cell r="P983">
            <v>3</v>
          </cell>
          <cell r="Q983">
            <v>-15.75</v>
          </cell>
          <cell r="R983">
            <v>6.1</v>
          </cell>
          <cell r="S983">
            <v>1</v>
          </cell>
          <cell r="T983">
            <v>116000</v>
          </cell>
          <cell r="U983">
            <v>-42.5</v>
          </cell>
          <cell r="V983">
            <v>4</v>
          </cell>
          <cell r="W983">
            <v>-17.333333333333336</v>
          </cell>
          <cell r="X983">
            <v>3</v>
          </cell>
          <cell r="Y983">
            <v>-15.75</v>
          </cell>
          <cell r="Z983">
            <v>6.1</v>
          </cell>
          <cell r="AA983">
            <v>1</v>
          </cell>
          <cell r="AB983">
            <v>116000</v>
          </cell>
          <cell r="AC983">
            <v>-17.333333333333336</v>
          </cell>
          <cell r="AD983">
            <v>3</v>
          </cell>
          <cell r="AE983">
            <v>116000</v>
          </cell>
          <cell r="AF983">
            <v>-17.333333333333336</v>
          </cell>
          <cell r="AG983">
            <v>3</v>
          </cell>
          <cell r="AL983">
            <v>13.1</v>
          </cell>
          <cell r="AM983">
            <v>13.1</v>
          </cell>
        </row>
        <row r="984">
          <cell r="J984">
            <v>116100</v>
          </cell>
          <cell r="L984" t="str">
            <v>@@</v>
          </cell>
          <cell r="M984" t="str">
            <v>@@</v>
          </cell>
          <cell r="N984" t="str">
            <v>@@</v>
          </cell>
          <cell r="O984" t="str">
            <v>@@</v>
          </cell>
          <cell r="P984" t="str">
            <v>@@</v>
          </cell>
          <cell r="Q984" t="str">
            <v>@@</v>
          </cell>
          <cell r="R984" t="str">
            <v>@@</v>
          </cell>
          <cell r="S984" t="str">
            <v>@@</v>
          </cell>
          <cell r="AB984" t="str">
            <v>@@</v>
          </cell>
          <cell r="AC984">
            <v>-15.75</v>
          </cell>
          <cell r="AD984">
            <v>6.1</v>
          </cell>
          <cell r="AF984">
            <v>-15.75</v>
          </cell>
          <cell r="AG984">
            <v>6.1</v>
          </cell>
          <cell r="AL984" t="str">
            <v>@@</v>
          </cell>
        </row>
        <row r="985">
          <cell r="J985">
            <v>116200</v>
          </cell>
          <cell r="L985" t="str">
            <v>@@</v>
          </cell>
          <cell r="M985" t="str">
            <v>@@</v>
          </cell>
          <cell r="N985" t="str">
            <v>@@</v>
          </cell>
          <cell r="O985" t="str">
            <v>@@</v>
          </cell>
          <cell r="P985" t="str">
            <v>@@</v>
          </cell>
          <cell r="Q985" t="str">
            <v>@@</v>
          </cell>
          <cell r="R985" t="str">
            <v>@@</v>
          </cell>
          <cell r="S985" t="str">
            <v>@@</v>
          </cell>
          <cell r="AB985" t="str">
            <v>@@</v>
          </cell>
          <cell r="AC985" t="str">
            <v>@@</v>
          </cell>
          <cell r="AD985" t="str">
            <v>@@</v>
          </cell>
          <cell r="AL985" t="str">
            <v>@@</v>
          </cell>
        </row>
        <row r="986">
          <cell r="J986">
            <v>116300</v>
          </cell>
          <cell r="L986" t="str">
            <v>@@</v>
          </cell>
          <cell r="M986" t="str">
            <v>@@</v>
          </cell>
          <cell r="N986" t="str">
            <v>@@</v>
          </cell>
          <cell r="O986" t="str">
            <v>@@</v>
          </cell>
          <cell r="P986" t="str">
            <v>@@</v>
          </cell>
          <cell r="Q986" t="str">
            <v>@@</v>
          </cell>
          <cell r="R986" t="str">
            <v>@@</v>
          </cell>
          <cell r="S986" t="str">
            <v>@@</v>
          </cell>
          <cell r="AB986" t="str">
            <v>@@</v>
          </cell>
          <cell r="AC986" t="str">
            <v>@@</v>
          </cell>
          <cell r="AD986" t="str">
            <v>@@</v>
          </cell>
          <cell r="AL986" t="str">
            <v>@@</v>
          </cell>
        </row>
        <row r="987">
          <cell r="J987">
            <v>116400</v>
          </cell>
          <cell r="L987" t="str">
            <v>@@</v>
          </cell>
          <cell r="M987" t="str">
            <v>@@</v>
          </cell>
          <cell r="N987" t="str">
            <v>@@</v>
          </cell>
          <cell r="O987" t="str">
            <v>@@</v>
          </cell>
          <cell r="P987" t="str">
            <v>@@</v>
          </cell>
          <cell r="Q987" t="str">
            <v>@@</v>
          </cell>
          <cell r="R987" t="str">
            <v>@@</v>
          </cell>
          <cell r="S987" t="str">
            <v>@@</v>
          </cell>
          <cell r="AB987" t="str">
            <v>@@</v>
          </cell>
          <cell r="AC987" t="str">
            <v>@@</v>
          </cell>
          <cell r="AD987" t="str">
            <v>@@</v>
          </cell>
          <cell r="AL987" t="str">
            <v>@@</v>
          </cell>
        </row>
        <row r="988">
          <cell r="J988">
            <v>116500</v>
          </cell>
          <cell r="L988" t="str">
            <v>@@</v>
          </cell>
          <cell r="M988" t="str">
            <v>@@</v>
          </cell>
          <cell r="N988" t="str">
            <v>@@</v>
          </cell>
          <cell r="O988" t="str">
            <v>@@</v>
          </cell>
          <cell r="P988" t="str">
            <v>@@</v>
          </cell>
          <cell r="Q988" t="str">
            <v>@@</v>
          </cell>
          <cell r="R988" t="str">
            <v>@@</v>
          </cell>
          <cell r="S988" t="str">
            <v>@@</v>
          </cell>
          <cell r="AB988" t="str">
            <v>@@</v>
          </cell>
          <cell r="AC988" t="str">
            <v>@@</v>
          </cell>
          <cell r="AD988" t="str">
            <v>@@</v>
          </cell>
          <cell r="AL988" t="str">
            <v>@@</v>
          </cell>
        </row>
        <row r="989">
          <cell r="J989">
            <v>116600</v>
          </cell>
          <cell r="L989" t="str">
            <v>@@</v>
          </cell>
          <cell r="M989" t="str">
            <v>@@</v>
          </cell>
          <cell r="N989" t="str">
            <v>@@</v>
          </cell>
          <cell r="O989" t="str">
            <v>@@</v>
          </cell>
          <cell r="P989" t="str">
            <v>@@</v>
          </cell>
          <cell r="Q989" t="str">
            <v>@@</v>
          </cell>
          <cell r="R989" t="str">
            <v>@@</v>
          </cell>
          <cell r="S989" t="str">
            <v>@@</v>
          </cell>
          <cell r="AB989" t="str">
            <v>@@</v>
          </cell>
          <cell r="AC989" t="str">
            <v>@@</v>
          </cell>
          <cell r="AD989" t="str">
            <v>@@</v>
          </cell>
          <cell r="AL989" t="str">
            <v>@@</v>
          </cell>
        </row>
        <row r="990">
          <cell r="J990">
            <v>116700</v>
          </cell>
          <cell r="L990" t="str">
            <v>@@</v>
          </cell>
          <cell r="M990" t="str">
            <v>@@</v>
          </cell>
          <cell r="N990" t="str">
            <v>@@</v>
          </cell>
          <cell r="O990" t="str">
            <v>@@</v>
          </cell>
          <cell r="P990" t="str">
            <v>@@</v>
          </cell>
          <cell r="Q990" t="str">
            <v>@@</v>
          </cell>
          <cell r="R990" t="str">
            <v>@@</v>
          </cell>
          <cell r="S990" t="str">
            <v>@@</v>
          </cell>
          <cell r="AB990" t="str">
            <v>@@</v>
          </cell>
          <cell r="AC990" t="str">
            <v>@@</v>
          </cell>
          <cell r="AD990" t="str">
            <v>@@</v>
          </cell>
          <cell r="AL990" t="str">
            <v>@@</v>
          </cell>
        </row>
        <row r="991">
          <cell r="J991">
            <v>116800</v>
          </cell>
          <cell r="L991" t="str">
            <v>@@</v>
          </cell>
          <cell r="M991" t="str">
            <v>@@</v>
          </cell>
          <cell r="N991" t="str">
            <v>@@</v>
          </cell>
          <cell r="O991" t="str">
            <v>@@</v>
          </cell>
          <cell r="P991" t="str">
            <v>@@</v>
          </cell>
          <cell r="Q991" t="str">
            <v>@@</v>
          </cell>
          <cell r="R991" t="str">
            <v>@@</v>
          </cell>
          <cell r="S991" t="str">
            <v>@@</v>
          </cell>
          <cell r="AB991" t="str">
            <v>@@</v>
          </cell>
          <cell r="AC991" t="str">
            <v>@@</v>
          </cell>
          <cell r="AD991" t="str">
            <v>@@</v>
          </cell>
          <cell r="AL991" t="str">
            <v>@@</v>
          </cell>
        </row>
        <row r="992">
          <cell r="J992">
            <v>116900</v>
          </cell>
          <cell r="L992" t="str">
            <v>@@</v>
          </cell>
          <cell r="M992" t="str">
            <v>@@</v>
          </cell>
          <cell r="N992" t="str">
            <v>@@</v>
          </cell>
          <cell r="O992" t="str">
            <v>@@</v>
          </cell>
          <cell r="P992" t="str">
            <v>@@</v>
          </cell>
          <cell r="Q992" t="str">
            <v>@@</v>
          </cell>
          <cell r="R992" t="str">
            <v>@@</v>
          </cell>
          <cell r="S992" t="str">
            <v>@@</v>
          </cell>
          <cell r="AB992" t="str">
            <v>@@</v>
          </cell>
          <cell r="AC992">
            <v>-19.5</v>
          </cell>
          <cell r="AD992">
            <v>4.5999999999999996</v>
          </cell>
          <cell r="AF992">
            <v>-19.5</v>
          </cell>
          <cell r="AG992">
            <v>4.5999999999999996</v>
          </cell>
          <cell r="AL992" t="str">
            <v>@@</v>
          </cell>
        </row>
        <row r="993">
          <cell r="J993">
            <v>117000</v>
          </cell>
          <cell r="L993">
            <v>117000</v>
          </cell>
          <cell r="M993">
            <v>-19.5</v>
          </cell>
          <cell r="N993">
            <v>4.5999999999999996</v>
          </cell>
          <cell r="O993">
            <v>-27</v>
          </cell>
          <cell r="P993">
            <v>3.2</v>
          </cell>
          <cell r="Q993">
            <v>-15.666666666666668</v>
          </cell>
          <cell r="R993">
            <v>3.3</v>
          </cell>
          <cell r="S993">
            <v>1</v>
          </cell>
          <cell r="T993">
            <v>117000</v>
          </cell>
          <cell r="U993">
            <v>-19.5</v>
          </cell>
          <cell r="V993">
            <v>4.5999999999999996</v>
          </cell>
          <cell r="W993">
            <v>-27</v>
          </cell>
          <cell r="X993">
            <v>3.2</v>
          </cell>
          <cell r="Y993">
            <v>-15.666666666666668</v>
          </cell>
          <cell r="Z993">
            <v>3.3</v>
          </cell>
          <cell r="AA993">
            <v>1</v>
          </cell>
          <cell r="AB993">
            <v>117000</v>
          </cell>
          <cell r="AC993">
            <v>-27</v>
          </cell>
          <cell r="AD993">
            <v>3.2</v>
          </cell>
          <cell r="AE993">
            <v>117000</v>
          </cell>
          <cell r="AF993">
            <v>-27</v>
          </cell>
          <cell r="AG993">
            <v>3.2</v>
          </cell>
          <cell r="AL993">
            <v>11.1</v>
          </cell>
          <cell r="AM993">
            <v>11.1</v>
          </cell>
        </row>
        <row r="994">
          <cell r="J994">
            <v>117100</v>
          </cell>
          <cell r="L994" t="str">
            <v>@@</v>
          </cell>
          <cell r="M994" t="str">
            <v>@@</v>
          </cell>
          <cell r="N994" t="str">
            <v>@@</v>
          </cell>
          <cell r="O994" t="str">
            <v>@@</v>
          </cell>
          <cell r="P994" t="str">
            <v>@@</v>
          </cell>
          <cell r="Q994" t="str">
            <v>@@</v>
          </cell>
          <cell r="R994" t="str">
            <v>@@</v>
          </cell>
          <cell r="S994" t="str">
            <v>@@</v>
          </cell>
          <cell r="AB994" t="str">
            <v>@@</v>
          </cell>
          <cell r="AC994">
            <v>-15.666666666666668</v>
          </cell>
          <cell r="AD994">
            <v>3.3</v>
          </cell>
          <cell r="AF994">
            <v>-15.666666666666668</v>
          </cell>
          <cell r="AG994">
            <v>3.3</v>
          </cell>
          <cell r="AL994" t="str">
            <v>@@</v>
          </cell>
        </row>
        <row r="995">
          <cell r="J995">
            <v>117200</v>
          </cell>
          <cell r="L995" t="str">
            <v>@@</v>
          </cell>
          <cell r="M995" t="str">
            <v>@@</v>
          </cell>
          <cell r="N995" t="str">
            <v>@@</v>
          </cell>
          <cell r="O995" t="str">
            <v>@@</v>
          </cell>
          <cell r="P995" t="str">
            <v>@@</v>
          </cell>
          <cell r="Q995" t="str">
            <v>@@</v>
          </cell>
          <cell r="R995" t="str">
            <v>@@</v>
          </cell>
          <cell r="S995" t="str">
            <v>@@</v>
          </cell>
          <cell r="AB995" t="str">
            <v>@@</v>
          </cell>
          <cell r="AC995" t="str">
            <v>@@</v>
          </cell>
          <cell r="AD995" t="str">
            <v>@@</v>
          </cell>
          <cell r="AL995" t="str">
            <v>@@</v>
          </cell>
        </row>
        <row r="996">
          <cell r="J996">
            <v>117300</v>
          </cell>
          <cell r="L996" t="str">
            <v>@@</v>
          </cell>
          <cell r="M996" t="str">
            <v>@@</v>
          </cell>
          <cell r="N996" t="str">
            <v>@@</v>
          </cell>
          <cell r="O996" t="str">
            <v>@@</v>
          </cell>
          <cell r="P996" t="str">
            <v>@@</v>
          </cell>
          <cell r="Q996" t="str">
            <v>@@</v>
          </cell>
          <cell r="R996" t="str">
            <v>@@</v>
          </cell>
          <cell r="S996" t="str">
            <v>@@</v>
          </cell>
          <cell r="AB996" t="str">
            <v>@@</v>
          </cell>
          <cell r="AC996" t="str">
            <v>@@</v>
          </cell>
          <cell r="AD996" t="str">
            <v>@@</v>
          </cell>
          <cell r="AL996" t="str">
            <v>@@</v>
          </cell>
        </row>
        <row r="997">
          <cell r="J997">
            <v>117400</v>
          </cell>
          <cell r="L997" t="str">
            <v>@@</v>
          </cell>
          <cell r="M997" t="str">
            <v>@@</v>
          </cell>
          <cell r="N997" t="str">
            <v>@@</v>
          </cell>
          <cell r="O997" t="str">
            <v>@@</v>
          </cell>
          <cell r="P997" t="str">
            <v>@@</v>
          </cell>
          <cell r="Q997" t="str">
            <v>@@</v>
          </cell>
          <cell r="R997" t="str">
            <v>@@</v>
          </cell>
          <cell r="S997" t="str">
            <v>@@</v>
          </cell>
          <cell r="AB997" t="str">
            <v>@@</v>
          </cell>
          <cell r="AC997" t="str">
            <v>@@</v>
          </cell>
          <cell r="AD997" t="str">
            <v>@@</v>
          </cell>
          <cell r="AL997" t="str">
            <v>@@</v>
          </cell>
        </row>
        <row r="998">
          <cell r="J998">
            <v>117500</v>
          </cell>
          <cell r="L998" t="str">
            <v>@@</v>
          </cell>
          <cell r="M998" t="str">
            <v>@@</v>
          </cell>
          <cell r="N998" t="str">
            <v>@@</v>
          </cell>
          <cell r="O998" t="str">
            <v>@@</v>
          </cell>
          <cell r="P998" t="str">
            <v>@@</v>
          </cell>
          <cell r="Q998" t="str">
            <v>@@</v>
          </cell>
          <cell r="R998" t="str">
            <v>@@</v>
          </cell>
          <cell r="S998" t="str">
            <v>@@</v>
          </cell>
          <cell r="AB998" t="str">
            <v>@@</v>
          </cell>
          <cell r="AC998" t="str">
            <v>@@</v>
          </cell>
          <cell r="AD998" t="str">
            <v>@@</v>
          </cell>
          <cell r="AL998" t="str">
            <v>@@</v>
          </cell>
        </row>
        <row r="999">
          <cell r="J999">
            <v>117600</v>
          </cell>
          <cell r="L999" t="str">
            <v>@@</v>
          </cell>
          <cell r="M999" t="str">
            <v>@@</v>
          </cell>
          <cell r="N999" t="str">
            <v>@@</v>
          </cell>
          <cell r="O999" t="str">
            <v>@@</v>
          </cell>
          <cell r="P999" t="str">
            <v>@@</v>
          </cell>
          <cell r="Q999" t="str">
            <v>@@</v>
          </cell>
          <cell r="R999" t="str">
            <v>@@</v>
          </cell>
          <cell r="S999" t="str">
            <v>@@</v>
          </cell>
          <cell r="AB999" t="str">
            <v>@@</v>
          </cell>
          <cell r="AC999" t="str">
            <v>@@</v>
          </cell>
          <cell r="AD999" t="str">
            <v>@@</v>
          </cell>
          <cell r="AL999" t="str">
            <v>@@</v>
          </cell>
        </row>
        <row r="1000">
          <cell r="J1000">
            <v>117700</v>
          </cell>
          <cell r="L1000" t="str">
            <v>@@</v>
          </cell>
          <cell r="M1000" t="str">
            <v>@@</v>
          </cell>
          <cell r="N1000" t="str">
            <v>@@</v>
          </cell>
          <cell r="O1000" t="str">
            <v>@@</v>
          </cell>
          <cell r="P1000" t="str">
            <v>@@</v>
          </cell>
          <cell r="Q1000" t="str">
            <v>@@</v>
          </cell>
          <cell r="R1000" t="str">
            <v>@@</v>
          </cell>
          <cell r="S1000" t="str">
            <v>@@</v>
          </cell>
          <cell r="AB1000" t="str">
            <v>@@</v>
          </cell>
          <cell r="AC1000" t="str">
            <v>@@</v>
          </cell>
          <cell r="AD1000" t="str">
            <v>@@</v>
          </cell>
          <cell r="AL1000" t="str">
            <v>@@</v>
          </cell>
        </row>
        <row r="1001">
          <cell r="J1001">
            <v>117800</v>
          </cell>
          <cell r="L1001" t="str">
            <v>@@</v>
          </cell>
          <cell r="M1001" t="str">
            <v>@@</v>
          </cell>
          <cell r="N1001" t="str">
            <v>@@</v>
          </cell>
          <cell r="O1001" t="str">
            <v>@@</v>
          </cell>
          <cell r="P1001" t="str">
            <v>@@</v>
          </cell>
          <cell r="Q1001" t="str">
            <v>@@</v>
          </cell>
          <cell r="R1001" t="str">
            <v>@@</v>
          </cell>
          <cell r="S1001" t="str">
            <v>@@</v>
          </cell>
          <cell r="AB1001" t="str">
            <v>@@</v>
          </cell>
          <cell r="AC1001" t="str">
            <v>@@</v>
          </cell>
          <cell r="AD1001" t="str">
            <v>@@</v>
          </cell>
          <cell r="AL1001" t="str">
            <v>@@</v>
          </cell>
        </row>
        <row r="1002">
          <cell r="J1002">
            <v>117900</v>
          </cell>
          <cell r="L1002" t="str">
            <v>@@</v>
          </cell>
          <cell r="M1002" t="str">
            <v>@@</v>
          </cell>
          <cell r="N1002" t="str">
            <v>@@</v>
          </cell>
          <cell r="O1002" t="str">
            <v>@@</v>
          </cell>
          <cell r="P1002" t="str">
            <v>@@</v>
          </cell>
          <cell r="Q1002" t="str">
            <v>@@</v>
          </cell>
          <cell r="R1002" t="str">
            <v>@@</v>
          </cell>
          <cell r="S1002" t="str">
            <v>@@</v>
          </cell>
          <cell r="AB1002" t="str">
            <v>@@</v>
          </cell>
          <cell r="AC1002">
            <v>-14.75</v>
          </cell>
          <cell r="AD1002">
            <v>5.8</v>
          </cell>
          <cell r="AF1002">
            <v>-14.75</v>
          </cell>
          <cell r="AG1002">
            <v>5.8</v>
          </cell>
          <cell r="AL1002" t="str">
            <v>@@</v>
          </cell>
        </row>
        <row r="1003">
          <cell r="J1003">
            <v>118000</v>
          </cell>
          <cell r="L1003">
            <v>118000</v>
          </cell>
          <cell r="M1003">
            <v>-14.75</v>
          </cell>
          <cell r="N1003">
            <v>5.8</v>
          </cell>
          <cell r="O1003">
            <v>-21.714285714285715</v>
          </cell>
          <cell r="P1003">
            <v>3.5</v>
          </cell>
          <cell r="Q1003">
            <v>-12.25</v>
          </cell>
          <cell r="R1003">
            <v>4</v>
          </cell>
          <cell r="S1003">
            <v>1</v>
          </cell>
          <cell r="T1003">
            <v>118000</v>
          </cell>
          <cell r="U1003">
            <v>-14.75</v>
          </cell>
          <cell r="V1003">
            <v>5.8</v>
          </cell>
          <cell r="W1003">
            <v>-21.714285714285715</v>
          </cell>
          <cell r="X1003">
            <v>3.5</v>
          </cell>
          <cell r="Y1003">
            <v>-12.25</v>
          </cell>
          <cell r="Z1003">
            <v>4</v>
          </cell>
          <cell r="AA1003">
            <v>1</v>
          </cell>
          <cell r="AB1003">
            <v>118000</v>
          </cell>
          <cell r="AC1003">
            <v>-21.714285714285715</v>
          </cell>
          <cell r="AD1003">
            <v>3.5</v>
          </cell>
          <cell r="AE1003">
            <v>118000</v>
          </cell>
          <cell r="AF1003">
            <v>-21.714285714285715</v>
          </cell>
          <cell r="AG1003">
            <v>3.5</v>
          </cell>
          <cell r="AL1003">
            <v>13.3</v>
          </cell>
          <cell r="AM1003">
            <v>13.3</v>
          </cell>
        </row>
        <row r="1004">
          <cell r="J1004">
            <v>118100</v>
          </cell>
          <cell r="L1004" t="str">
            <v>@@</v>
          </cell>
          <cell r="M1004" t="str">
            <v>@@</v>
          </cell>
          <cell r="N1004" t="str">
            <v>@@</v>
          </cell>
          <cell r="O1004" t="str">
            <v>@@</v>
          </cell>
          <cell r="P1004" t="str">
            <v>@@</v>
          </cell>
          <cell r="Q1004" t="str">
            <v>@@</v>
          </cell>
          <cell r="R1004" t="str">
            <v>@@</v>
          </cell>
          <cell r="S1004" t="str">
            <v>@@</v>
          </cell>
          <cell r="AB1004" t="str">
            <v>@@</v>
          </cell>
          <cell r="AC1004">
            <v>-12.25</v>
          </cell>
          <cell r="AD1004">
            <v>4</v>
          </cell>
          <cell r="AF1004">
            <v>-12.25</v>
          </cell>
          <cell r="AG1004">
            <v>4</v>
          </cell>
          <cell r="AL1004" t="str">
            <v>@@</v>
          </cell>
        </row>
        <row r="1005">
          <cell r="J1005">
            <v>118200</v>
          </cell>
          <cell r="L1005" t="str">
            <v>@@</v>
          </cell>
          <cell r="M1005" t="str">
            <v>@@</v>
          </cell>
          <cell r="N1005" t="str">
            <v>@@</v>
          </cell>
          <cell r="O1005" t="str">
            <v>@@</v>
          </cell>
          <cell r="P1005" t="str">
            <v>@@</v>
          </cell>
          <cell r="Q1005" t="str">
            <v>@@</v>
          </cell>
          <cell r="R1005" t="str">
            <v>@@</v>
          </cell>
          <cell r="S1005" t="str">
            <v>@@</v>
          </cell>
          <cell r="AB1005" t="str">
            <v>@@</v>
          </cell>
          <cell r="AC1005" t="str">
            <v>@@</v>
          </cell>
          <cell r="AD1005" t="str">
            <v>@@</v>
          </cell>
          <cell r="AL1005" t="str">
            <v>@@</v>
          </cell>
        </row>
        <row r="1006">
          <cell r="J1006">
            <v>118300</v>
          </cell>
          <cell r="L1006" t="str">
            <v>@@</v>
          </cell>
          <cell r="M1006" t="str">
            <v>@@</v>
          </cell>
          <cell r="N1006" t="str">
            <v>@@</v>
          </cell>
          <cell r="O1006" t="str">
            <v>@@</v>
          </cell>
          <cell r="P1006" t="str">
            <v>@@</v>
          </cell>
          <cell r="Q1006" t="str">
            <v>@@</v>
          </cell>
          <cell r="R1006" t="str">
            <v>@@</v>
          </cell>
          <cell r="S1006" t="str">
            <v>@@</v>
          </cell>
          <cell r="AB1006" t="str">
            <v>@@</v>
          </cell>
          <cell r="AC1006" t="str">
            <v>@@</v>
          </cell>
          <cell r="AD1006" t="str">
            <v>@@</v>
          </cell>
          <cell r="AL1006" t="str">
            <v>@@</v>
          </cell>
        </row>
        <row r="1007">
          <cell r="J1007">
            <v>118400</v>
          </cell>
          <cell r="L1007" t="str">
            <v>@@</v>
          </cell>
          <cell r="M1007" t="str">
            <v>@@</v>
          </cell>
          <cell r="N1007" t="str">
            <v>@@</v>
          </cell>
          <cell r="O1007" t="str">
            <v>@@</v>
          </cell>
          <cell r="P1007" t="str">
            <v>@@</v>
          </cell>
          <cell r="Q1007" t="str">
            <v>@@</v>
          </cell>
          <cell r="R1007" t="str">
            <v>@@</v>
          </cell>
          <cell r="S1007" t="str">
            <v>@@</v>
          </cell>
          <cell r="AB1007" t="str">
            <v>@@</v>
          </cell>
          <cell r="AC1007" t="str">
            <v>@@</v>
          </cell>
          <cell r="AD1007" t="str">
            <v>@@</v>
          </cell>
          <cell r="AL1007" t="str">
            <v>@@</v>
          </cell>
        </row>
        <row r="1008">
          <cell r="J1008">
            <v>118500</v>
          </cell>
          <cell r="L1008" t="str">
            <v>@@</v>
          </cell>
          <cell r="M1008" t="str">
            <v>@@</v>
          </cell>
          <cell r="N1008" t="str">
            <v>@@</v>
          </cell>
          <cell r="O1008" t="str">
            <v>@@</v>
          </cell>
          <cell r="P1008" t="str">
            <v>@@</v>
          </cell>
          <cell r="Q1008" t="str">
            <v>@@</v>
          </cell>
          <cell r="R1008" t="str">
            <v>@@</v>
          </cell>
          <cell r="S1008" t="str">
            <v>@@</v>
          </cell>
          <cell r="AB1008" t="str">
            <v>@@</v>
          </cell>
          <cell r="AC1008" t="str">
            <v>@@</v>
          </cell>
          <cell r="AD1008" t="str">
            <v>@@</v>
          </cell>
          <cell r="AL1008" t="str">
            <v>@@</v>
          </cell>
        </row>
        <row r="1009">
          <cell r="J1009">
            <v>118600</v>
          </cell>
          <cell r="L1009" t="str">
            <v>@@</v>
          </cell>
          <cell r="M1009" t="str">
            <v>@@</v>
          </cell>
          <cell r="N1009" t="str">
            <v>@@</v>
          </cell>
          <cell r="O1009" t="str">
            <v>@@</v>
          </cell>
          <cell r="P1009" t="str">
            <v>@@</v>
          </cell>
          <cell r="Q1009" t="str">
            <v>@@</v>
          </cell>
          <cell r="R1009" t="str">
            <v>@@</v>
          </cell>
          <cell r="S1009" t="str">
            <v>@@</v>
          </cell>
          <cell r="AB1009" t="str">
            <v>@@</v>
          </cell>
          <cell r="AC1009" t="str">
            <v>@@</v>
          </cell>
          <cell r="AD1009" t="str">
            <v>@@</v>
          </cell>
          <cell r="AL1009" t="str">
            <v>@@</v>
          </cell>
        </row>
        <row r="1010">
          <cell r="J1010">
            <v>118700</v>
          </cell>
          <cell r="L1010" t="str">
            <v>@@</v>
          </cell>
          <cell r="M1010" t="str">
            <v>@@</v>
          </cell>
          <cell r="N1010" t="str">
            <v>@@</v>
          </cell>
          <cell r="O1010" t="str">
            <v>@@</v>
          </cell>
          <cell r="P1010" t="str">
            <v>@@</v>
          </cell>
          <cell r="Q1010" t="str">
            <v>@@</v>
          </cell>
          <cell r="R1010" t="str">
            <v>@@</v>
          </cell>
          <cell r="S1010" t="str">
            <v>@@</v>
          </cell>
          <cell r="AB1010" t="str">
            <v>@@</v>
          </cell>
          <cell r="AC1010" t="str">
            <v>@@</v>
          </cell>
          <cell r="AD1010" t="str">
            <v>@@</v>
          </cell>
          <cell r="AL1010" t="str">
            <v>@@</v>
          </cell>
        </row>
        <row r="1011">
          <cell r="J1011">
            <v>118800</v>
          </cell>
          <cell r="L1011" t="str">
            <v>@@</v>
          </cell>
          <cell r="M1011" t="str">
            <v>@@</v>
          </cell>
          <cell r="N1011" t="str">
            <v>@@</v>
          </cell>
          <cell r="O1011" t="str">
            <v>@@</v>
          </cell>
          <cell r="P1011" t="str">
            <v>@@</v>
          </cell>
          <cell r="Q1011" t="str">
            <v>@@</v>
          </cell>
          <cell r="R1011" t="str">
            <v>@@</v>
          </cell>
          <cell r="S1011" t="str">
            <v>@@</v>
          </cell>
          <cell r="AB1011" t="str">
            <v>@@</v>
          </cell>
          <cell r="AC1011" t="str">
            <v>@@</v>
          </cell>
          <cell r="AD1011" t="str">
            <v>@@</v>
          </cell>
          <cell r="AL1011" t="str">
            <v>@@</v>
          </cell>
        </row>
        <row r="1012">
          <cell r="J1012">
            <v>118900</v>
          </cell>
          <cell r="L1012" t="str">
            <v>@@</v>
          </cell>
          <cell r="M1012" t="str">
            <v>@@</v>
          </cell>
          <cell r="N1012" t="str">
            <v>@@</v>
          </cell>
          <cell r="O1012" t="str">
            <v>@@</v>
          </cell>
          <cell r="P1012" t="str">
            <v>@@</v>
          </cell>
          <cell r="Q1012" t="str">
            <v>@@</v>
          </cell>
          <cell r="R1012" t="str">
            <v>@@</v>
          </cell>
          <cell r="S1012" t="str">
            <v>@@</v>
          </cell>
          <cell r="AB1012" t="str">
            <v>@@</v>
          </cell>
          <cell r="AC1012">
            <v>-28</v>
          </cell>
          <cell r="AD1012">
            <v>4.3</v>
          </cell>
          <cell r="AF1012">
            <v>-28</v>
          </cell>
          <cell r="AG1012">
            <v>4.3</v>
          </cell>
          <cell r="AL1012" t="str">
            <v>@@</v>
          </cell>
        </row>
        <row r="1013">
          <cell r="J1013">
            <v>119000</v>
          </cell>
          <cell r="L1013">
            <v>119000</v>
          </cell>
          <cell r="M1013">
            <v>-28</v>
          </cell>
          <cell r="N1013">
            <v>4.3</v>
          </cell>
          <cell r="O1013">
            <v>-18</v>
          </cell>
          <cell r="P1013">
            <v>4.0999999999999996</v>
          </cell>
          <cell r="Q1013">
            <v>-13</v>
          </cell>
          <cell r="R1013">
            <v>3</v>
          </cell>
          <cell r="S1013">
            <v>1</v>
          </cell>
          <cell r="T1013">
            <v>119000</v>
          </cell>
          <cell r="U1013">
            <v>-28</v>
          </cell>
          <cell r="V1013">
            <v>4.3</v>
          </cell>
          <cell r="W1013">
            <v>-18</v>
          </cell>
          <cell r="X1013">
            <v>4.0999999999999996</v>
          </cell>
          <cell r="Y1013">
            <v>-13</v>
          </cell>
          <cell r="Z1013">
            <v>3</v>
          </cell>
          <cell r="AA1013">
            <v>1</v>
          </cell>
          <cell r="AB1013">
            <v>119000</v>
          </cell>
          <cell r="AC1013">
            <v>-18</v>
          </cell>
          <cell r="AD1013">
            <v>4.0999999999999996</v>
          </cell>
          <cell r="AE1013">
            <v>119000</v>
          </cell>
          <cell r="AF1013">
            <v>-18</v>
          </cell>
          <cell r="AG1013">
            <v>4.0999999999999996</v>
          </cell>
          <cell r="AL1013">
            <v>11.399999999999999</v>
          </cell>
          <cell r="AM1013">
            <v>11.4</v>
          </cell>
        </row>
        <row r="1014">
          <cell r="J1014">
            <v>119100</v>
          </cell>
          <cell r="L1014" t="str">
            <v>@@</v>
          </cell>
          <cell r="M1014" t="str">
            <v>@@</v>
          </cell>
          <cell r="N1014" t="str">
            <v>@@</v>
          </cell>
          <cell r="O1014" t="str">
            <v>@@</v>
          </cell>
          <cell r="P1014" t="str">
            <v>@@</v>
          </cell>
          <cell r="Q1014" t="str">
            <v>@@</v>
          </cell>
          <cell r="R1014" t="str">
            <v>@@</v>
          </cell>
          <cell r="S1014" t="str">
            <v>@@</v>
          </cell>
          <cell r="AB1014" t="str">
            <v>@@</v>
          </cell>
          <cell r="AC1014">
            <v>-13</v>
          </cell>
          <cell r="AD1014">
            <v>3</v>
          </cell>
          <cell r="AF1014">
            <v>-13</v>
          </cell>
          <cell r="AG1014">
            <v>3</v>
          </cell>
          <cell r="AL1014" t="str">
            <v>@@</v>
          </cell>
        </row>
        <row r="1015">
          <cell r="J1015">
            <v>119200</v>
          </cell>
          <cell r="L1015" t="str">
            <v>@@</v>
          </cell>
          <cell r="M1015" t="str">
            <v>@@</v>
          </cell>
          <cell r="N1015" t="str">
            <v>@@</v>
          </cell>
          <cell r="O1015" t="str">
            <v>@@</v>
          </cell>
          <cell r="P1015" t="str">
            <v>@@</v>
          </cell>
          <cell r="Q1015" t="str">
            <v>@@</v>
          </cell>
          <cell r="R1015" t="str">
            <v>@@</v>
          </cell>
          <cell r="S1015" t="str">
            <v>@@</v>
          </cell>
          <cell r="AB1015" t="str">
            <v>@@</v>
          </cell>
          <cell r="AC1015" t="str">
            <v>@@</v>
          </cell>
          <cell r="AD1015" t="str">
            <v>@@</v>
          </cell>
          <cell r="AL1015" t="str">
            <v>@@</v>
          </cell>
        </row>
        <row r="1016">
          <cell r="J1016">
            <v>119300</v>
          </cell>
          <cell r="L1016" t="str">
            <v>@@</v>
          </cell>
          <cell r="M1016" t="str">
            <v>@@</v>
          </cell>
          <cell r="N1016" t="str">
            <v>@@</v>
          </cell>
          <cell r="O1016" t="str">
            <v>@@</v>
          </cell>
          <cell r="P1016" t="str">
            <v>@@</v>
          </cell>
          <cell r="Q1016" t="str">
            <v>@@</v>
          </cell>
          <cell r="R1016" t="str">
            <v>@@</v>
          </cell>
          <cell r="S1016" t="str">
            <v>@@</v>
          </cell>
          <cell r="AB1016" t="str">
            <v>@@</v>
          </cell>
          <cell r="AC1016" t="str">
            <v>@@</v>
          </cell>
          <cell r="AD1016" t="str">
            <v>@@</v>
          </cell>
          <cell r="AL1016" t="str">
            <v>@@</v>
          </cell>
        </row>
        <row r="1017">
          <cell r="J1017">
            <v>119400</v>
          </cell>
          <cell r="L1017" t="str">
            <v>@@</v>
          </cell>
          <cell r="M1017" t="str">
            <v>@@</v>
          </cell>
          <cell r="N1017" t="str">
            <v>@@</v>
          </cell>
          <cell r="O1017" t="str">
            <v>@@</v>
          </cell>
          <cell r="P1017" t="str">
            <v>@@</v>
          </cell>
          <cell r="Q1017" t="str">
            <v>@@</v>
          </cell>
          <cell r="R1017" t="str">
            <v>@@</v>
          </cell>
          <cell r="S1017" t="str">
            <v>@@</v>
          </cell>
          <cell r="AB1017" t="str">
            <v>@@</v>
          </cell>
          <cell r="AC1017" t="str">
            <v>@@</v>
          </cell>
          <cell r="AD1017" t="str">
            <v>@@</v>
          </cell>
          <cell r="AL1017" t="str">
            <v>@@</v>
          </cell>
        </row>
        <row r="1018">
          <cell r="J1018">
            <v>119500</v>
          </cell>
          <cell r="L1018" t="str">
            <v>@@</v>
          </cell>
          <cell r="M1018" t="str">
            <v>@@</v>
          </cell>
          <cell r="N1018" t="str">
            <v>@@</v>
          </cell>
          <cell r="O1018" t="str">
            <v>@@</v>
          </cell>
          <cell r="P1018" t="str">
            <v>@@</v>
          </cell>
          <cell r="Q1018" t="str">
            <v>@@</v>
          </cell>
          <cell r="R1018" t="str">
            <v>@@</v>
          </cell>
          <cell r="S1018" t="str">
            <v>@@</v>
          </cell>
          <cell r="AB1018" t="str">
            <v>@@</v>
          </cell>
          <cell r="AC1018" t="str">
            <v>@@</v>
          </cell>
          <cell r="AD1018" t="str">
            <v>@@</v>
          </cell>
          <cell r="AL1018" t="str">
            <v>@@</v>
          </cell>
        </row>
        <row r="1019">
          <cell r="J1019">
            <v>119600</v>
          </cell>
          <cell r="L1019" t="str">
            <v>@@</v>
          </cell>
          <cell r="M1019" t="str">
            <v>@@</v>
          </cell>
          <cell r="N1019" t="str">
            <v>@@</v>
          </cell>
          <cell r="O1019" t="str">
            <v>@@</v>
          </cell>
          <cell r="P1019" t="str">
            <v>@@</v>
          </cell>
          <cell r="Q1019" t="str">
            <v>@@</v>
          </cell>
          <cell r="R1019" t="str">
            <v>@@</v>
          </cell>
          <cell r="S1019" t="str">
            <v>@@</v>
          </cell>
          <cell r="AB1019" t="str">
            <v>@@</v>
          </cell>
          <cell r="AC1019" t="str">
            <v>@@</v>
          </cell>
          <cell r="AD1019" t="str">
            <v>@@</v>
          </cell>
          <cell r="AL1019" t="str">
            <v>@@</v>
          </cell>
        </row>
        <row r="1020">
          <cell r="J1020">
            <v>119700</v>
          </cell>
          <cell r="L1020" t="str">
            <v>@@</v>
          </cell>
          <cell r="M1020" t="str">
            <v>@@</v>
          </cell>
          <cell r="N1020" t="str">
            <v>@@</v>
          </cell>
          <cell r="O1020" t="str">
            <v>@@</v>
          </cell>
          <cell r="P1020" t="str">
            <v>@@</v>
          </cell>
          <cell r="Q1020" t="str">
            <v>@@</v>
          </cell>
          <cell r="R1020" t="str">
            <v>@@</v>
          </cell>
          <cell r="S1020" t="str">
            <v>@@</v>
          </cell>
          <cell r="AB1020" t="str">
            <v>@@</v>
          </cell>
          <cell r="AC1020" t="str">
            <v>@@</v>
          </cell>
          <cell r="AD1020" t="str">
            <v>@@</v>
          </cell>
          <cell r="AL1020" t="str">
            <v>@@</v>
          </cell>
        </row>
        <row r="1021">
          <cell r="J1021">
            <v>119800</v>
          </cell>
          <cell r="L1021" t="str">
            <v>@@</v>
          </cell>
          <cell r="M1021" t="str">
            <v>@@</v>
          </cell>
          <cell r="N1021" t="str">
            <v>@@</v>
          </cell>
          <cell r="O1021" t="str">
            <v>@@</v>
          </cell>
          <cell r="P1021" t="str">
            <v>@@</v>
          </cell>
          <cell r="Q1021" t="str">
            <v>@@</v>
          </cell>
          <cell r="R1021" t="str">
            <v>@@</v>
          </cell>
          <cell r="S1021" t="str">
            <v>@@</v>
          </cell>
          <cell r="AB1021" t="str">
            <v>@@</v>
          </cell>
          <cell r="AC1021" t="str">
            <v>@@</v>
          </cell>
          <cell r="AD1021" t="str">
            <v>@@</v>
          </cell>
          <cell r="AL1021" t="str">
            <v>@@</v>
          </cell>
        </row>
        <row r="1022">
          <cell r="J1022">
            <v>119900</v>
          </cell>
          <cell r="L1022" t="str">
            <v>@@</v>
          </cell>
          <cell r="M1022" t="str">
            <v>@@</v>
          </cell>
          <cell r="N1022" t="str">
            <v>@@</v>
          </cell>
          <cell r="O1022" t="str">
            <v>@@</v>
          </cell>
          <cell r="P1022" t="str">
            <v>@@</v>
          </cell>
          <cell r="Q1022" t="str">
            <v>@@</v>
          </cell>
          <cell r="R1022" t="str">
            <v>@@</v>
          </cell>
          <cell r="S1022" t="str">
            <v>@@</v>
          </cell>
          <cell r="AB1022" t="str">
            <v>@@</v>
          </cell>
          <cell r="AC1022">
            <v>-11.8</v>
          </cell>
          <cell r="AD1022">
            <v>5</v>
          </cell>
          <cell r="AF1022">
            <v>-11.8</v>
          </cell>
          <cell r="AG1022">
            <v>5</v>
          </cell>
          <cell r="AL1022" t="str">
            <v>@@</v>
          </cell>
        </row>
        <row r="1023">
          <cell r="J1023">
            <v>120000</v>
          </cell>
          <cell r="L1023">
            <v>120000</v>
          </cell>
          <cell r="M1023">
            <v>-11.8</v>
          </cell>
          <cell r="N1023">
            <v>5</v>
          </cell>
          <cell r="O1023">
            <v>-24.285714285714285</v>
          </cell>
          <cell r="P1023">
            <v>3.5</v>
          </cell>
          <cell r="Q1023">
            <v>-15.2</v>
          </cell>
          <cell r="R1023">
            <v>5.2</v>
          </cell>
          <cell r="S1023">
            <v>1</v>
          </cell>
          <cell r="T1023">
            <v>120000</v>
          </cell>
          <cell r="U1023">
            <v>-11.8</v>
          </cell>
          <cell r="V1023">
            <v>5</v>
          </cell>
          <cell r="W1023">
            <v>-24.285714285714285</v>
          </cell>
          <cell r="X1023">
            <v>3.5</v>
          </cell>
          <cell r="Y1023">
            <v>-15.2</v>
          </cell>
          <cell r="Z1023">
            <v>5.2</v>
          </cell>
          <cell r="AA1023">
            <v>1</v>
          </cell>
          <cell r="AB1023">
            <v>120000</v>
          </cell>
          <cell r="AC1023">
            <v>-24.285714285714285</v>
          </cell>
          <cell r="AD1023">
            <v>3.5</v>
          </cell>
          <cell r="AE1023">
            <v>120000</v>
          </cell>
          <cell r="AF1023">
            <v>-24.285714285714285</v>
          </cell>
          <cell r="AG1023">
            <v>3.5</v>
          </cell>
          <cell r="AL1023">
            <v>13.7</v>
          </cell>
          <cell r="AM1023">
            <v>13.7</v>
          </cell>
        </row>
        <row r="1024">
          <cell r="J1024">
            <v>120100</v>
          </cell>
          <cell r="L1024" t="str">
            <v>@@</v>
          </cell>
          <cell r="M1024" t="str">
            <v>@@</v>
          </cell>
          <cell r="N1024" t="str">
            <v>@@</v>
          </cell>
          <cell r="O1024" t="str">
            <v>@@</v>
          </cell>
          <cell r="P1024" t="str">
            <v>@@</v>
          </cell>
          <cell r="Q1024" t="str">
            <v>@@</v>
          </cell>
          <cell r="R1024" t="str">
            <v>@@</v>
          </cell>
          <cell r="S1024" t="str">
            <v>@@</v>
          </cell>
          <cell r="AB1024" t="str">
            <v>@@</v>
          </cell>
          <cell r="AC1024">
            <v>-15.2</v>
          </cell>
          <cell r="AD1024">
            <v>5.2</v>
          </cell>
          <cell r="AF1024">
            <v>-15.2</v>
          </cell>
          <cell r="AG1024">
            <v>5.2</v>
          </cell>
          <cell r="AL1024" t="str">
            <v>@@</v>
          </cell>
        </row>
        <row r="1025">
          <cell r="J1025">
            <v>120200</v>
          </cell>
          <cell r="L1025" t="str">
            <v>@@</v>
          </cell>
          <cell r="M1025" t="str">
            <v>@@</v>
          </cell>
          <cell r="N1025" t="str">
            <v>@@</v>
          </cell>
          <cell r="O1025" t="str">
            <v>@@</v>
          </cell>
          <cell r="P1025" t="str">
            <v>@@</v>
          </cell>
          <cell r="Q1025" t="str">
            <v>@@</v>
          </cell>
          <cell r="R1025" t="str">
            <v>@@</v>
          </cell>
          <cell r="S1025" t="str">
            <v>@@</v>
          </cell>
          <cell r="AB1025" t="str">
            <v>@@</v>
          </cell>
          <cell r="AC1025" t="str">
            <v>@@</v>
          </cell>
          <cell r="AD1025" t="str">
            <v>@@</v>
          </cell>
          <cell r="AL1025" t="str">
            <v>@@</v>
          </cell>
        </row>
        <row r="1026">
          <cell r="J1026">
            <v>120300</v>
          </cell>
          <cell r="L1026" t="str">
            <v>@@</v>
          </cell>
          <cell r="M1026" t="str">
            <v>@@</v>
          </cell>
          <cell r="N1026" t="str">
            <v>@@</v>
          </cell>
          <cell r="O1026" t="str">
            <v>@@</v>
          </cell>
          <cell r="P1026" t="str">
            <v>@@</v>
          </cell>
          <cell r="Q1026" t="str">
            <v>@@</v>
          </cell>
          <cell r="R1026" t="str">
            <v>@@</v>
          </cell>
          <cell r="S1026" t="str">
            <v>@@</v>
          </cell>
          <cell r="AB1026" t="str">
            <v>@@</v>
          </cell>
          <cell r="AC1026" t="str">
            <v>@@</v>
          </cell>
          <cell r="AD1026" t="str">
            <v>@@</v>
          </cell>
          <cell r="AL1026" t="str">
            <v>@@</v>
          </cell>
        </row>
        <row r="1027">
          <cell r="J1027">
            <v>120400</v>
          </cell>
          <cell r="L1027" t="str">
            <v>@@</v>
          </cell>
          <cell r="M1027" t="str">
            <v>@@</v>
          </cell>
          <cell r="N1027" t="str">
            <v>@@</v>
          </cell>
          <cell r="O1027" t="str">
            <v>@@</v>
          </cell>
          <cell r="P1027" t="str">
            <v>@@</v>
          </cell>
          <cell r="Q1027" t="str">
            <v>@@</v>
          </cell>
          <cell r="R1027" t="str">
            <v>@@</v>
          </cell>
          <cell r="S1027" t="str">
            <v>@@</v>
          </cell>
          <cell r="AB1027" t="str">
            <v>@@</v>
          </cell>
          <cell r="AC1027" t="str">
            <v>@@</v>
          </cell>
          <cell r="AD1027" t="str">
            <v>@@</v>
          </cell>
          <cell r="AL1027" t="str">
            <v>@@</v>
          </cell>
        </row>
        <row r="1028">
          <cell r="J1028">
            <v>120500</v>
          </cell>
          <cell r="L1028" t="str">
            <v>@@</v>
          </cell>
          <cell r="M1028" t="str">
            <v>@@</v>
          </cell>
          <cell r="N1028" t="str">
            <v>@@</v>
          </cell>
          <cell r="O1028" t="str">
            <v>@@</v>
          </cell>
          <cell r="P1028" t="str">
            <v>@@</v>
          </cell>
          <cell r="Q1028" t="str">
            <v>@@</v>
          </cell>
          <cell r="R1028" t="str">
            <v>@@</v>
          </cell>
          <cell r="S1028" t="str">
            <v>@@</v>
          </cell>
          <cell r="AB1028" t="str">
            <v>@@</v>
          </cell>
          <cell r="AC1028" t="str">
            <v>@@</v>
          </cell>
          <cell r="AD1028" t="str">
            <v>@@</v>
          </cell>
          <cell r="AL1028" t="str">
            <v>@@</v>
          </cell>
        </row>
        <row r="1029">
          <cell r="J1029">
            <v>120600</v>
          </cell>
          <cell r="L1029" t="str">
            <v>@@</v>
          </cell>
          <cell r="M1029" t="str">
            <v>@@</v>
          </cell>
          <cell r="N1029" t="str">
            <v>@@</v>
          </cell>
          <cell r="O1029" t="str">
            <v>@@</v>
          </cell>
          <cell r="P1029" t="str">
            <v>@@</v>
          </cell>
          <cell r="Q1029" t="str">
            <v>@@</v>
          </cell>
          <cell r="R1029" t="str">
            <v>@@</v>
          </cell>
          <cell r="S1029" t="str">
            <v>@@</v>
          </cell>
          <cell r="AB1029" t="str">
            <v>@@</v>
          </cell>
          <cell r="AC1029" t="str">
            <v>@@</v>
          </cell>
          <cell r="AD1029" t="str">
            <v>@@</v>
          </cell>
          <cell r="AL1029" t="str">
            <v>@@</v>
          </cell>
        </row>
        <row r="1030">
          <cell r="J1030">
            <v>120700</v>
          </cell>
          <cell r="L1030" t="str">
            <v>@@</v>
          </cell>
          <cell r="M1030" t="str">
            <v>@@</v>
          </cell>
          <cell r="N1030" t="str">
            <v>@@</v>
          </cell>
          <cell r="O1030" t="str">
            <v>@@</v>
          </cell>
          <cell r="P1030" t="str">
            <v>@@</v>
          </cell>
          <cell r="Q1030" t="str">
            <v>@@</v>
          </cell>
          <cell r="R1030" t="str">
            <v>@@</v>
          </cell>
          <cell r="S1030" t="str">
            <v>@@</v>
          </cell>
          <cell r="AB1030" t="str">
            <v>@@</v>
          </cell>
          <cell r="AC1030" t="str">
            <v>@@</v>
          </cell>
          <cell r="AD1030" t="str">
            <v>@@</v>
          </cell>
          <cell r="AL1030" t="str">
            <v>@@</v>
          </cell>
        </row>
        <row r="1031">
          <cell r="J1031">
            <v>120800</v>
          </cell>
          <cell r="L1031" t="str">
            <v>@@</v>
          </cell>
          <cell r="M1031" t="str">
            <v>@@</v>
          </cell>
          <cell r="N1031" t="str">
            <v>@@</v>
          </cell>
          <cell r="O1031" t="str">
            <v>@@</v>
          </cell>
          <cell r="P1031" t="str">
            <v>@@</v>
          </cell>
          <cell r="Q1031" t="str">
            <v>@@</v>
          </cell>
          <cell r="R1031" t="str">
            <v>@@</v>
          </cell>
          <cell r="S1031" t="str">
            <v>@@</v>
          </cell>
          <cell r="AB1031" t="str">
            <v>@@</v>
          </cell>
          <cell r="AC1031" t="str">
            <v>@@</v>
          </cell>
          <cell r="AD1031" t="str">
            <v>@@</v>
          </cell>
          <cell r="AL1031" t="str">
            <v>@@</v>
          </cell>
        </row>
        <row r="1032">
          <cell r="J1032">
            <v>120900</v>
          </cell>
          <cell r="L1032" t="str">
            <v>@@</v>
          </cell>
          <cell r="M1032" t="str">
            <v>@@</v>
          </cell>
          <cell r="N1032" t="str">
            <v>@@</v>
          </cell>
          <cell r="O1032" t="str">
            <v>@@</v>
          </cell>
          <cell r="P1032" t="str">
            <v>@@</v>
          </cell>
          <cell r="Q1032" t="str">
            <v>@@</v>
          </cell>
          <cell r="R1032" t="str">
            <v>@@</v>
          </cell>
          <cell r="S1032" t="str">
            <v>@@</v>
          </cell>
          <cell r="AB1032" t="str">
            <v>@@</v>
          </cell>
          <cell r="AC1032">
            <v>-14.222222222222221</v>
          </cell>
          <cell r="AD1032">
            <v>4.5</v>
          </cell>
          <cell r="AF1032">
            <v>-14.222222222222221</v>
          </cell>
          <cell r="AG1032">
            <v>4.5</v>
          </cell>
          <cell r="AL1032" t="str">
            <v>@@</v>
          </cell>
        </row>
        <row r="1033">
          <cell r="J1033">
            <v>121000</v>
          </cell>
          <cell r="L1033">
            <v>121000</v>
          </cell>
          <cell r="M1033">
            <v>-14.222222222222221</v>
          </cell>
          <cell r="N1033">
            <v>4.5</v>
          </cell>
          <cell r="O1033">
            <v>-21.111111111111111</v>
          </cell>
          <cell r="P1033">
            <v>4.7</v>
          </cell>
          <cell r="Q1033">
            <v>-20.25</v>
          </cell>
          <cell r="R1033">
            <v>4.0999999999999996</v>
          </cell>
          <cell r="S1033">
            <v>1</v>
          </cell>
          <cell r="T1033">
            <v>121000</v>
          </cell>
          <cell r="U1033">
            <v>-14.222222222222221</v>
          </cell>
          <cell r="V1033">
            <v>4.5</v>
          </cell>
          <cell r="W1033">
            <v>-21.111111111111111</v>
          </cell>
          <cell r="X1033">
            <v>4.7</v>
          </cell>
          <cell r="Y1033">
            <v>-20.25</v>
          </cell>
          <cell r="Z1033">
            <v>4.0999999999999996</v>
          </cell>
          <cell r="AA1033">
            <v>1</v>
          </cell>
          <cell r="AB1033">
            <v>121000</v>
          </cell>
          <cell r="AC1033">
            <v>-21.111111111111111</v>
          </cell>
          <cell r="AD1033">
            <v>4.7</v>
          </cell>
          <cell r="AE1033">
            <v>121000</v>
          </cell>
          <cell r="AF1033">
            <v>-21.111111111111111</v>
          </cell>
          <cell r="AG1033">
            <v>4.7</v>
          </cell>
          <cell r="AL1033">
            <v>13.299999999999999</v>
          </cell>
          <cell r="AM1033">
            <v>13.3</v>
          </cell>
        </row>
        <row r="1034">
          <cell r="J1034">
            <v>121100</v>
          </cell>
          <cell r="L1034" t="str">
            <v>@@</v>
          </cell>
          <cell r="M1034" t="str">
            <v>@@</v>
          </cell>
          <cell r="N1034" t="str">
            <v>@@</v>
          </cell>
          <cell r="O1034" t="str">
            <v>@@</v>
          </cell>
          <cell r="P1034" t="str">
            <v>@@</v>
          </cell>
          <cell r="Q1034" t="str">
            <v>@@</v>
          </cell>
          <cell r="R1034" t="str">
            <v>@@</v>
          </cell>
          <cell r="S1034" t="str">
            <v>@@</v>
          </cell>
          <cell r="AB1034" t="str">
            <v>@@</v>
          </cell>
          <cell r="AC1034">
            <v>-20.25</v>
          </cell>
          <cell r="AD1034">
            <v>4.0999999999999996</v>
          </cell>
          <cell r="AF1034">
            <v>-20.25</v>
          </cell>
          <cell r="AG1034">
            <v>4.0999999999999996</v>
          </cell>
          <cell r="AL1034" t="str">
            <v>@@</v>
          </cell>
        </row>
        <row r="1035">
          <cell r="J1035">
            <v>121200</v>
          </cell>
          <cell r="L1035" t="str">
            <v>@@</v>
          </cell>
          <cell r="M1035" t="str">
            <v>@@</v>
          </cell>
          <cell r="N1035" t="str">
            <v>@@</v>
          </cell>
          <cell r="O1035" t="str">
            <v>@@</v>
          </cell>
          <cell r="P1035" t="str">
            <v>@@</v>
          </cell>
          <cell r="Q1035" t="str">
            <v>@@</v>
          </cell>
          <cell r="R1035" t="str">
            <v>@@</v>
          </cell>
          <cell r="S1035" t="str">
            <v>@@</v>
          </cell>
          <cell r="AB1035" t="str">
            <v>@@</v>
          </cell>
          <cell r="AC1035" t="str">
            <v>@@</v>
          </cell>
          <cell r="AD1035" t="str">
            <v>@@</v>
          </cell>
          <cell r="AL1035" t="str">
            <v>@@</v>
          </cell>
        </row>
        <row r="1036">
          <cell r="J1036">
            <v>121300</v>
          </cell>
          <cell r="L1036" t="str">
            <v>@@</v>
          </cell>
          <cell r="M1036" t="str">
            <v>@@</v>
          </cell>
          <cell r="N1036" t="str">
            <v>@@</v>
          </cell>
          <cell r="O1036" t="str">
            <v>@@</v>
          </cell>
          <cell r="P1036" t="str">
            <v>@@</v>
          </cell>
          <cell r="Q1036" t="str">
            <v>@@</v>
          </cell>
          <cell r="R1036" t="str">
            <v>@@</v>
          </cell>
          <cell r="S1036" t="str">
            <v>@@</v>
          </cell>
          <cell r="AB1036" t="str">
            <v>@@</v>
          </cell>
          <cell r="AC1036" t="str">
            <v>@@</v>
          </cell>
          <cell r="AD1036" t="str">
            <v>@@</v>
          </cell>
          <cell r="AL1036" t="str">
            <v>@@</v>
          </cell>
        </row>
        <row r="1037">
          <cell r="J1037">
            <v>121400</v>
          </cell>
          <cell r="L1037" t="str">
            <v>@@</v>
          </cell>
          <cell r="M1037" t="str">
            <v>@@</v>
          </cell>
          <cell r="N1037" t="str">
            <v>@@</v>
          </cell>
          <cell r="O1037" t="str">
            <v>@@</v>
          </cell>
          <cell r="P1037" t="str">
            <v>@@</v>
          </cell>
          <cell r="Q1037" t="str">
            <v>@@</v>
          </cell>
          <cell r="R1037" t="str">
            <v>@@</v>
          </cell>
          <cell r="S1037" t="str">
            <v>@@</v>
          </cell>
          <cell r="AB1037" t="str">
            <v>@@</v>
          </cell>
          <cell r="AC1037" t="str">
            <v>@@</v>
          </cell>
          <cell r="AD1037" t="str">
            <v>@@</v>
          </cell>
          <cell r="AL1037" t="str">
            <v>@@</v>
          </cell>
        </row>
        <row r="1038">
          <cell r="J1038">
            <v>121500</v>
          </cell>
          <cell r="L1038" t="str">
            <v>@@</v>
          </cell>
          <cell r="M1038" t="str">
            <v>@@</v>
          </cell>
          <cell r="N1038" t="str">
            <v>@@</v>
          </cell>
          <cell r="O1038" t="str">
            <v>@@</v>
          </cell>
          <cell r="P1038" t="str">
            <v>@@</v>
          </cell>
          <cell r="Q1038" t="str">
            <v>@@</v>
          </cell>
          <cell r="R1038" t="str">
            <v>@@</v>
          </cell>
          <cell r="S1038" t="str">
            <v>@@</v>
          </cell>
          <cell r="AB1038" t="str">
            <v>@@</v>
          </cell>
          <cell r="AC1038" t="str">
            <v>@@</v>
          </cell>
          <cell r="AD1038" t="str">
            <v>@@</v>
          </cell>
          <cell r="AL1038" t="str">
            <v>@@</v>
          </cell>
        </row>
        <row r="1039">
          <cell r="J1039">
            <v>121600</v>
          </cell>
          <cell r="L1039" t="str">
            <v>@@</v>
          </cell>
          <cell r="M1039" t="str">
            <v>@@</v>
          </cell>
          <cell r="N1039" t="str">
            <v>@@</v>
          </cell>
          <cell r="O1039" t="str">
            <v>@@</v>
          </cell>
          <cell r="P1039" t="str">
            <v>@@</v>
          </cell>
          <cell r="Q1039" t="str">
            <v>@@</v>
          </cell>
          <cell r="R1039" t="str">
            <v>@@</v>
          </cell>
          <cell r="S1039" t="str">
            <v>@@</v>
          </cell>
          <cell r="AB1039" t="str">
            <v>@@</v>
          </cell>
          <cell r="AC1039" t="str">
            <v>@@</v>
          </cell>
          <cell r="AD1039" t="str">
            <v>@@</v>
          </cell>
          <cell r="AL1039" t="str">
            <v>@@</v>
          </cell>
        </row>
        <row r="1040">
          <cell r="J1040">
            <v>121700</v>
          </cell>
          <cell r="L1040" t="str">
            <v>@@</v>
          </cell>
          <cell r="M1040" t="str">
            <v>@@</v>
          </cell>
          <cell r="N1040" t="str">
            <v>@@</v>
          </cell>
          <cell r="O1040" t="str">
            <v>@@</v>
          </cell>
          <cell r="P1040" t="str">
            <v>@@</v>
          </cell>
          <cell r="Q1040" t="str">
            <v>@@</v>
          </cell>
          <cell r="R1040" t="str">
            <v>@@</v>
          </cell>
          <cell r="S1040" t="str">
            <v>@@</v>
          </cell>
          <cell r="AB1040" t="str">
            <v>@@</v>
          </cell>
          <cell r="AC1040" t="str">
            <v>@@</v>
          </cell>
          <cell r="AD1040" t="str">
            <v>@@</v>
          </cell>
          <cell r="AL1040" t="str">
            <v>@@</v>
          </cell>
        </row>
        <row r="1041">
          <cell r="J1041">
            <v>121800</v>
          </cell>
          <cell r="L1041" t="str">
            <v>@@</v>
          </cell>
          <cell r="M1041" t="str">
            <v>@@</v>
          </cell>
          <cell r="N1041" t="str">
            <v>@@</v>
          </cell>
          <cell r="O1041" t="str">
            <v>@@</v>
          </cell>
          <cell r="P1041" t="str">
            <v>@@</v>
          </cell>
          <cell r="Q1041" t="str">
            <v>@@</v>
          </cell>
          <cell r="R1041" t="str">
            <v>@@</v>
          </cell>
          <cell r="S1041" t="str">
            <v>@@</v>
          </cell>
          <cell r="AB1041" t="str">
            <v>@@</v>
          </cell>
          <cell r="AC1041" t="str">
            <v>@@</v>
          </cell>
          <cell r="AD1041" t="str">
            <v>@@</v>
          </cell>
          <cell r="AL1041" t="str">
            <v>@@</v>
          </cell>
        </row>
        <row r="1042">
          <cell r="J1042">
            <v>121900</v>
          </cell>
          <cell r="L1042" t="str">
            <v>@@</v>
          </cell>
          <cell r="M1042" t="str">
            <v>@@</v>
          </cell>
          <cell r="N1042" t="str">
            <v>@@</v>
          </cell>
          <cell r="O1042" t="str">
            <v>@@</v>
          </cell>
          <cell r="P1042" t="str">
            <v>@@</v>
          </cell>
          <cell r="Q1042" t="str">
            <v>@@</v>
          </cell>
          <cell r="R1042" t="str">
            <v>@@</v>
          </cell>
          <cell r="S1042" t="str">
            <v>@@</v>
          </cell>
          <cell r="AB1042" t="str">
            <v>@@</v>
          </cell>
          <cell r="AC1042">
            <v>-5.8</v>
          </cell>
          <cell r="AD1042">
            <v>5.5</v>
          </cell>
          <cell r="AF1042">
            <v>-5.8</v>
          </cell>
          <cell r="AG1042">
            <v>5.5</v>
          </cell>
          <cell r="AL1042" t="str">
            <v>@@</v>
          </cell>
        </row>
        <row r="1043">
          <cell r="J1043">
            <v>122000</v>
          </cell>
          <cell r="L1043">
            <v>122000</v>
          </cell>
          <cell r="M1043">
            <v>-5.8</v>
          </cell>
          <cell r="N1043">
            <v>5.5</v>
          </cell>
          <cell r="O1043">
            <v>-10.666666666666668</v>
          </cell>
          <cell r="P1043">
            <v>3</v>
          </cell>
          <cell r="Q1043">
            <v>-7.6666666666666661</v>
          </cell>
          <cell r="R1043">
            <v>3.1</v>
          </cell>
          <cell r="S1043">
            <v>1</v>
          </cell>
          <cell r="T1043">
            <v>122000</v>
          </cell>
          <cell r="U1043">
            <v>-5.8</v>
          </cell>
          <cell r="V1043">
            <v>5.5</v>
          </cell>
          <cell r="W1043">
            <v>-10.666666666666668</v>
          </cell>
          <cell r="X1043">
            <v>3</v>
          </cell>
          <cell r="Y1043">
            <v>-7.6666666666666661</v>
          </cell>
          <cell r="Z1043">
            <v>3.1</v>
          </cell>
          <cell r="AA1043">
            <v>1</v>
          </cell>
          <cell r="AB1043">
            <v>122000</v>
          </cell>
          <cell r="AC1043">
            <v>-10.666666666666668</v>
          </cell>
          <cell r="AD1043">
            <v>3</v>
          </cell>
          <cell r="AE1043">
            <v>122000</v>
          </cell>
          <cell r="AF1043">
            <v>-10.666666666666668</v>
          </cell>
          <cell r="AG1043">
            <v>3</v>
          </cell>
          <cell r="AL1043">
            <v>11.6</v>
          </cell>
          <cell r="AM1043">
            <v>11.6</v>
          </cell>
        </row>
        <row r="1044">
          <cell r="J1044">
            <v>122100</v>
          </cell>
          <cell r="L1044" t="str">
            <v>@@</v>
          </cell>
          <cell r="M1044" t="str">
            <v>@@</v>
          </cell>
          <cell r="N1044" t="str">
            <v>@@</v>
          </cell>
          <cell r="O1044" t="str">
            <v>@@</v>
          </cell>
          <cell r="P1044" t="str">
            <v>@@</v>
          </cell>
          <cell r="Q1044" t="str">
            <v>@@</v>
          </cell>
          <cell r="R1044" t="str">
            <v>@@</v>
          </cell>
          <cell r="S1044" t="str">
            <v>@@</v>
          </cell>
          <cell r="AB1044" t="str">
            <v>@@</v>
          </cell>
          <cell r="AC1044">
            <v>-7.6666666666666661</v>
          </cell>
          <cell r="AD1044">
            <v>3.1</v>
          </cell>
          <cell r="AF1044">
            <v>-7.6666666666666661</v>
          </cell>
          <cell r="AG1044">
            <v>3.1</v>
          </cell>
          <cell r="AL1044" t="str">
            <v>@@</v>
          </cell>
        </row>
        <row r="1045">
          <cell r="J1045">
            <v>122200</v>
          </cell>
          <cell r="L1045" t="str">
            <v>@@</v>
          </cell>
          <cell r="M1045" t="str">
            <v>@@</v>
          </cell>
          <cell r="N1045" t="str">
            <v>@@</v>
          </cell>
          <cell r="O1045" t="str">
            <v>@@</v>
          </cell>
          <cell r="P1045" t="str">
            <v>@@</v>
          </cell>
          <cell r="Q1045" t="str">
            <v>@@</v>
          </cell>
          <cell r="R1045" t="str">
            <v>@@</v>
          </cell>
          <cell r="S1045" t="str">
            <v>@@</v>
          </cell>
          <cell r="AB1045" t="str">
            <v>@@</v>
          </cell>
          <cell r="AC1045" t="str">
            <v>@@</v>
          </cell>
          <cell r="AD1045" t="str">
            <v>@@</v>
          </cell>
          <cell r="AL1045" t="str">
            <v>@@</v>
          </cell>
        </row>
        <row r="1046">
          <cell r="J1046">
            <v>122300</v>
          </cell>
          <cell r="L1046" t="str">
            <v>@@</v>
          </cell>
          <cell r="M1046" t="str">
            <v>@@</v>
          </cell>
          <cell r="N1046" t="str">
            <v>@@</v>
          </cell>
          <cell r="O1046" t="str">
            <v>@@</v>
          </cell>
          <cell r="P1046" t="str">
            <v>@@</v>
          </cell>
          <cell r="Q1046" t="str">
            <v>@@</v>
          </cell>
          <cell r="R1046" t="str">
            <v>@@</v>
          </cell>
          <cell r="S1046" t="str">
            <v>@@</v>
          </cell>
          <cell r="AB1046" t="str">
            <v>@@</v>
          </cell>
          <cell r="AC1046" t="str">
            <v>@@</v>
          </cell>
          <cell r="AD1046" t="str">
            <v>@@</v>
          </cell>
          <cell r="AL1046" t="str">
            <v>@@</v>
          </cell>
        </row>
        <row r="1047">
          <cell r="J1047">
            <v>122400</v>
          </cell>
          <cell r="L1047" t="str">
            <v>@@</v>
          </cell>
          <cell r="M1047" t="str">
            <v>@@</v>
          </cell>
          <cell r="N1047" t="str">
            <v>@@</v>
          </cell>
          <cell r="O1047" t="str">
            <v>@@</v>
          </cell>
          <cell r="P1047" t="str">
            <v>@@</v>
          </cell>
          <cell r="Q1047" t="str">
            <v>@@</v>
          </cell>
          <cell r="R1047" t="str">
            <v>@@</v>
          </cell>
          <cell r="S1047" t="str">
            <v>@@</v>
          </cell>
          <cell r="AB1047" t="str">
            <v>@@</v>
          </cell>
          <cell r="AC1047" t="str">
            <v>@@</v>
          </cell>
          <cell r="AD1047" t="str">
            <v>@@</v>
          </cell>
          <cell r="AL1047" t="str">
            <v>@@</v>
          </cell>
        </row>
        <row r="1048">
          <cell r="J1048">
            <v>122500</v>
          </cell>
          <cell r="L1048" t="str">
            <v>@@</v>
          </cell>
          <cell r="M1048" t="str">
            <v>@@</v>
          </cell>
          <cell r="N1048" t="str">
            <v>@@</v>
          </cell>
          <cell r="O1048" t="str">
            <v>@@</v>
          </cell>
          <cell r="P1048" t="str">
            <v>@@</v>
          </cell>
          <cell r="Q1048" t="str">
            <v>@@</v>
          </cell>
          <cell r="R1048" t="str">
            <v>@@</v>
          </cell>
          <cell r="S1048" t="str">
            <v>@@</v>
          </cell>
          <cell r="AB1048" t="str">
            <v>@@</v>
          </cell>
          <cell r="AC1048" t="str">
            <v>@@</v>
          </cell>
          <cell r="AD1048" t="str">
            <v>@@</v>
          </cell>
          <cell r="AL1048" t="str">
            <v>@@</v>
          </cell>
        </row>
        <row r="1049">
          <cell r="J1049">
            <v>122600</v>
          </cell>
          <cell r="L1049" t="str">
            <v>@@</v>
          </cell>
          <cell r="M1049" t="str">
            <v>@@</v>
          </cell>
          <cell r="N1049" t="str">
            <v>@@</v>
          </cell>
          <cell r="O1049" t="str">
            <v>@@</v>
          </cell>
          <cell r="P1049" t="str">
            <v>@@</v>
          </cell>
          <cell r="Q1049" t="str">
            <v>@@</v>
          </cell>
          <cell r="R1049" t="str">
            <v>@@</v>
          </cell>
          <cell r="S1049" t="str">
            <v>@@</v>
          </cell>
          <cell r="AB1049" t="str">
            <v>@@</v>
          </cell>
          <cell r="AC1049" t="str">
            <v>@@</v>
          </cell>
          <cell r="AD1049" t="str">
            <v>@@</v>
          </cell>
          <cell r="AL1049" t="str">
            <v>@@</v>
          </cell>
        </row>
        <row r="1050">
          <cell r="J1050">
            <v>122700</v>
          </cell>
          <cell r="L1050" t="str">
            <v>@@</v>
          </cell>
          <cell r="M1050" t="str">
            <v>@@</v>
          </cell>
          <cell r="N1050" t="str">
            <v>@@</v>
          </cell>
          <cell r="O1050" t="str">
            <v>@@</v>
          </cell>
          <cell r="P1050" t="str">
            <v>@@</v>
          </cell>
          <cell r="Q1050" t="str">
            <v>@@</v>
          </cell>
          <cell r="R1050" t="str">
            <v>@@</v>
          </cell>
          <cell r="S1050" t="str">
            <v>@@</v>
          </cell>
          <cell r="AB1050" t="str">
            <v>@@</v>
          </cell>
          <cell r="AC1050" t="str">
            <v>@@</v>
          </cell>
          <cell r="AD1050" t="str">
            <v>@@</v>
          </cell>
          <cell r="AL1050" t="str">
            <v>@@</v>
          </cell>
        </row>
        <row r="1051">
          <cell r="J1051">
            <v>122800</v>
          </cell>
          <cell r="L1051" t="str">
            <v>@@</v>
          </cell>
          <cell r="M1051" t="str">
            <v>@@</v>
          </cell>
          <cell r="N1051" t="str">
            <v>@@</v>
          </cell>
          <cell r="O1051" t="str">
            <v>@@</v>
          </cell>
          <cell r="P1051" t="str">
            <v>@@</v>
          </cell>
          <cell r="Q1051" t="str">
            <v>@@</v>
          </cell>
          <cell r="R1051" t="str">
            <v>@@</v>
          </cell>
          <cell r="S1051" t="str">
            <v>@@</v>
          </cell>
          <cell r="AB1051" t="str">
            <v>@@</v>
          </cell>
          <cell r="AC1051" t="str">
            <v>@@</v>
          </cell>
          <cell r="AD1051" t="str">
            <v>@@</v>
          </cell>
          <cell r="AL1051" t="str">
            <v>@@</v>
          </cell>
        </row>
        <row r="1052">
          <cell r="J1052">
            <v>122900</v>
          </cell>
          <cell r="L1052" t="str">
            <v>@@</v>
          </cell>
          <cell r="M1052" t="str">
            <v>@@</v>
          </cell>
          <cell r="N1052" t="str">
            <v>@@</v>
          </cell>
          <cell r="O1052" t="str">
            <v>@@</v>
          </cell>
          <cell r="P1052" t="str">
            <v>@@</v>
          </cell>
          <cell r="Q1052" t="str">
            <v>@@</v>
          </cell>
          <cell r="R1052" t="str">
            <v>@@</v>
          </cell>
          <cell r="S1052" t="str">
            <v>@@</v>
          </cell>
          <cell r="AB1052" t="str">
            <v>@@</v>
          </cell>
          <cell r="AC1052">
            <v>-19.399999999999999</v>
          </cell>
          <cell r="AD1052">
            <v>6.3</v>
          </cell>
          <cell r="AF1052">
            <v>-19.399999999999999</v>
          </cell>
          <cell r="AG1052">
            <v>6.3</v>
          </cell>
          <cell r="AL1052" t="str">
            <v>@@</v>
          </cell>
        </row>
        <row r="1053">
          <cell r="J1053">
            <v>123000</v>
          </cell>
          <cell r="L1053">
            <v>123000</v>
          </cell>
          <cell r="M1053">
            <v>-19.399999999999999</v>
          </cell>
          <cell r="N1053">
            <v>6.3</v>
          </cell>
          <cell r="O1053">
            <v>-16.600000000000001</v>
          </cell>
          <cell r="P1053">
            <v>5</v>
          </cell>
          <cell r="Q1053">
            <v>-18</v>
          </cell>
          <cell r="R1053">
            <v>3.3</v>
          </cell>
          <cell r="S1053">
            <v>1</v>
          </cell>
          <cell r="T1053">
            <v>123000</v>
          </cell>
          <cell r="U1053">
            <v>-19.399999999999999</v>
          </cell>
          <cell r="V1053">
            <v>6.3</v>
          </cell>
          <cell r="W1053">
            <v>-16.600000000000001</v>
          </cell>
          <cell r="X1053">
            <v>5</v>
          </cell>
          <cell r="Y1053">
            <v>-18</v>
          </cell>
          <cell r="Z1053">
            <v>3.3</v>
          </cell>
          <cell r="AA1053">
            <v>1</v>
          </cell>
          <cell r="AB1053">
            <v>123000</v>
          </cell>
          <cell r="AC1053">
            <v>-16.600000000000001</v>
          </cell>
          <cell r="AD1053">
            <v>5</v>
          </cell>
          <cell r="AE1053">
            <v>123000</v>
          </cell>
          <cell r="AF1053">
            <v>-16.600000000000001</v>
          </cell>
          <cell r="AG1053">
            <v>5</v>
          </cell>
          <cell r="AL1053">
            <v>14.600000000000001</v>
          </cell>
          <cell r="AM1053">
            <v>14.6</v>
          </cell>
        </row>
        <row r="1054">
          <cell r="J1054">
            <v>123100</v>
          </cell>
          <cell r="L1054" t="str">
            <v>@@</v>
          </cell>
          <cell r="M1054" t="str">
            <v>@@</v>
          </cell>
          <cell r="N1054" t="str">
            <v>@@</v>
          </cell>
          <cell r="O1054" t="str">
            <v>@@</v>
          </cell>
          <cell r="P1054" t="str">
            <v>@@</v>
          </cell>
          <cell r="Q1054" t="str">
            <v>@@</v>
          </cell>
          <cell r="R1054" t="str">
            <v>@@</v>
          </cell>
          <cell r="S1054" t="str">
            <v>@@</v>
          </cell>
          <cell r="AB1054" t="str">
            <v>@@</v>
          </cell>
          <cell r="AC1054">
            <v>-18</v>
          </cell>
          <cell r="AD1054">
            <v>3.3</v>
          </cell>
          <cell r="AF1054">
            <v>-18</v>
          </cell>
          <cell r="AG1054">
            <v>3.3</v>
          </cell>
          <cell r="AL1054" t="str">
            <v>@@</v>
          </cell>
        </row>
        <row r="1055">
          <cell r="J1055">
            <v>123200</v>
          </cell>
          <cell r="L1055" t="str">
            <v>@@</v>
          </cell>
          <cell r="M1055" t="str">
            <v>@@</v>
          </cell>
          <cell r="N1055" t="str">
            <v>@@</v>
          </cell>
          <cell r="O1055" t="str">
            <v>@@</v>
          </cell>
          <cell r="P1055" t="str">
            <v>@@</v>
          </cell>
          <cell r="Q1055" t="str">
            <v>@@</v>
          </cell>
          <cell r="R1055" t="str">
            <v>@@</v>
          </cell>
          <cell r="S1055" t="str">
            <v>@@</v>
          </cell>
          <cell r="AB1055" t="str">
            <v>@@</v>
          </cell>
          <cell r="AC1055" t="str">
            <v>@@</v>
          </cell>
          <cell r="AD1055" t="str">
            <v>@@</v>
          </cell>
          <cell r="AL1055" t="str">
            <v>@@</v>
          </cell>
        </row>
        <row r="1056">
          <cell r="J1056">
            <v>123300</v>
          </cell>
          <cell r="L1056" t="str">
            <v>@@</v>
          </cell>
          <cell r="M1056" t="str">
            <v>@@</v>
          </cell>
          <cell r="N1056" t="str">
            <v>@@</v>
          </cell>
          <cell r="O1056" t="str">
            <v>@@</v>
          </cell>
          <cell r="P1056" t="str">
            <v>@@</v>
          </cell>
          <cell r="Q1056" t="str">
            <v>@@</v>
          </cell>
          <cell r="R1056" t="str">
            <v>@@</v>
          </cell>
          <cell r="S1056" t="str">
            <v>@@</v>
          </cell>
          <cell r="AB1056" t="str">
            <v>@@</v>
          </cell>
          <cell r="AC1056" t="str">
            <v>@@</v>
          </cell>
          <cell r="AD1056" t="str">
            <v>@@</v>
          </cell>
          <cell r="AL1056" t="str">
            <v>@@</v>
          </cell>
        </row>
        <row r="1057">
          <cell r="J1057">
            <v>123400</v>
          </cell>
          <cell r="L1057" t="str">
            <v>@@</v>
          </cell>
          <cell r="M1057" t="str">
            <v>@@</v>
          </cell>
          <cell r="N1057" t="str">
            <v>@@</v>
          </cell>
          <cell r="O1057" t="str">
            <v>@@</v>
          </cell>
          <cell r="P1057" t="str">
            <v>@@</v>
          </cell>
          <cell r="Q1057" t="str">
            <v>@@</v>
          </cell>
          <cell r="R1057" t="str">
            <v>@@</v>
          </cell>
          <cell r="S1057" t="str">
            <v>@@</v>
          </cell>
          <cell r="AB1057" t="str">
            <v>@@</v>
          </cell>
          <cell r="AC1057" t="str">
            <v>@@</v>
          </cell>
          <cell r="AD1057" t="str">
            <v>@@</v>
          </cell>
          <cell r="AL1057" t="str">
            <v>@@</v>
          </cell>
        </row>
        <row r="1058">
          <cell r="J1058">
            <v>123500</v>
          </cell>
          <cell r="L1058" t="str">
            <v>@@</v>
          </cell>
          <cell r="M1058" t="str">
            <v>@@</v>
          </cell>
          <cell r="N1058" t="str">
            <v>@@</v>
          </cell>
          <cell r="O1058" t="str">
            <v>@@</v>
          </cell>
          <cell r="P1058" t="str">
            <v>@@</v>
          </cell>
          <cell r="Q1058" t="str">
            <v>@@</v>
          </cell>
          <cell r="R1058" t="str">
            <v>@@</v>
          </cell>
          <cell r="S1058" t="str">
            <v>@@</v>
          </cell>
          <cell r="AB1058" t="str">
            <v>@@</v>
          </cell>
          <cell r="AC1058" t="str">
            <v>@@</v>
          </cell>
          <cell r="AD1058" t="str">
            <v>@@</v>
          </cell>
          <cell r="AL1058" t="str">
            <v>@@</v>
          </cell>
        </row>
        <row r="1059">
          <cell r="J1059">
            <v>123600</v>
          </cell>
          <cell r="L1059" t="str">
            <v>@@</v>
          </cell>
          <cell r="M1059" t="str">
            <v>@@</v>
          </cell>
          <cell r="N1059" t="str">
            <v>@@</v>
          </cell>
          <cell r="O1059" t="str">
            <v>@@</v>
          </cell>
          <cell r="P1059" t="str">
            <v>@@</v>
          </cell>
          <cell r="Q1059" t="str">
            <v>@@</v>
          </cell>
          <cell r="R1059" t="str">
            <v>@@</v>
          </cell>
          <cell r="S1059" t="str">
            <v>@@</v>
          </cell>
          <cell r="AB1059" t="str">
            <v>@@</v>
          </cell>
          <cell r="AC1059" t="str">
            <v>@@</v>
          </cell>
          <cell r="AD1059" t="str">
            <v>@@</v>
          </cell>
          <cell r="AL1059" t="str">
            <v>@@</v>
          </cell>
        </row>
        <row r="1060">
          <cell r="J1060">
            <v>123700</v>
          </cell>
          <cell r="L1060" t="str">
            <v>@@</v>
          </cell>
          <cell r="M1060" t="str">
            <v>@@</v>
          </cell>
          <cell r="N1060" t="str">
            <v>@@</v>
          </cell>
          <cell r="O1060" t="str">
            <v>@@</v>
          </cell>
          <cell r="P1060" t="str">
            <v>@@</v>
          </cell>
          <cell r="Q1060" t="str">
            <v>@@</v>
          </cell>
          <cell r="R1060" t="str">
            <v>@@</v>
          </cell>
          <cell r="S1060" t="str">
            <v>@@</v>
          </cell>
          <cell r="AB1060" t="str">
            <v>@@</v>
          </cell>
          <cell r="AC1060" t="str">
            <v>@@</v>
          </cell>
          <cell r="AD1060" t="str">
            <v>@@</v>
          </cell>
          <cell r="AL1060" t="str">
            <v>@@</v>
          </cell>
        </row>
        <row r="1061">
          <cell r="J1061">
            <v>123800</v>
          </cell>
          <cell r="L1061" t="str">
            <v>@@</v>
          </cell>
          <cell r="M1061" t="str">
            <v>@@</v>
          </cell>
          <cell r="N1061" t="str">
            <v>@@</v>
          </cell>
          <cell r="O1061" t="str">
            <v>@@</v>
          </cell>
          <cell r="P1061" t="str">
            <v>@@</v>
          </cell>
          <cell r="Q1061" t="str">
            <v>@@</v>
          </cell>
          <cell r="R1061" t="str">
            <v>@@</v>
          </cell>
          <cell r="S1061" t="str">
            <v>@@</v>
          </cell>
          <cell r="AB1061" t="str">
            <v>@@</v>
          </cell>
          <cell r="AC1061" t="str">
            <v>@@</v>
          </cell>
          <cell r="AD1061" t="str">
            <v>@@</v>
          </cell>
          <cell r="AL1061" t="str">
            <v>@@</v>
          </cell>
        </row>
        <row r="1062">
          <cell r="J1062">
            <v>123900</v>
          </cell>
          <cell r="L1062" t="str">
            <v>@@</v>
          </cell>
          <cell r="M1062" t="str">
            <v>@@</v>
          </cell>
          <cell r="N1062" t="str">
            <v>@@</v>
          </cell>
          <cell r="O1062" t="str">
            <v>@@</v>
          </cell>
          <cell r="P1062" t="str">
            <v>@@</v>
          </cell>
          <cell r="Q1062" t="str">
            <v>@@</v>
          </cell>
          <cell r="R1062" t="str">
            <v>@@</v>
          </cell>
          <cell r="S1062" t="str">
            <v>@@</v>
          </cell>
          <cell r="AB1062" t="str">
            <v>@@</v>
          </cell>
          <cell r="AC1062">
            <v>-15.75</v>
          </cell>
          <cell r="AD1062">
            <v>4.2</v>
          </cell>
          <cell r="AF1062">
            <v>-15.75</v>
          </cell>
          <cell r="AG1062">
            <v>4.2</v>
          </cell>
          <cell r="AL1062" t="str">
            <v>@@</v>
          </cell>
        </row>
        <row r="1063">
          <cell r="J1063">
            <v>124000</v>
          </cell>
          <cell r="L1063">
            <v>124000</v>
          </cell>
          <cell r="M1063">
            <v>-15.75</v>
          </cell>
          <cell r="N1063">
            <v>4.2</v>
          </cell>
          <cell r="O1063">
            <v>-56.285714285714285</v>
          </cell>
          <cell r="P1063">
            <v>3.7</v>
          </cell>
          <cell r="Q1063">
            <v>-26.333333333333336</v>
          </cell>
          <cell r="R1063">
            <v>3</v>
          </cell>
          <cell r="S1063">
            <v>1</v>
          </cell>
          <cell r="T1063">
            <v>124000</v>
          </cell>
          <cell r="U1063">
            <v>-15.75</v>
          </cell>
          <cell r="V1063">
            <v>4.2</v>
          </cell>
          <cell r="W1063">
            <v>-56.285714285714285</v>
          </cell>
          <cell r="X1063">
            <v>3.7</v>
          </cell>
          <cell r="Y1063">
            <v>-26.333333333333336</v>
          </cell>
          <cell r="Z1063">
            <v>3</v>
          </cell>
          <cell r="AA1063">
            <v>1</v>
          </cell>
          <cell r="AB1063">
            <v>124000</v>
          </cell>
          <cell r="AC1063">
            <v>-56.285714285714285</v>
          </cell>
          <cell r="AD1063">
            <v>3.7</v>
          </cell>
          <cell r="AE1063">
            <v>124000</v>
          </cell>
          <cell r="AF1063">
            <v>-56.285714285714285</v>
          </cell>
          <cell r="AG1063">
            <v>3.7</v>
          </cell>
          <cell r="AL1063">
            <v>10.9</v>
          </cell>
          <cell r="AM1063">
            <v>10.9</v>
          </cell>
        </row>
        <row r="1064">
          <cell r="J1064">
            <v>124100</v>
          </cell>
          <cell r="L1064" t="str">
            <v>@@</v>
          </cell>
          <cell r="M1064" t="str">
            <v>@@</v>
          </cell>
          <cell r="N1064" t="str">
            <v>@@</v>
          </cell>
          <cell r="O1064" t="str">
            <v>@@</v>
          </cell>
          <cell r="P1064" t="str">
            <v>@@</v>
          </cell>
          <cell r="Q1064" t="str">
            <v>@@</v>
          </cell>
          <cell r="R1064" t="str">
            <v>@@</v>
          </cell>
          <cell r="S1064" t="str">
            <v>@@</v>
          </cell>
          <cell r="AB1064" t="str">
            <v>@@</v>
          </cell>
          <cell r="AC1064">
            <v>-26.333333333333336</v>
          </cell>
          <cell r="AD1064">
            <v>3</v>
          </cell>
          <cell r="AF1064">
            <v>-26.333333333333336</v>
          </cell>
          <cell r="AG1064">
            <v>3</v>
          </cell>
          <cell r="AL1064" t="str">
            <v>@@</v>
          </cell>
        </row>
        <row r="1065">
          <cell r="J1065">
            <v>124200</v>
          </cell>
          <cell r="L1065" t="str">
            <v>@@</v>
          </cell>
          <cell r="M1065" t="str">
            <v>@@</v>
          </cell>
          <cell r="N1065" t="str">
            <v>@@</v>
          </cell>
          <cell r="O1065" t="str">
            <v>@@</v>
          </cell>
          <cell r="P1065" t="str">
            <v>@@</v>
          </cell>
          <cell r="Q1065" t="str">
            <v>@@</v>
          </cell>
          <cell r="R1065" t="str">
            <v>@@</v>
          </cell>
          <cell r="S1065" t="str">
            <v>@@</v>
          </cell>
          <cell r="AB1065" t="str">
            <v>@@</v>
          </cell>
          <cell r="AC1065" t="str">
            <v>@@</v>
          </cell>
          <cell r="AD1065" t="str">
            <v>@@</v>
          </cell>
          <cell r="AL1065" t="str">
            <v>@@</v>
          </cell>
        </row>
        <row r="1066">
          <cell r="J1066">
            <v>124300</v>
          </cell>
          <cell r="L1066" t="str">
            <v>@@</v>
          </cell>
          <cell r="M1066" t="str">
            <v>@@</v>
          </cell>
          <cell r="N1066" t="str">
            <v>@@</v>
          </cell>
          <cell r="O1066" t="str">
            <v>@@</v>
          </cell>
          <cell r="P1066" t="str">
            <v>@@</v>
          </cell>
          <cell r="Q1066" t="str">
            <v>@@</v>
          </cell>
          <cell r="R1066" t="str">
            <v>@@</v>
          </cell>
          <cell r="S1066" t="str">
            <v>@@</v>
          </cell>
          <cell r="AB1066" t="str">
            <v>@@</v>
          </cell>
          <cell r="AC1066" t="str">
            <v>@@</v>
          </cell>
          <cell r="AD1066" t="str">
            <v>@@</v>
          </cell>
          <cell r="AL1066" t="str">
            <v>@@</v>
          </cell>
        </row>
        <row r="1067">
          <cell r="J1067">
            <v>124400</v>
          </cell>
          <cell r="L1067" t="str">
            <v>@@</v>
          </cell>
          <cell r="M1067" t="str">
            <v>@@</v>
          </cell>
          <cell r="N1067" t="str">
            <v>@@</v>
          </cell>
          <cell r="O1067" t="str">
            <v>@@</v>
          </cell>
          <cell r="P1067" t="str">
            <v>@@</v>
          </cell>
          <cell r="Q1067" t="str">
            <v>@@</v>
          </cell>
          <cell r="R1067" t="str">
            <v>@@</v>
          </cell>
          <cell r="S1067" t="str">
            <v>@@</v>
          </cell>
          <cell r="AB1067" t="str">
            <v>@@</v>
          </cell>
          <cell r="AC1067" t="str">
            <v>@@</v>
          </cell>
          <cell r="AD1067" t="str">
            <v>@@</v>
          </cell>
          <cell r="AL1067" t="str">
            <v>@@</v>
          </cell>
        </row>
        <row r="1068">
          <cell r="J1068">
            <v>124500</v>
          </cell>
          <cell r="L1068" t="str">
            <v>@@</v>
          </cell>
          <cell r="M1068" t="str">
            <v>@@</v>
          </cell>
          <cell r="N1068" t="str">
            <v>@@</v>
          </cell>
          <cell r="O1068" t="str">
            <v>@@</v>
          </cell>
          <cell r="P1068" t="str">
            <v>@@</v>
          </cell>
          <cell r="Q1068" t="str">
            <v>@@</v>
          </cell>
          <cell r="R1068" t="str">
            <v>@@</v>
          </cell>
          <cell r="S1068" t="str">
            <v>@@</v>
          </cell>
          <cell r="AB1068" t="str">
            <v>@@</v>
          </cell>
          <cell r="AC1068" t="str">
            <v>@@</v>
          </cell>
          <cell r="AD1068" t="str">
            <v>@@</v>
          </cell>
          <cell r="AL1068" t="str">
            <v>@@</v>
          </cell>
        </row>
        <row r="1069">
          <cell r="J1069">
            <v>124600</v>
          </cell>
          <cell r="L1069" t="str">
            <v>@@</v>
          </cell>
          <cell r="M1069" t="str">
            <v>@@</v>
          </cell>
          <cell r="N1069" t="str">
            <v>@@</v>
          </cell>
          <cell r="O1069" t="str">
            <v>@@</v>
          </cell>
          <cell r="P1069" t="str">
            <v>@@</v>
          </cell>
          <cell r="Q1069" t="str">
            <v>@@</v>
          </cell>
          <cell r="R1069" t="str">
            <v>@@</v>
          </cell>
          <cell r="S1069" t="str">
            <v>@@</v>
          </cell>
          <cell r="AB1069" t="str">
            <v>@@</v>
          </cell>
          <cell r="AC1069" t="str">
            <v>@@</v>
          </cell>
          <cell r="AD1069" t="str">
            <v>@@</v>
          </cell>
          <cell r="AL1069" t="str">
            <v>@@</v>
          </cell>
        </row>
        <row r="1070">
          <cell r="J1070">
            <v>124700</v>
          </cell>
          <cell r="L1070" t="str">
            <v>@@</v>
          </cell>
          <cell r="M1070" t="str">
            <v>@@</v>
          </cell>
          <cell r="N1070" t="str">
            <v>@@</v>
          </cell>
          <cell r="O1070" t="str">
            <v>@@</v>
          </cell>
          <cell r="P1070" t="str">
            <v>@@</v>
          </cell>
          <cell r="Q1070" t="str">
            <v>@@</v>
          </cell>
          <cell r="R1070" t="str">
            <v>@@</v>
          </cell>
          <cell r="S1070" t="str">
            <v>@@</v>
          </cell>
          <cell r="AB1070" t="str">
            <v>@@</v>
          </cell>
          <cell r="AC1070" t="str">
            <v>@@</v>
          </cell>
          <cell r="AD1070" t="str">
            <v>@@</v>
          </cell>
          <cell r="AL1070" t="str">
            <v>@@</v>
          </cell>
        </row>
        <row r="1071">
          <cell r="J1071">
            <v>124800</v>
          </cell>
          <cell r="L1071" t="str">
            <v>@@</v>
          </cell>
          <cell r="M1071" t="str">
            <v>@@</v>
          </cell>
          <cell r="N1071" t="str">
            <v>@@</v>
          </cell>
          <cell r="O1071" t="str">
            <v>@@</v>
          </cell>
          <cell r="P1071" t="str">
            <v>@@</v>
          </cell>
          <cell r="Q1071" t="str">
            <v>@@</v>
          </cell>
          <cell r="R1071" t="str">
            <v>@@</v>
          </cell>
          <cell r="S1071" t="str">
            <v>@@</v>
          </cell>
          <cell r="AB1071" t="str">
            <v>@@</v>
          </cell>
          <cell r="AC1071" t="str">
            <v>@@</v>
          </cell>
          <cell r="AD1071" t="str">
            <v>@@</v>
          </cell>
          <cell r="AL1071" t="str">
            <v>@@</v>
          </cell>
        </row>
        <row r="1072">
          <cell r="J1072">
            <v>124900</v>
          </cell>
          <cell r="L1072" t="str">
            <v>@@</v>
          </cell>
          <cell r="M1072" t="str">
            <v>@@</v>
          </cell>
          <cell r="N1072" t="str">
            <v>@@</v>
          </cell>
          <cell r="O1072" t="str">
            <v>@@</v>
          </cell>
          <cell r="P1072" t="str">
            <v>@@</v>
          </cell>
          <cell r="Q1072" t="str">
            <v>@@</v>
          </cell>
          <cell r="R1072" t="str">
            <v>@@</v>
          </cell>
          <cell r="S1072" t="str">
            <v>@@</v>
          </cell>
          <cell r="AB1072" t="str">
            <v>@@</v>
          </cell>
          <cell r="AC1072" t="str">
            <v>@@</v>
          </cell>
          <cell r="AD1072" t="str">
            <v>@@</v>
          </cell>
          <cell r="AL1072" t="str">
            <v>@@</v>
          </cell>
        </row>
        <row r="1073">
          <cell r="J1073">
            <v>125000</v>
          </cell>
          <cell r="L1073" t="str">
            <v>@@</v>
          </cell>
          <cell r="M1073" t="str">
            <v>@@</v>
          </cell>
          <cell r="N1073" t="str">
            <v>@@</v>
          </cell>
          <cell r="O1073" t="str">
            <v>@@</v>
          </cell>
          <cell r="P1073" t="str">
            <v>@@</v>
          </cell>
          <cell r="Q1073" t="str">
            <v>@@</v>
          </cell>
          <cell r="R1073" t="str">
            <v>@@</v>
          </cell>
          <cell r="S1073" t="str">
            <v>@@</v>
          </cell>
          <cell r="AB1073" t="str">
            <v>@@</v>
          </cell>
          <cell r="AC1073" t="str">
            <v>@@</v>
          </cell>
          <cell r="AD1073" t="str">
            <v>@@</v>
          </cell>
          <cell r="AL1073" t="str">
            <v>@@</v>
          </cell>
        </row>
        <row r="1074">
          <cell r="J1074">
            <v>125100</v>
          </cell>
          <cell r="L1074" t="str">
            <v>@@</v>
          </cell>
          <cell r="M1074" t="str">
            <v>@@</v>
          </cell>
          <cell r="N1074" t="str">
            <v>@@</v>
          </cell>
          <cell r="O1074" t="str">
            <v>@@</v>
          </cell>
          <cell r="P1074" t="str">
            <v>@@</v>
          </cell>
          <cell r="Q1074" t="str">
            <v>@@</v>
          </cell>
          <cell r="R1074" t="str">
            <v>@@</v>
          </cell>
          <cell r="S1074" t="str">
            <v>@@</v>
          </cell>
          <cell r="AB1074" t="str">
            <v>@@</v>
          </cell>
          <cell r="AC1074" t="str">
            <v>@@</v>
          </cell>
          <cell r="AD1074" t="str">
            <v>@@</v>
          </cell>
          <cell r="AL1074" t="str">
            <v>@@</v>
          </cell>
        </row>
        <row r="1075">
          <cell r="J1075">
            <v>125200</v>
          </cell>
          <cell r="L1075" t="str">
            <v>@@</v>
          </cell>
          <cell r="M1075" t="str">
            <v>@@</v>
          </cell>
          <cell r="N1075" t="str">
            <v>@@</v>
          </cell>
          <cell r="O1075" t="str">
            <v>@@</v>
          </cell>
          <cell r="P1075" t="str">
            <v>@@</v>
          </cell>
          <cell r="Q1075" t="str">
            <v>@@</v>
          </cell>
          <cell r="R1075" t="str">
            <v>@@</v>
          </cell>
          <cell r="S1075" t="str">
            <v>@@</v>
          </cell>
          <cell r="AB1075" t="str">
            <v>@@</v>
          </cell>
          <cell r="AC1075" t="str">
            <v>@@</v>
          </cell>
          <cell r="AD1075" t="str">
            <v>@@</v>
          </cell>
          <cell r="AL1075" t="str">
            <v>@@</v>
          </cell>
        </row>
        <row r="1076">
          <cell r="J1076">
            <v>125300</v>
          </cell>
          <cell r="L1076" t="str">
            <v>@@</v>
          </cell>
          <cell r="M1076" t="str">
            <v>@@</v>
          </cell>
          <cell r="N1076" t="str">
            <v>@@</v>
          </cell>
          <cell r="O1076" t="str">
            <v>@@</v>
          </cell>
          <cell r="P1076" t="str">
            <v>@@</v>
          </cell>
          <cell r="Q1076" t="str">
            <v>@@</v>
          </cell>
          <cell r="R1076" t="str">
            <v>@@</v>
          </cell>
          <cell r="S1076" t="str">
            <v>@@</v>
          </cell>
          <cell r="AB1076" t="str">
            <v>@@</v>
          </cell>
          <cell r="AC1076" t="str">
            <v>@@</v>
          </cell>
          <cell r="AD1076" t="str">
            <v>@@</v>
          </cell>
          <cell r="AL1076" t="str">
            <v>@@</v>
          </cell>
        </row>
        <row r="1077">
          <cell r="J1077">
            <v>125400</v>
          </cell>
          <cell r="L1077" t="str">
            <v>@@</v>
          </cell>
          <cell r="M1077" t="str">
            <v>@@</v>
          </cell>
          <cell r="N1077" t="str">
            <v>@@</v>
          </cell>
          <cell r="O1077" t="str">
            <v>@@</v>
          </cell>
          <cell r="P1077" t="str">
            <v>@@</v>
          </cell>
          <cell r="Q1077" t="str">
            <v>@@</v>
          </cell>
          <cell r="R1077" t="str">
            <v>@@</v>
          </cell>
          <cell r="S1077" t="str">
            <v>@@</v>
          </cell>
          <cell r="AB1077" t="str">
            <v>@@</v>
          </cell>
          <cell r="AC1077" t="str">
            <v>@@</v>
          </cell>
          <cell r="AD1077" t="str">
            <v>@@</v>
          </cell>
          <cell r="AL1077" t="str">
            <v>@@</v>
          </cell>
        </row>
        <row r="1078">
          <cell r="J1078">
            <v>125500</v>
          </cell>
          <cell r="L1078" t="str">
            <v>@@</v>
          </cell>
          <cell r="M1078" t="str">
            <v>@@</v>
          </cell>
          <cell r="N1078" t="str">
            <v>@@</v>
          </cell>
          <cell r="O1078" t="str">
            <v>@@</v>
          </cell>
          <cell r="P1078" t="str">
            <v>@@</v>
          </cell>
          <cell r="Q1078" t="str">
            <v>@@</v>
          </cell>
          <cell r="R1078" t="str">
            <v>@@</v>
          </cell>
          <cell r="S1078" t="str">
            <v>@@</v>
          </cell>
          <cell r="AB1078" t="str">
            <v>@@</v>
          </cell>
          <cell r="AC1078" t="str">
            <v>@@</v>
          </cell>
          <cell r="AD1078" t="str">
            <v>@@</v>
          </cell>
          <cell r="AL1078" t="str">
            <v>@@</v>
          </cell>
        </row>
        <row r="1079">
          <cell r="J1079">
            <v>125600</v>
          </cell>
          <cell r="L1079" t="str">
            <v>@@</v>
          </cell>
          <cell r="M1079" t="str">
            <v>@@</v>
          </cell>
          <cell r="N1079" t="str">
            <v>@@</v>
          </cell>
          <cell r="O1079" t="str">
            <v>@@</v>
          </cell>
          <cell r="P1079" t="str">
            <v>@@</v>
          </cell>
          <cell r="Q1079" t="str">
            <v>@@</v>
          </cell>
          <cell r="R1079" t="str">
            <v>@@</v>
          </cell>
          <cell r="S1079" t="str">
            <v>@@</v>
          </cell>
          <cell r="AB1079" t="str">
            <v>@@</v>
          </cell>
          <cell r="AC1079" t="str">
            <v>@@</v>
          </cell>
          <cell r="AD1079" t="str">
            <v>@@</v>
          </cell>
          <cell r="AL1079" t="str">
            <v>@@</v>
          </cell>
        </row>
        <row r="1080">
          <cell r="J1080">
            <v>125700</v>
          </cell>
          <cell r="L1080" t="str">
            <v>@@</v>
          </cell>
          <cell r="M1080" t="str">
            <v>@@</v>
          </cell>
          <cell r="N1080" t="str">
            <v>@@</v>
          </cell>
          <cell r="O1080" t="str">
            <v>@@</v>
          </cell>
          <cell r="P1080" t="str">
            <v>@@</v>
          </cell>
          <cell r="Q1080" t="str">
            <v>@@</v>
          </cell>
          <cell r="R1080" t="str">
            <v>@@</v>
          </cell>
          <cell r="S1080" t="str">
            <v>@@</v>
          </cell>
          <cell r="AB1080" t="str">
            <v>@@</v>
          </cell>
          <cell r="AC1080" t="str">
            <v>@@</v>
          </cell>
          <cell r="AD1080" t="str">
            <v>@@</v>
          </cell>
          <cell r="AL1080" t="str">
            <v>@@</v>
          </cell>
        </row>
        <row r="1081">
          <cell r="J1081">
            <v>125800</v>
          </cell>
          <cell r="L1081" t="str">
            <v>@@</v>
          </cell>
          <cell r="M1081" t="str">
            <v>@@</v>
          </cell>
          <cell r="N1081" t="str">
            <v>@@</v>
          </cell>
          <cell r="O1081" t="str">
            <v>@@</v>
          </cell>
          <cell r="P1081" t="str">
            <v>@@</v>
          </cell>
          <cell r="Q1081" t="str">
            <v>@@</v>
          </cell>
          <cell r="R1081" t="str">
            <v>@@</v>
          </cell>
          <cell r="S1081" t="str">
            <v>@@</v>
          </cell>
          <cell r="AB1081" t="str">
            <v>@@</v>
          </cell>
          <cell r="AC1081" t="str">
            <v>@@</v>
          </cell>
          <cell r="AD1081" t="str">
            <v>@@</v>
          </cell>
          <cell r="AL1081" t="str">
            <v>@@</v>
          </cell>
        </row>
        <row r="1082">
          <cell r="J1082">
            <v>125900</v>
          </cell>
          <cell r="L1082" t="str">
            <v>@@</v>
          </cell>
          <cell r="M1082" t="str">
            <v>@@</v>
          </cell>
          <cell r="N1082" t="str">
            <v>@@</v>
          </cell>
          <cell r="O1082" t="str">
            <v>@@</v>
          </cell>
          <cell r="P1082" t="str">
            <v>@@</v>
          </cell>
          <cell r="Q1082" t="str">
            <v>@@</v>
          </cell>
          <cell r="R1082" t="str">
            <v>@@</v>
          </cell>
          <cell r="S1082" t="str">
            <v>@@</v>
          </cell>
          <cell r="AB1082" t="str">
            <v>@@</v>
          </cell>
          <cell r="AC1082" t="str">
            <v>@@</v>
          </cell>
          <cell r="AD1082" t="str">
            <v>@@</v>
          </cell>
          <cell r="AL1082" t="str">
            <v>@@</v>
          </cell>
        </row>
        <row r="1083">
          <cell r="J1083">
            <v>126000</v>
          </cell>
          <cell r="L1083" t="str">
            <v>@@</v>
          </cell>
          <cell r="M1083" t="str">
            <v>@@</v>
          </cell>
          <cell r="N1083" t="str">
            <v>@@</v>
          </cell>
          <cell r="O1083" t="str">
            <v>@@</v>
          </cell>
          <cell r="P1083" t="str">
            <v>@@</v>
          </cell>
          <cell r="Q1083" t="str">
            <v>@@</v>
          </cell>
          <cell r="R1083" t="str">
            <v>@@</v>
          </cell>
          <cell r="S1083" t="str">
            <v>@@</v>
          </cell>
          <cell r="AB1083" t="str">
            <v>@@</v>
          </cell>
          <cell r="AC1083" t="str">
            <v>@@</v>
          </cell>
          <cell r="AD1083" t="str">
            <v>@@</v>
          </cell>
          <cell r="AL1083" t="str">
            <v>@@</v>
          </cell>
        </row>
        <row r="1084">
          <cell r="J1084">
            <v>126100</v>
          </cell>
          <cell r="L1084" t="str">
            <v>@@</v>
          </cell>
          <cell r="M1084" t="str">
            <v>@@</v>
          </cell>
          <cell r="N1084" t="str">
            <v>@@</v>
          </cell>
          <cell r="O1084" t="str">
            <v>@@</v>
          </cell>
          <cell r="P1084" t="str">
            <v>@@</v>
          </cell>
          <cell r="Q1084" t="str">
            <v>@@</v>
          </cell>
          <cell r="R1084" t="str">
            <v>@@</v>
          </cell>
          <cell r="S1084" t="str">
            <v>@@</v>
          </cell>
          <cell r="AB1084" t="str">
            <v>@@</v>
          </cell>
          <cell r="AC1084" t="str">
            <v>@@</v>
          </cell>
          <cell r="AD1084" t="str">
            <v>@@</v>
          </cell>
          <cell r="AL1084" t="str">
            <v>@@</v>
          </cell>
        </row>
        <row r="1085">
          <cell r="J1085">
            <v>126200</v>
          </cell>
          <cell r="L1085" t="str">
            <v>@@</v>
          </cell>
          <cell r="M1085" t="str">
            <v>@@</v>
          </cell>
          <cell r="N1085" t="str">
            <v>@@</v>
          </cell>
          <cell r="O1085" t="str">
            <v>@@</v>
          </cell>
          <cell r="P1085" t="str">
            <v>@@</v>
          </cell>
          <cell r="Q1085" t="str">
            <v>@@</v>
          </cell>
          <cell r="R1085" t="str">
            <v>@@</v>
          </cell>
          <cell r="S1085" t="str">
            <v>@@</v>
          </cell>
          <cell r="AB1085" t="str">
            <v>@@</v>
          </cell>
          <cell r="AC1085" t="str">
            <v>@@</v>
          </cell>
          <cell r="AD1085" t="str">
            <v>@@</v>
          </cell>
          <cell r="AL1085" t="str">
            <v>@@</v>
          </cell>
        </row>
        <row r="1086">
          <cell r="J1086">
            <v>126300</v>
          </cell>
          <cell r="L1086" t="str">
            <v>@@</v>
          </cell>
          <cell r="M1086" t="str">
            <v>@@</v>
          </cell>
          <cell r="N1086" t="str">
            <v>@@</v>
          </cell>
          <cell r="O1086" t="str">
            <v>@@</v>
          </cell>
          <cell r="P1086" t="str">
            <v>@@</v>
          </cell>
          <cell r="Q1086" t="str">
            <v>@@</v>
          </cell>
          <cell r="R1086" t="str">
            <v>@@</v>
          </cell>
          <cell r="S1086" t="str">
            <v>@@</v>
          </cell>
          <cell r="AB1086" t="str">
            <v>@@</v>
          </cell>
          <cell r="AC1086" t="str">
            <v>@@</v>
          </cell>
          <cell r="AD1086" t="str">
            <v>@@</v>
          </cell>
          <cell r="AL1086" t="str">
            <v>@@</v>
          </cell>
        </row>
        <row r="1087">
          <cell r="J1087">
            <v>126400</v>
          </cell>
          <cell r="L1087" t="str">
            <v>@@</v>
          </cell>
          <cell r="M1087" t="str">
            <v>@@</v>
          </cell>
          <cell r="N1087" t="str">
            <v>@@</v>
          </cell>
          <cell r="O1087" t="str">
            <v>@@</v>
          </cell>
          <cell r="P1087" t="str">
            <v>@@</v>
          </cell>
          <cell r="Q1087" t="str">
            <v>@@</v>
          </cell>
          <cell r="R1087" t="str">
            <v>@@</v>
          </cell>
          <cell r="S1087" t="str">
            <v>@@</v>
          </cell>
          <cell r="AB1087" t="str">
            <v>@@</v>
          </cell>
          <cell r="AC1087" t="str">
            <v>@@</v>
          </cell>
          <cell r="AD1087" t="str">
            <v>@@</v>
          </cell>
          <cell r="AL1087" t="str">
            <v>@@</v>
          </cell>
        </row>
        <row r="1088">
          <cell r="J1088">
            <v>126500</v>
          </cell>
          <cell r="L1088" t="str">
            <v>@@</v>
          </cell>
          <cell r="M1088" t="str">
            <v>@@</v>
          </cell>
          <cell r="N1088" t="str">
            <v>@@</v>
          </cell>
          <cell r="O1088" t="str">
            <v>@@</v>
          </cell>
          <cell r="P1088" t="str">
            <v>@@</v>
          </cell>
          <cell r="Q1088" t="str">
            <v>@@</v>
          </cell>
          <cell r="R1088" t="str">
            <v>@@</v>
          </cell>
          <cell r="S1088" t="str">
            <v>@@</v>
          </cell>
          <cell r="AB1088" t="str">
            <v>@@</v>
          </cell>
          <cell r="AC1088" t="str">
            <v>@@</v>
          </cell>
          <cell r="AD1088" t="str">
            <v>@@</v>
          </cell>
          <cell r="AL1088" t="str">
            <v>@@</v>
          </cell>
        </row>
        <row r="1089">
          <cell r="J1089">
            <v>126600</v>
          </cell>
          <cell r="L1089" t="str">
            <v>@@</v>
          </cell>
          <cell r="M1089" t="str">
            <v>@@</v>
          </cell>
          <cell r="N1089" t="str">
            <v>@@</v>
          </cell>
          <cell r="O1089" t="str">
            <v>@@</v>
          </cell>
          <cell r="P1089" t="str">
            <v>@@</v>
          </cell>
          <cell r="Q1089" t="str">
            <v>@@</v>
          </cell>
          <cell r="R1089" t="str">
            <v>@@</v>
          </cell>
          <cell r="S1089" t="str">
            <v>@@</v>
          </cell>
          <cell r="AB1089" t="str">
            <v>@@</v>
          </cell>
          <cell r="AC1089" t="str">
            <v>@@</v>
          </cell>
          <cell r="AD1089" t="str">
            <v>@@</v>
          </cell>
          <cell r="AL1089" t="str">
            <v>@@</v>
          </cell>
        </row>
        <row r="1090">
          <cell r="J1090">
            <v>126700</v>
          </cell>
          <cell r="L1090" t="str">
            <v>@@</v>
          </cell>
          <cell r="M1090" t="str">
            <v>@@</v>
          </cell>
          <cell r="N1090" t="str">
            <v>@@</v>
          </cell>
          <cell r="O1090" t="str">
            <v>@@</v>
          </cell>
          <cell r="P1090" t="str">
            <v>@@</v>
          </cell>
          <cell r="Q1090" t="str">
            <v>@@</v>
          </cell>
          <cell r="R1090" t="str">
            <v>@@</v>
          </cell>
          <cell r="S1090" t="str">
            <v>@@</v>
          </cell>
          <cell r="AB1090" t="str">
            <v>@@</v>
          </cell>
          <cell r="AC1090" t="str">
            <v>@@</v>
          </cell>
          <cell r="AD1090" t="str">
            <v>@@</v>
          </cell>
          <cell r="AL1090" t="str">
            <v>@@</v>
          </cell>
        </row>
        <row r="1091">
          <cell r="J1091">
            <v>126800</v>
          </cell>
          <cell r="L1091" t="str">
            <v>@@</v>
          </cell>
          <cell r="M1091" t="str">
            <v>@@</v>
          </cell>
          <cell r="N1091" t="str">
            <v>@@</v>
          </cell>
          <cell r="O1091" t="str">
            <v>@@</v>
          </cell>
          <cell r="P1091" t="str">
            <v>@@</v>
          </cell>
          <cell r="Q1091" t="str">
            <v>@@</v>
          </cell>
          <cell r="R1091" t="str">
            <v>@@</v>
          </cell>
          <cell r="S1091" t="str">
            <v>@@</v>
          </cell>
          <cell r="AB1091" t="str">
            <v>@@</v>
          </cell>
          <cell r="AC1091" t="str">
            <v>@@</v>
          </cell>
          <cell r="AD1091" t="str">
            <v>@@</v>
          </cell>
          <cell r="AL1091" t="str">
            <v>@@</v>
          </cell>
        </row>
        <row r="1092">
          <cell r="J1092">
            <v>126900</v>
          </cell>
          <cell r="L1092" t="str">
            <v>@@</v>
          </cell>
          <cell r="M1092" t="str">
            <v>@@</v>
          </cell>
          <cell r="N1092" t="str">
            <v>@@</v>
          </cell>
          <cell r="O1092" t="str">
            <v>@@</v>
          </cell>
          <cell r="P1092" t="str">
            <v>@@</v>
          </cell>
          <cell r="Q1092" t="str">
            <v>@@</v>
          </cell>
          <cell r="R1092" t="str">
            <v>@@</v>
          </cell>
          <cell r="S1092" t="str">
            <v>@@</v>
          </cell>
          <cell r="AB1092" t="str">
            <v>@@</v>
          </cell>
          <cell r="AC1092" t="str">
            <v>@@</v>
          </cell>
          <cell r="AD1092" t="str">
            <v>@@</v>
          </cell>
          <cell r="AL1092" t="str">
            <v>@@</v>
          </cell>
        </row>
        <row r="1093">
          <cell r="J1093">
            <v>127000</v>
          </cell>
          <cell r="L1093" t="str">
            <v>@@</v>
          </cell>
          <cell r="M1093" t="str">
            <v>@@</v>
          </cell>
          <cell r="N1093" t="str">
            <v>@@</v>
          </cell>
          <cell r="O1093" t="str">
            <v>@@</v>
          </cell>
          <cell r="P1093" t="str">
            <v>@@</v>
          </cell>
          <cell r="Q1093" t="str">
            <v>@@</v>
          </cell>
          <cell r="R1093" t="str">
            <v>@@</v>
          </cell>
          <cell r="S1093" t="str">
            <v>@@</v>
          </cell>
          <cell r="AB1093" t="str">
            <v>@@</v>
          </cell>
          <cell r="AC1093" t="str">
            <v>@@</v>
          </cell>
          <cell r="AD1093" t="str">
            <v>@@</v>
          </cell>
          <cell r="AL1093" t="str">
            <v>@@</v>
          </cell>
        </row>
        <row r="1094">
          <cell r="J1094">
            <v>127100</v>
          </cell>
          <cell r="L1094" t="str">
            <v>@@</v>
          </cell>
          <cell r="M1094" t="str">
            <v>@@</v>
          </cell>
          <cell r="N1094" t="str">
            <v>@@</v>
          </cell>
          <cell r="O1094" t="str">
            <v>@@</v>
          </cell>
          <cell r="P1094" t="str">
            <v>@@</v>
          </cell>
          <cell r="Q1094" t="str">
            <v>@@</v>
          </cell>
          <cell r="R1094" t="str">
            <v>@@</v>
          </cell>
          <cell r="S1094" t="str">
            <v>@@</v>
          </cell>
          <cell r="AB1094" t="str">
            <v>@@</v>
          </cell>
          <cell r="AC1094" t="str">
            <v>@@</v>
          </cell>
          <cell r="AD1094" t="str">
            <v>@@</v>
          </cell>
          <cell r="AL1094" t="str">
            <v>@@</v>
          </cell>
        </row>
        <row r="1095">
          <cell r="J1095">
            <v>127200</v>
          </cell>
          <cell r="L1095" t="str">
            <v>@@</v>
          </cell>
          <cell r="M1095" t="str">
            <v>@@</v>
          </cell>
          <cell r="N1095" t="str">
            <v>@@</v>
          </cell>
          <cell r="O1095" t="str">
            <v>@@</v>
          </cell>
          <cell r="P1095" t="str">
            <v>@@</v>
          </cell>
          <cell r="Q1095" t="str">
            <v>@@</v>
          </cell>
          <cell r="R1095" t="str">
            <v>@@</v>
          </cell>
          <cell r="S1095" t="str">
            <v>@@</v>
          </cell>
          <cell r="AB1095" t="str">
            <v>@@</v>
          </cell>
          <cell r="AC1095" t="str">
            <v>@@</v>
          </cell>
          <cell r="AD1095" t="str">
            <v>@@</v>
          </cell>
          <cell r="AL1095" t="str">
            <v>@@</v>
          </cell>
        </row>
        <row r="1096">
          <cell r="J1096">
            <v>127300</v>
          </cell>
          <cell r="L1096" t="str">
            <v>@@</v>
          </cell>
          <cell r="M1096" t="str">
            <v>@@</v>
          </cell>
          <cell r="N1096" t="str">
            <v>@@</v>
          </cell>
          <cell r="O1096" t="str">
            <v>@@</v>
          </cell>
          <cell r="P1096" t="str">
            <v>@@</v>
          </cell>
          <cell r="Q1096" t="str">
            <v>@@</v>
          </cell>
          <cell r="R1096" t="str">
            <v>@@</v>
          </cell>
          <cell r="S1096" t="str">
            <v>@@</v>
          </cell>
          <cell r="AB1096" t="str">
            <v>@@</v>
          </cell>
          <cell r="AC1096" t="str">
            <v>@@</v>
          </cell>
          <cell r="AD1096" t="str">
            <v>@@</v>
          </cell>
          <cell r="AL1096" t="str">
            <v>@@</v>
          </cell>
        </row>
        <row r="1097">
          <cell r="J1097">
            <v>127400</v>
          </cell>
          <cell r="L1097" t="str">
            <v>@@</v>
          </cell>
          <cell r="M1097" t="str">
            <v>@@</v>
          </cell>
          <cell r="N1097" t="str">
            <v>@@</v>
          </cell>
          <cell r="O1097" t="str">
            <v>@@</v>
          </cell>
          <cell r="P1097" t="str">
            <v>@@</v>
          </cell>
          <cell r="Q1097" t="str">
            <v>@@</v>
          </cell>
          <cell r="R1097" t="str">
            <v>@@</v>
          </cell>
          <cell r="S1097" t="str">
            <v>@@</v>
          </cell>
          <cell r="AB1097" t="str">
            <v>@@</v>
          </cell>
          <cell r="AC1097" t="str">
            <v>@@</v>
          </cell>
          <cell r="AD1097" t="str">
            <v>@@</v>
          </cell>
          <cell r="AL1097" t="str">
            <v>@@</v>
          </cell>
        </row>
        <row r="1098">
          <cell r="J1098">
            <v>127500</v>
          </cell>
          <cell r="L1098" t="str">
            <v>@@</v>
          </cell>
          <cell r="M1098" t="str">
            <v>@@</v>
          </cell>
          <cell r="N1098" t="str">
            <v>@@</v>
          </cell>
          <cell r="O1098" t="str">
            <v>@@</v>
          </cell>
          <cell r="P1098" t="str">
            <v>@@</v>
          </cell>
          <cell r="Q1098" t="str">
            <v>@@</v>
          </cell>
          <cell r="R1098" t="str">
            <v>@@</v>
          </cell>
          <cell r="S1098" t="str">
            <v>@@</v>
          </cell>
          <cell r="AB1098" t="str">
            <v>@@</v>
          </cell>
          <cell r="AC1098" t="str">
            <v>@@</v>
          </cell>
          <cell r="AD1098" t="str">
            <v>@@</v>
          </cell>
          <cell r="AL1098" t="str">
            <v>@@</v>
          </cell>
        </row>
        <row r="1099">
          <cell r="J1099">
            <v>127600</v>
          </cell>
          <cell r="L1099" t="str">
            <v>@@</v>
          </cell>
          <cell r="M1099" t="str">
            <v>@@</v>
          </cell>
          <cell r="N1099" t="str">
            <v>@@</v>
          </cell>
          <cell r="O1099" t="str">
            <v>@@</v>
          </cell>
          <cell r="P1099" t="str">
            <v>@@</v>
          </cell>
          <cell r="Q1099" t="str">
            <v>@@</v>
          </cell>
          <cell r="R1099" t="str">
            <v>@@</v>
          </cell>
          <cell r="S1099" t="str">
            <v>@@</v>
          </cell>
          <cell r="AB1099" t="str">
            <v>@@</v>
          </cell>
          <cell r="AC1099" t="str">
            <v>@@</v>
          </cell>
          <cell r="AD1099" t="str">
            <v>@@</v>
          </cell>
          <cell r="AL1099" t="str">
            <v>@@</v>
          </cell>
        </row>
        <row r="1100">
          <cell r="J1100">
            <v>127700</v>
          </cell>
          <cell r="L1100" t="str">
            <v>@@</v>
          </cell>
          <cell r="M1100" t="str">
            <v>@@</v>
          </cell>
          <cell r="N1100" t="str">
            <v>@@</v>
          </cell>
          <cell r="O1100" t="str">
            <v>@@</v>
          </cell>
          <cell r="P1100" t="str">
            <v>@@</v>
          </cell>
          <cell r="Q1100" t="str">
            <v>@@</v>
          </cell>
          <cell r="R1100" t="str">
            <v>@@</v>
          </cell>
          <cell r="S1100" t="str">
            <v>@@</v>
          </cell>
          <cell r="AB1100" t="str">
            <v>@@</v>
          </cell>
          <cell r="AC1100" t="str">
            <v>@@</v>
          </cell>
          <cell r="AD1100" t="str">
            <v>@@</v>
          </cell>
          <cell r="AL1100" t="str">
            <v>@@</v>
          </cell>
        </row>
        <row r="1101">
          <cell r="J1101">
            <v>127800</v>
          </cell>
          <cell r="L1101" t="str">
            <v>@@</v>
          </cell>
          <cell r="M1101" t="str">
            <v>@@</v>
          </cell>
          <cell r="N1101" t="str">
            <v>@@</v>
          </cell>
          <cell r="O1101" t="str">
            <v>@@</v>
          </cell>
          <cell r="P1101" t="str">
            <v>@@</v>
          </cell>
          <cell r="Q1101" t="str">
            <v>@@</v>
          </cell>
          <cell r="R1101" t="str">
            <v>@@</v>
          </cell>
          <cell r="S1101" t="str">
            <v>@@</v>
          </cell>
          <cell r="AB1101" t="str">
            <v>@@</v>
          </cell>
          <cell r="AC1101" t="str">
            <v>@@</v>
          </cell>
          <cell r="AD1101" t="str">
            <v>@@</v>
          </cell>
          <cell r="AL1101" t="str">
            <v>@@</v>
          </cell>
        </row>
        <row r="1102">
          <cell r="J1102">
            <v>127900</v>
          </cell>
          <cell r="L1102" t="str">
            <v>@@</v>
          </cell>
          <cell r="M1102" t="str">
            <v>@@</v>
          </cell>
          <cell r="N1102" t="str">
            <v>@@</v>
          </cell>
          <cell r="O1102" t="str">
            <v>@@</v>
          </cell>
          <cell r="P1102" t="str">
            <v>@@</v>
          </cell>
          <cell r="Q1102" t="str">
            <v>@@</v>
          </cell>
          <cell r="R1102" t="str">
            <v>@@</v>
          </cell>
          <cell r="S1102" t="str">
            <v>@@</v>
          </cell>
          <cell r="AB1102" t="str">
            <v>@@</v>
          </cell>
          <cell r="AC1102" t="str">
            <v>@@</v>
          </cell>
          <cell r="AD1102" t="str">
            <v>@@</v>
          </cell>
          <cell r="AL1102" t="str">
            <v>@@</v>
          </cell>
        </row>
        <row r="1103">
          <cell r="J1103">
            <v>128000</v>
          </cell>
          <cell r="L1103" t="str">
            <v>@@</v>
          </cell>
          <cell r="M1103" t="str">
            <v>@@</v>
          </cell>
          <cell r="N1103" t="str">
            <v>@@</v>
          </cell>
          <cell r="O1103" t="str">
            <v>@@</v>
          </cell>
          <cell r="P1103" t="str">
            <v>@@</v>
          </cell>
          <cell r="Q1103" t="str">
            <v>@@</v>
          </cell>
          <cell r="R1103" t="str">
            <v>@@</v>
          </cell>
          <cell r="S1103" t="str">
            <v>@@</v>
          </cell>
          <cell r="AB1103" t="str">
            <v>@@</v>
          </cell>
          <cell r="AC1103" t="str">
            <v>@@</v>
          </cell>
          <cell r="AD1103" t="str">
            <v>@@</v>
          </cell>
          <cell r="AL1103" t="str">
            <v>@@</v>
          </cell>
        </row>
        <row r="1104">
          <cell r="J1104">
            <v>128100</v>
          </cell>
          <cell r="L1104" t="str">
            <v>@@</v>
          </cell>
          <cell r="M1104" t="str">
            <v>@@</v>
          </cell>
          <cell r="N1104" t="str">
            <v>@@</v>
          </cell>
          <cell r="O1104" t="str">
            <v>@@</v>
          </cell>
          <cell r="P1104" t="str">
            <v>@@</v>
          </cell>
          <cell r="Q1104" t="str">
            <v>@@</v>
          </cell>
          <cell r="R1104" t="str">
            <v>@@</v>
          </cell>
          <cell r="S1104" t="str">
            <v>@@</v>
          </cell>
          <cell r="AB1104" t="str">
            <v>@@</v>
          </cell>
          <cell r="AC1104" t="str">
            <v>@@</v>
          </cell>
          <cell r="AD1104" t="str">
            <v>@@</v>
          </cell>
          <cell r="AL1104" t="str">
            <v>@@</v>
          </cell>
        </row>
        <row r="1105">
          <cell r="J1105">
            <v>128200</v>
          </cell>
          <cell r="L1105" t="str">
            <v>@@</v>
          </cell>
          <cell r="M1105" t="str">
            <v>@@</v>
          </cell>
          <cell r="N1105" t="str">
            <v>@@</v>
          </cell>
          <cell r="O1105" t="str">
            <v>@@</v>
          </cell>
          <cell r="P1105" t="str">
            <v>@@</v>
          </cell>
          <cell r="Q1105" t="str">
            <v>@@</v>
          </cell>
          <cell r="R1105" t="str">
            <v>@@</v>
          </cell>
          <cell r="S1105" t="str">
            <v>@@</v>
          </cell>
          <cell r="AB1105" t="str">
            <v>@@</v>
          </cell>
          <cell r="AC1105" t="str">
            <v>@@</v>
          </cell>
          <cell r="AD1105" t="str">
            <v>@@</v>
          </cell>
          <cell r="AL1105" t="str">
            <v>@@</v>
          </cell>
        </row>
        <row r="1106">
          <cell r="J1106">
            <v>128300</v>
          </cell>
          <cell r="L1106" t="str">
            <v>@@</v>
          </cell>
          <cell r="M1106" t="str">
            <v>@@</v>
          </cell>
          <cell r="N1106" t="str">
            <v>@@</v>
          </cell>
          <cell r="O1106" t="str">
            <v>@@</v>
          </cell>
          <cell r="P1106" t="str">
            <v>@@</v>
          </cell>
          <cell r="Q1106" t="str">
            <v>@@</v>
          </cell>
          <cell r="R1106" t="str">
            <v>@@</v>
          </cell>
          <cell r="S1106" t="str">
            <v>@@</v>
          </cell>
          <cell r="AB1106" t="str">
            <v>@@</v>
          </cell>
          <cell r="AC1106" t="str">
            <v>@@</v>
          </cell>
          <cell r="AD1106" t="str">
            <v>@@</v>
          </cell>
          <cell r="AL1106" t="str">
            <v>@@</v>
          </cell>
        </row>
        <row r="1107">
          <cell r="J1107">
            <v>128400</v>
          </cell>
          <cell r="L1107" t="str">
            <v>@@</v>
          </cell>
          <cell r="M1107" t="str">
            <v>@@</v>
          </cell>
          <cell r="N1107" t="str">
            <v>@@</v>
          </cell>
          <cell r="O1107" t="str">
            <v>@@</v>
          </cell>
          <cell r="P1107" t="str">
            <v>@@</v>
          </cell>
          <cell r="Q1107" t="str">
            <v>@@</v>
          </cell>
          <cell r="R1107" t="str">
            <v>@@</v>
          </cell>
          <cell r="S1107" t="str">
            <v>@@</v>
          </cell>
          <cell r="AB1107" t="str">
            <v>@@</v>
          </cell>
          <cell r="AC1107" t="str">
            <v>@@</v>
          </cell>
          <cell r="AD1107" t="str">
            <v>@@</v>
          </cell>
          <cell r="AL1107" t="str">
            <v>@@</v>
          </cell>
        </row>
        <row r="1108">
          <cell r="J1108">
            <v>128500</v>
          </cell>
          <cell r="L1108" t="str">
            <v>@@</v>
          </cell>
          <cell r="M1108" t="str">
            <v>@@</v>
          </cell>
          <cell r="N1108" t="str">
            <v>@@</v>
          </cell>
          <cell r="O1108" t="str">
            <v>@@</v>
          </cell>
          <cell r="P1108" t="str">
            <v>@@</v>
          </cell>
          <cell r="Q1108" t="str">
            <v>@@</v>
          </cell>
          <cell r="R1108" t="str">
            <v>@@</v>
          </cell>
          <cell r="S1108" t="str">
            <v>@@</v>
          </cell>
          <cell r="AB1108" t="str">
            <v>@@</v>
          </cell>
          <cell r="AC1108" t="str">
            <v>@@</v>
          </cell>
          <cell r="AD1108" t="str">
            <v>@@</v>
          </cell>
          <cell r="AL1108" t="str">
            <v>@@</v>
          </cell>
        </row>
        <row r="1109">
          <cell r="J1109">
            <v>128600</v>
          </cell>
          <cell r="L1109" t="str">
            <v>@@</v>
          </cell>
          <cell r="M1109" t="str">
            <v>@@</v>
          </cell>
          <cell r="N1109" t="str">
            <v>@@</v>
          </cell>
          <cell r="O1109" t="str">
            <v>@@</v>
          </cell>
          <cell r="P1109" t="str">
            <v>@@</v>
          </cell>
          <cell r="Q1109" t="str">
            <v>@@</v>
          </cell>
          <cell r="R1109" t="str">
            <v>@@</v>
          </cell>
          <cell r="S1109" t="str">
            <v>@@</v>
          </cell>
          <cell r="AB1109" t="str">
            <v>@@</v>
          </cell>
          <cell r="AC1109" t="str">
            <v>@@</v>
          </cell>
          <cell r="AD1109" t="str">
            <v>@@</v>
          </cell>
          <cell r="AL1109" t="str">
            <v>@@</v>
          </cell>
        </row>
        <row r="1110">
          <cell r="J1110">
            <v>128700</v>
          </cell>
          <cell r="L1110" t="str">
            <v>@@</v>
          </cell>
          <cell r="M1110" t="str">
            <v>@@</v>
          </cell>
          <cell r="N1110" t="str">
            <v>@@</v>
          </cell>
          <cell r="O1110" t="str">
            <v>@@</v>
          </cell>
          <cell r="P1110" t="str">
            <v>@@</v>
          </cell>
          <cell r="Q1110" t="str">
            <v>@@</v>
          </cell>
          <cell r="R1110" t="str">
            <v>@@</v>
          </cell>
          <cell r="S1110" t="str">
            <v>@@</v>
          </cell>
          <cell r="AB1110" t="str">
            <v>@@</v>
          </cell>
          <cell r="AC1110" t="str">
            <v>@@</v>
          </cell>
          <cell r="AD1110" t="str">
            <v>@@</v>
          </cell>
          <cell r="AL1110" t="str">
            <v>@@</v>
          </cell>
        </row>
        <row r="1111">
          <cell r="J1111">
            <v>128800</v>
          </cell>
          <cell r="L1111" t="str">
            <v>@@</v>
          </cell>
          <cell r="M1111" t="str">
            <v>@@</v>
          </cell>
          <cell r="N1111" t="str">
            <v>@@</v>
          </cell>
          <cell r="O1111" t="str">
            <v>@@</v>
          </cell>
          <cell r="P1111" t="str">
            <v>@@</v>
          </cell>
          <cell r="Q1111" t="str">
            <v>@@</v>
          </cell>
          <cell r="R1111" t="str">
            <v>@@</v>
          </cell>
          <cell r="S1111" t="str">
            <v>@@</v>
          </cell>
          <cell r="AB1111" t="str">
            <v>@@</v>
          </cell>
          <cell r="AC1111" t="str">
            <v>@@</v>
          </cell>
          <cell r="AD1111" t="str">
            <v>@@</v>
          </cell>
          <cell r="AL1111" t="str">
            <v>@@</v>
          </cell>
        </row>
        <row r="1112">
          <cell r="J1112">
            <v>128900</v>
          </cell>
          <cell r="L1112" t="str">
            <v>@@</v>
          </cell>
          <cell r="M1112" t="str">
            <v>@@</v>
          </cell>
          <cell r="N1112" t="str">
            <v>@@</v>
          </cell>
          <cell r="O1112" t="str">
            <v>@@</v>
          </cell>
          <cell r="P1112" t="str">
            <v>@@</v>
          </cell>
          <cell r="Q1112" t="str">
            <v>@@</v>
          </cell>
          <cell r="R1112" t="str">
            <v>@@</v>
          </cell>
          <cell r="S1112" t="str">
            <v>@@</v>
          </cell>
          <cell r="AB1112" t="str">
            <v>@@</v>
          </cell>
          <cell r="AC1112" t="str">
            <v>@@</v>
          </cell>
          <cell r="AD1112" t="str">
            <v>@@</v>
          </cell>
          <cell r="AL1112" t="str">
            <v>@@</v>
          </cell>
        </row>
        <row r="1113">
          <cell r="J1113">
            <v>129000</v>
          </cell>
          <cell r="L1113" t="str">
            <v>@@</v>
          </cell>
          <cell r="M1113" t="str">
            <v>@@</v>
          </cell>
          <cell r="N1113" t="str">
            <v>@@</v>
          </cell>
          <cell r="O1113" t="str">
            <v>@@</v>
          </cell>
          <cell r="P1113" t="str">
            <v>@@</v>
          </cell>
          <cell r="Q1113" t="str">
            <v>@@</v>
          </cell>
          <cell r="R1113" t="str">
            <v>@@</v>
          </cell>
          <cell r="S1113" t="str">
            <v>@@</v>
          </cell>
          <cell r="AB1113" t="str">
            <v>@@</v>
          </cell>
          <cell r="AC1113" t="str">
            <v>@@</v>
          </cell>
          <cell r="AD1113" t="str">
            <v>@@</v>
          </cell>
          <cell r="AL1113" t="str">
            <v>@@</v>
          </cell>
        </row>
        <row r="1114">
          <cell r="J1114">
            <v>129100</v>
          </cell>
          <cell r="L1114" t="str">
            <v>@@</v>
          </cell>
          <cell r="M1114" t="str">
            <v>@@</v>
          </cell>
          <cell r="N1114" t="str">
            <v>@@</v>
          </cell>
          <cell r="O1114" t="str">
            <v>@@</v>
          </cell>
          <cell r="P1114" t="str">
            <v>@@</v>
          </cell>
          <cell r="Q1114" t="str">
            <v>@@</v>
          </cell>
          <cell r="R1114" t="str">
            <v>@@</v>
          </cell>
          <cell r="S1114" t="str">
            <v>@@</v>
          </cell>
          <cell r="AB1114" t="str">
            <v>@@</v>
          </cell>
          <cell r="AC1114" t="str">
            <v>@@</v>
          </cell>
          <cell r="AD1114" t="str">
            <v>@@</v>
          </cell>
          <cell r="AL1114" t="str">
            <v>@@</v>
          </cell>
        </row>
        <row r="1115">
          <cell r="J1115">
            <v>129200</v>
          </cell>
          <cell r="L1115" t="str">
            <v>@@</v>
          </cell>
          <cell r="M1115" t="str">
            <v>@@</v>
          </cell>
          <cell r="N1115" t="str">
            <v>@@</v>
          </cell>
          <cell r="O1115" t="str">
            <v>@@</v>
          </cell>
          <cell r="P1115" t="str">
            <v>@@</v>
          </cell>
          <cell r="Q1115" t="str">
            <v>@@</v>
          </cell>
          <cell r="R1115" t="str">
            <v>@@</v>
          </cell>
          <cell r="S1115" t="str">
            <v>@@</v>
          </cell>
          <cell r="AB1115" t="str">
            <v>@@</v>
          </cell>
          <cell r="AC1115" t="str">
            <v>@@</v>
          </cell>
          <cell r="AD1115" t="str">
            <v>@@</v>
          </cell>
          <cell r="AL1115" t="str">
            <v>@@</v>
          </cell>
        </row>
        <row r="1116">
          <cell r="J1116">
            <v>129300</v>
          </cell>
          <cell r="L1116" t="str">
            <v>@@</v>
          </cell>
          <cell r="M1116" t="str">
            <v>@@</v>
          </cell>
          <cell r="N1116" t="str">
            <v>@@</v>
          </cell>
          <cell r="O1116" t="str">
            <v>@@</v>
          </cell>
          <cell r="P1116" t="str">
            <v>@@</v>
          </cell>
          <cell r="Q1116" t="str">
            <v>@@</v>
          </cell>
          <cell r="R1116" t="str">
            <v>@@</v>
          </cell>
          <cell r="S1116" t="str">
            <v>@@</v>
          </cell>
          <cell r="AB1116" t="str">
            <v>@@</v>
          </cell>
          <cell r="AC1116" t="str">
            <v>@@</v>
          </cell>
          <cell r="AD1116" t="str">
            <v>@@</v>
          </cell>
          <cell r="AL1116" t="str">
            <v>@@</v>
          </cell>
        </row>
        <row r="1117">
          <cell r="J1117">
            <v>129400</v>
          </cell>
          <cell r="L1117" t="str">
            <v>@@</v>
          </cell>
          <cell r="M1117" t="str">
            <v>@@</v>
          </cell>
          <cell r="N1117" t="str">
            <v>@@</v>
          </cell>
          <cell r="O1117" t="str">
            <v>@@</v>
          </cell>
          <cell r="P1117" t="str">
            <v>@@</v>
          </cell>
          <cell r="Q1117" t="str">
            <v>@@</v>
          </cell>
          <cell r="R1117" t="str">
            <v>@@</v>
          </cell>
          <cell r="S1117" t="str">
            <v>@@</v>
          </cell>
          <cell r="AB1117" t="str">
            <v>@@</v>
          </cell>
          <cell r="AC1117" t="str">
            <v>@@</v>
          </cell>
          <cell r="AD1117" t="str">
            <v>@@</v>
          </cell>
          <cell r="AL1117" t="str">
            <v>@@</v>
          </cell>
        </row>
        <row r="1118">
          <cell r="J1118">
            <v>129500</v>
          </cell>
          <cell r="L1118" t="str">
            <v>@@</v>
          </cell>
          <cell r="M1118" t="str">
            <v>@@</v>
          </cell>
          <cell r="N1118" t="str">
            <v>@@</v>
          </cell>
          <cell r="O1118" t="str">
            <v>@@</v>
          </cell>
          <cell r="P1118" t="str">
            <v>@@</v>
          </cell>
          <cell r="Q1118" t="str">
            <v>@@</v>
          </cell>
          <cell r="R1118" t="str">
            <v>@@</v>
          </cell>
          <cell r="S1118" t="str">
            <v>@@</v>
          </cell>
          <cell r="AB1118" t="str">
            <v>@@</v>
          </cell>
          <cell r="AC1118" t="str">
            <v>@@</v>
          </cell>
          <cell r="AD1118" t="str">
            <v>@@</v>
          </cell>
          <cell r="AL1118" t="str">
            <v>@@</v>
          </cell>
        </row>
        <row r="1119">
          <cell r="J1119">
            <v>129600</v>
          </cell>
          <cell r="L1119" t="str">
            <v>@@</v>
          </cell>
          <cell r="M1119" t="str">
            <v>@@</v>
          </cell>
          <cell r="N1119" t="str">
            <v>@@</v>
          </cell>
          <cell r="O1119" t="str">
            <v>@@</v>
          </cell>
          <cell r="P1119" t="str">
            <v>@@</v>
          </cell>
          <cell r="Q1119" t="str">
            <v>@@</v>
          </cell>
          <cell r="R1119" t="str">
            <v>@@</v>
          </cell>
          <cell r="S1119" t="str">
            <v>@@</v>
          </cell>
          <cell r="AB1119" t="str">
            <v>@@</v>
          </cell>
          <cell r="AC1119" t="str">
            <v>@@</v>
          </cell>
          <cell r="AD1119" t="str">
            <v>@@</v>
          </cell>
          <cell r="AL1119" t="str">
            <v>@@</v>
          </cell>
        </row>
        <row r="1120">
          <cell r="J1120">
            <v>129700</v>
          </cell>
          <cell r="L1120" t="str">
            <v>@@</v>
          </cell>
          <cell r="M1120" t="str">
            <v>@@</v>
          </cell>
          <cell r="N1120" t="str">
            <v>@@</v>
          </cell>
          <cell r="O1120" t="str">
            <v>@@</v>
          </cell>
          <cell r="P1120" t="str">
            <v>@@</v>
          </cell>
          <cell r="Q1120" t="str">
            <v>@@</v>
          </cell>
          <cell r="R1120" t="str">
            <v>@@</v>
          </cell>
          <cell r="S1120" t="str">
            <v>@@</v>
          </cell>
          <cell r="AB1120" t="str">
            <v>@@</v>
          </cell>
          <cell r="AC1120" t="str">
            <v>@@</v>
          </cell>
          <cell r="AD1120" t="str">
            <v>@@</v>
          </cell>
          <cell r="AL1120" t="str">
            <v>@@</v>
          </cell>
        </row>
        <row r="1121">
          <cell r="J1121">
            <v>129800</v>
          </cell>
          <cell r="L1121" t="str">
            <v>@@</v>
          </cell>
          <cell r="M1121" t="str">
            <v>@@</v>
          </cell>
          <cell r="N1121" t="str">
            <v>@@</v>
          </cell>
          <cell r="O1121" t="str">
            <v>@@</v>
          </cell>
          <cell r="P1121" t="str">
            <v>@@</v>
          </cell>
          <cell r="Q1121" t="str">
            <v>@@</v>
          </cell>
          <cell r="R1121" t="str">
            <v>@@</v>
          </cell>
          <cell r="S1121" t="str">
            <v>@@</v>
          </cell>
          <cell r="AB1121" t="str">
            <v>@@</v>
          </cell>
          <cell r="AC1121" t="str">
            <v>@@</v>
          </cell>
          <cell r="AD1121" t="str">
            <v>@@</v>
          </cell>
          <cell r="AL1121" t="str">
            <v>@@</v>
          </cell>
        </row>
        <row r="1122">
          <cell r="J1122">
            <v>129900</v>
          </cell>
          <cell r="L1122" t="str">
            <v>@@</v>
          </cell>
          <cell r="M1122" t="str">
            <v>@@</v>
          </cell>
          <cell r="N1122" t="str">
            <v>@@</v>
          </cell>
          <cell r="O1122" t="str">
            <v>@@</v>
          </cell>
          <cell r="P1122" t="str">
            <v>@@</v>
          </cell>
          <cell r="Q1122" t="str">
            <v>@@</v>
          </cell>
          <cell r="R1122" t="str">
            <v>@@</v>
          </cell>
          <cell r="S1122" t="str">
            <v>@@</v>
          </cell>
          <cell r="AB1122" t="str">
            <v>@@</v>
          </cell>
          <cell r="AC1122" t="str">
            <v>@@</v>
          </cell>
          <cell r="AD1122" t="str">
            <v>@@</v>
          </cell>
          <cell r="AL1122" t="str">
            <v>@@</v>
          </cell>
        </row>
        <row r="1123">
          <cell r="J1123">
            <v>130000</v>
          </cell>
          <cell r="L1123" t="str">
            <v>@@</v>
          </cell>
          <cell r="M1123" t="str">
            <v>@@</v>
          </cell>
          <cell r="N1123" t="str">
            <v>@@</v>
          </cell>
          <cell r="O1123" t="str">
            <v>@@</v>
          </cell>
          <cell r="P1123" t="str">
            <v>@@</v>
          </cell>
          <cell r="Q1123" t="str">
            <v>@@</v>
          </cell>
          <cell r="R1123" t="str">
            <v>@@</v>
          </cell>
          <cell r="S1123" t="str">
            <v>@@</v>
          </cell>
          <cell r="AB1123" t="str">
            <v>@@</v>
          </cell>
          <cell r="AC1123" t="str">
            <v>@@</v>
          </cell>
          <cell r="AD1123" t="str">
            <v>@@</v>
          </cell>
          <cell r="AL1123" t="str">
            <v>@@</v>
          </cell>
        </row>
        <row r="1124">
          <cell r="J1124">
            <v>130100</v>
          </cell>
          <cell r="L1124" t="str">
            <v>@@</v>
          </cell>
          <cell r="M1124" t="str">
            <v>@@</v>
          </cell>
          <cell r="N1124" t="str">
            <v>@@</v>
          </cell>
          <cell r="O1124" t="str">
            <v>@@</v>
          </cell>
          <cell r="P1124" t="str">
            <v>@@</v>
          </cell>
          <cell r="Q1124" t="str">
            <v>@@</v>
          </cell>
          <cell r="R1124" t="str">
            <v>@@</v>
          </cell>
          <cell r="S1124" t="str">
            <v>@@</v>
          </cell>
          <cell r="AB1124" t="str">
            <v>@@</v>
          </cell>
          <cell r="AC1124" t="str">
            <v>@@</v>
          </cell>
          <cell r="AD1124" t="str">
            <v>@@</v>
          </cell>
          <cell r="AL1124" t="str">
            <v>@@</v>
          </cell>
        </row>
        <row r="1125">
          <cell r="J1125">
            <v>130200</v>
          </cell>
          <cell r="L1125" t="str">
            <v>@@</v>
          </cell>
          <cell r="M1125" t="str">
            <v>@@</v>
          </cell>
          <cell r="N1125" t="str">
            <v>@@</v>
          </cell>
          <cell r="O1125" t="str">
            <v>@@</v>
          </cell>
          <cell r="P1125" t="str">
            <v>@@</v>
          </cell>
          <cell r="Q1125" t="str">
            <v>@@</v>
          </cell>
          <cell r="R1125" t="str">
            <v>@@</v>
          </cell>
          <cell r="S1125" t="str">
            <v>@@</v>
          </cell>
          <cell r="AB1125" t="str">
            <v>@@</v>
          </cell>
          <cell r="AC1125" t="str">
            <v>@@</v>
          </cell>
          <cell r="AD1125" t="str">
            <v>@@</v>
          </cell>
          <cell r="AL1125" t="str">
            <v>@@</v>
          </cell>
        </row>
        <row r="1126">
          <cell r="J1126">
            <v>130300</v>
          </cell>
          <cell r="L1126" t="str">
            <v>@@</v>
          </cell>
          <cell r="M1126" t="str">
            <v>@@</v>
          </cell>
          <cell r="N1126" t="str">
            <v>@@</v>
          </cell>
          <cell r="O1126" t="str">
            <v>@@</v>
          </cell>
          <cell r="P1126" t="str">
            <v>@@</v>
          </cell>
          <cell r="Q1126" t="str">
            <v>@@</v>
          </cell>
          <cell r="R1126" t="str">
            <v>@@</v>
          </cell>
          <cell r="S1126" t="str">
            <v>@@</v>
          </cell>
          <cell r="AB1126" t="str">
            <v>@@</v>
          </cell>
          <cell r="AC1126" t="str">
            <v>@@</v>
          </cell>
          <cell r="AD1126" t="str">
            <v>@@</v>
          </cell>
          <cell r="AL1126" t="str">
            <v>@@</v>
          </cell>
        </row>
        <row r="1127">
          <cell r="J1127">
            <v>130400</v>
          </cell>
          <cell r="L1127" t="str">
            <v>@@</v>
          </cell>
          <cell r="M1127" t="str">
            <v>@@</v>
          </cell>
          <cell r="N1127" t="str">
            <v>@@</v>
          </cell>
          <cell r="O1127" t="str">
            <v>@@</v>
          </cell>
          <cell r="P1127" t="str">
            <v>@@</v>
          </cell>
          <cell r="Q1127" t="str">
            <v>@@</v>
          </cell>
          <cell r="R1127" t="str">
            <v>@@</v>
          </cell>
          <cell r="S1127" t="str">
            <v>@@</v>
          </cell>
          <cell r="AB1127" t="str">
            <v>@@</v>
          </cell>
          <cell r="AC1127" t="str">
            <v>@@</v>
          </cell>
          <cell r="AD1127" t="str">
            <v>@@</v>
          </cell>
          <cell r="AL1127" t="str">
            <v>@@</v>
          </cell>
        </row>
        <row r="1128">
          <cell r="J1128">
            <v>130500</v>
          </cell>
          <cell r="L1128" t="str">
            <v>@@</v>
          </cell>
          <cell r="M1128" t="str">
            <v>@@</v>
          </cell>
          <cell r="N1128" t="str">
            <v>@@</v>
          </cell>
          <cell r="O1128" t="str">
            <v>@@</v>
          </cell>
          <cell r="P1128" t="str">
            <v>@@</v>
          </cell>
          <cell r="Q1128" t="str">
            <v>@@</v>
          </cell>
          <cell r="R1128" t="str">
            <v>@@</v>
          </cell>
          <cell r="S1128" t="str">
            <v>@@</v>
          </cell>
          <cell r="AB1128" t="str">
            <v>@@</v>
          </cell>
          <cell r="AC1128" t="str">
            <v>@@</v>
          </cell>
          <cell r="AD1128" t="str">
            <v>@@</v>
          </cell>
          <cell r="AL1128" t="str">
            <v>@@</v>
          </cell>
        </row>
        <row r="1129">
          <cell r="J1129">
            <v>130600</v>
          </cell>
          <cell r="L1129" t="str">
            <v>@@</v>
          </cell>
          <cell r="M1129" t="str">
            <v>@@</v>
          </cell>
          <cell r="N1129" t="str">
            <v>@@</v>
          </cell>
          <cell r="O1129" t="str">
            <v>@@</v>
          </cell>
          <cell r="P1129" t="str">
            <v>@@</v>
          </cell>
          <cell r="Q1129" t="str">
            <v>@@</v>
          </cell>
          <cell r="R1129" t="str">
            <v>@@</v>
          </cell>
          <cell r="S1129" t="str">
            <v>@@</v>
          </cell>
          <cell r="AB1129" t="str">
            <v>@@</v>
          </cell>
          <cell r="AC1129" t="str">
            <v>@@</v>
          </cell>
          <cell r="AD1129" t="str">
            <v>@@</v>
          </cell>
          <cell r="AL1129" t="str">
            <v>@@</v>
          </cell>
        </row>
        <row r="1130">
          <cell r="J1130">
            <v>130700</v>
          </cell>
          <cell r="L1130" t="str">
            <v>@@</v>
          </cell>
          <cell r="M1130" t="str">
            <v>@@</v>
          </cell>
          <cell r="N1130" t="str">
            <v>@@</v>
          </cell>
          <cell r="O1130" t="str">
            <v>@@</v>
          </cell>
          <cell r="P1130" t="str">
            <v>@@</v>
          </cell>
          <cell r="Q1130" t="str">
            <v>@@</v>
          </cell>
          <cell r="R1130" t="str">
            <v>@@</v>
          </cell>
          <cell r="S1130" t="str">
            <v>@@</v>
          </cell>
          <cell r="AB1130" t="str">
            <v>@@</v>
          </cell>
          <cell r="AC1130" t="str">
            <v>@@</v>
          </cell>
          <cell r="AD1130" t="str">
            <v>@@</v>
          </cell>
          <cell r="AL1130" t="str">
            <v>@@</v>
          </cell>
        </row>
        <row r="1131">
          <cell r="J1131">
            <v>130800</v>
          </cell>
          <cell r="L1131" t="str">
            <v>@@</v>
          </cell>
          <cell r="M1131" t="str">
            <v>@@</v>
          </cell>
          <cell r="N1131" t="str">
            <v>@@</v>
          </cell>
          <cell r="O1131" t="str">
            <v>@@</v>
          </cell>
          <cell r="P1131" t="str">
            <v>@@</v>
          </cell>
          <cell r="Q1131" t="str">
            <v>@@</v>
          </cell>
          <cell r="R1131" t="str">
            <v>@@</v>
          </cell>
          <cell r="S1131" t="str">
            <v>@@</v>
          </cell>
          <cell r="AB1131" t="str">
            <v>@@</v>
          </cell>
          <cell r="AC1131" t="str">
            <v>@@</v>
          </cell>
          <cell r="AD1131" t="str">
            <v>@@</v>
          </cell>
          <cell r="AL1131" t="str">
            <v>@@</v>
          </cell>
        </row>
        <row r="1132">
          <cell r="J1132">
            <v>130900</v>
          </cell>
          <cell r="L1132" t="str">
            <v>@@</v>
          </cell>
          <cell r="M1132" t="str">
            <v>@@</v>
          </cell>
          <cell r="N1132" t="str">
            <v>@@</v>
          </cell>
          <cell r="O1132" t="str">
            <v>@@</v>
          </cell>
          <cell r="P1132" t="str">
            <v>@@</v>
          </cell>
          <cell r="Q1132" t="str">
            <v>@@</v>
          </cell>
          <cell r="R1132" t="str">
            <v>@@</v>
          </cell>
          <cell r="S1132" t="str">
            <v>@@</v>
          </cell>
          <cell r="AB1132" t="str">
            <v>@@</v>
          </cell>
          <cell r="AC1132">
            <v>-21.2</v>
          </cell>
          <cell r="AD1132">
            <v>5.6</v>
          </cell>
          <cell r="AF1132">
            <v>-21.2</v>
          </cell>
          <cell r="AG1132">
            <v>5.6</v>
          </cell>
          <cell r="AL1132" t="str">
            <v>@@</v>
          </cell>
        </row>
        <row r="1133">
          <cell r="J1133">
            <v>131000</v>
          </cell>
          <cell r="L1133">
            <v>131000</v>
          </cell>
          <cell r="M1133">
            <v>-21.2</v>
          </cell>
          <cell r="N1133">
            <v>5.6</v>
          </cell>
          <cell r="O1133">
            <v>-6.3333333333333321</v>
          </cell>
          <cell r="P1133">
            <v>3.3</v>
          </cell>
          <cell r="Q1133">
            <v>-23.4</v>
          </cell>
          <cell r="R1133">
            <v>6.6</v>
          </cell>
          <cell r="S1133">
            <v>1</v>
          </cell>
          <cell r="T1133">
            <v>131000</v>
          </cell>
          <cell r="U1133">
            <v>-21.2</v>
          </cell>
          <cell r="V1133">
            <v>5.6</v>
          </cell>
          <cell r="W1133">
            <v>-6.3333333333333321</v>
          </cell>
          <cell r="X1133">
            <v>3.3</v>
          </cell>
          <cell r="Y1133">
            <v>-23.4</v>
          </cell>
          <cell r="Z1133">
            <v>6.6</v>
          </cell>
          <cell r="AA1133">
            <v>1</v>
          </cell>
          <cell r="AB1133">
            <v>131000</v>
          </cell>
          <cell r="AC1133">
            <v>-6.3333333333333321</v>
          </cell>
          <cell r="AD1133">
            <v>3.3</v>
          </cell>
          <cell r="AE1133">
            <v>131000</v>
          </cell>
          <cell r="AF1133">
            <v>-6.3333333333333321</v>
          </cell>
          <cell r="AG1133">
            <v>3.3</v>
          </cell>
          <cell r="AL1133">
            <v>15.499999999999998</v>
          </cell>
          <cell r="AM1133">
            <v>15.5</v>
          </cell>
        </row>
        <row r="1134">
          <cell r="J1134">
            <v>131100</v>
          </cell>
          <cell r="L1134" t="str">
            <v>@@</v>
          </cell>
          <cell r="M1134" t="str">
            <v>@@</v>
          </cell>
          <cell r="N1134" t="str">
            <v>@@</v>
          </cell>
          <cell r="O1134" t="str">
            <v>@@</v>
          </cell>
          <cell r="P1134" t="str">
            <v>@@</v>
          </cell>
          <cell r="Q1134" t="str">
            <v>@@</v>
          </cell>
          <cell r="R1134" t="str">
            <v>@@</v>
          </cell>
          <cell r="S1134" t="str">
            <v>@@</v>
          </cell>
          <cell r="AB1134" t="str">
            <v>@@</v>
          </cell>
          <cell r="AC1134">
            <v>-23.4</v>
          </cell>
          <cell r="AD1134">
            <v>6.6</v>
          </cell>
          <cell r="AF1134">
            <v>-23.4</v>
          </cell>
          <cell r="AG1134">
            <v>6.6</v>
          </cell>
          <cell r="AL1134" t="str">
            <v>@@</v>
          </cell>
        </row>
        <row r="1135">
          <cell r="J1135">
            <v>131200</v>
          </cell>
          <cell r="L1135" t="str">
            <v>@@</v>
          </cell>
          <cell r="M1135" t="str">
            <v>@@</v>
          </cell>
          <cell r="N1135" t="str">
            <v>@@</v>
          </cell>
          <cell r="O1135" t="str">
            <v>@@</v>
          </cell>
          <cell r="P1135" t="str">
            <v>@@</v>
          </cell>
          <cell r="Q1135" t="str">
            <v>@@</v>
          </cell>
          <cell r="R1135" t="str">
            <v>@@</v>
          </cell>
          <cell r="S1135" t="str">
            <v>@@</v>
          </cell>
          <cell r="AB1135" t="str">
            <v>@@</v>
          </cell>
          <cell r="AC1135" t="str">
            <v>@@</v>
          </cell>
          <cell r="AD1135" t="str">
            <v>@@</v>
          </cell>
          <cell r="AL1135" t="str">
            <v>@@</v>
          </cell>
        </row>
        <row r="1136">
          <cell r="J1136">
            <v>131300</v>
          </cell>
          <cell r="L1136" t="str">
            <v>@@</v>
          </cell>
          <cell r="M1136" t="str">
            <v>@@</v>
          </cell>
          <cell r="N1136" t="str">
            <v>@@</v>
          </cell>
          <cell r="O1136" t="str">
            <v>@@</v>
          </cell>
          <cell r="P1136" t="str">
            <v>@@</v>
          </cell>
          <cell r="Q1136" t="str">
            <v>@@</v>
          </cell>
          <cell r="R1136" t="str">
            <v>@@</v>
          </cell>
          <cell r="S1136" t="str">
            <v>@@</v>
          </cell>
          <cell r="AB1136" t="str">
            <v>@@</v>
          </cell>
          <cell r="AC1136" t="str">
            <v>@@</v>
          </cell>
          <cell r="AD1136" t="str">
            <v>@@</v>
          </cell>
          <cell r="AL1136" t="str">
            <v>@@</v>
          </cell>
        </row>
        <row r="1137">
          <cell r="J1137">
            <v>131400</v>
          </cell>
          <cell r="L1137" t="str">
            <v>@@</v>
          </cell>
          <cell r="M1137" t="str">
            <v>@@</v>
          </cell>
          <cell r="N1137" t="str">
            <v>@@</v>
          </cell>
          <cell r="O1137" t="str">
            <v>@@</v>
          </cell>
          <cell r="P1137" t="str">
            <v>@@</v>
          </cell>
          <cell r="Q1137" t="str">
            <v>@@</v>
          </cell>
          <cell r="R1137" t="str">
            <v>@@</v>
          </cell>
          <cell r="S1137" t="str">
            <v>@@</v>
          </cell>
          <cell r="AB1137" t="str">
            <v>@@</v>
          </cell>
          <cell r="AC1137" t="str">
            <v>@@</v>
          </cell>
          <cell r="AD1137" t="str">
            <v>@@</v>
          </cell>
          <cell r="AL1137" t="str">
            <v>@@</v>
          </cell>
        </row>
        <row r="1138">
          <cell r="J1138">
            <v>131500</v>
          </cell>
          <cell r="L1138" t="str">
            <v>@@</v>
          </cell>
          <cell r="M1138" t="str">
            <v>@@</v>
          </cell>
          <cell r="N1138" t="str">
            <v>@@</v>
          </cell>
          <cell r="O1138" t="str">
            <v>@@</v>
          </cell>
          <cell r="P1138" t="str">
            <v>@@</v>
          </cell>
          <cell r="Q1138" t="str">
            <v>@@</v>
          </cell>
          <cell r="R1138" t="str">
            <v>@@</v>
          </cell>
          <cell r="S1138" t="str">
            <v>@@</v>
          </cell>
          <cell r="AB1138" t="str">
            <v>@@</v>
          </cell>
          <cell r="AC1138" t="str">
            <v>@@</v>
          </cell>
          <cell r="AD1138" t="str">
            <v>@@</v>
          </cell>
          <cell r="AL1138" t="str">
            <v>@@</v>
          </cell>
        </row>
        <row r="1139">
          <cell r="J1139">
            <v>131600</v>
          </cell>
          <cell r="L1139" t="str">
            <v>@@</v>
          </cell>
          <cell r="M1139" t="str">
            <v>@@</v>
          </cell>
          <cell r="N1139" t="str">
            <v>@@</v>
          </cell>
          <cell r="O1139" t="str">
            <v>@@</v>
          </cell>
          <cell r="P1139" t="str">
            <v>@@</v>
          </cell>
          <cell r="Q1139" t="str">
            <v>@@</v>
          </cell>
          <cell r="R1139" t="str">
            <v>@@</v>
          </cell>
          <cell r="S1139" t="str">
            <v>@@</v>
          </cell>
          <cell r="AB1139" t="str">
            <v>@@</v>
          </cell>
          <cell r="AC1139" t="str">
            <v>@@</v>
          </cell>
          <cell r="AD1139" t="str">
            <v>@@</v>
          </cell>
          <cell r="AL1139" t="str">
            <v>@@</v>
          </cell>
        </row>
        <row r="1140">
          <cell r="J1140">
            <v>131700</v>
          </cell>
          <cell r="L1140" t="str">
            <v>@@</v>
          </cell>
          <cell r="M1140" t="str">
            <v>@@</v>
          </cell>
          <cell r="N1140" t="str">
            <v>@@</v>
          </cell>
          <cell r="O1140" t="str">
            <v>@@</v>
          </cell>
          <cell r="P1140" t="str">
            <v>@@</v>
          </cell>
          <cell r="Q1140" t="str">
            <v>@@</v>
          </cell>
          <cell r="R1140" t="str">
            <v>@@</v>
          </cell>
          <cell r="S1140" t="str">
            <v>@@</v>
          </cell>
          <cell r="AB1140" t="str">
            <v>@@</v>
          </cell>
          <cell r="AC1140" t="str">
            <v>@@</v>
          </cell>
          <cell r="AD1140" t="str">
            <v>@@</v>
          </cell>
          <cell r="AL1140" t="str">
            <v>@@</v>
          </cell>
        </row>
        <row r="1141">
          <cell r="J1141">
            <v>131800</v>
          </cell>
          <cell r="L1141" t="str">
            <v>@@</v>
          </cell>
          <cell r="M1141" t="str">
            <v>@@</v>
          </cell>
          <cell r="N1141" t="str">
            <v>@@</v>
          </cell>
          <cell r="O1141" t="str">
            <v>@@</v>
          </cell>
          <cell r="P1141" t="str">
            <v>@@</v>
          </cell>
          <cell r="Q1141" t="str">
            <v>@@</v>
          </cell>
          <cell r="R1141" t="str">
            <v>@@</v>
          </cell>
          <cell r="S1141" t="str">
            <v>@@</v>
          </cell>
          <cell r="AB1141" t="str">
            <v>@@</v>
          </cell>
          <cell r="AC1141">
            <v>-26.8</v>
          </cell>
          <cell r="AD1141">
            <v>5</v>
          </cell>
          <cell r="AF1141">
            <v>-26.8</v>
          </cell>
          <cell r="AG1141">
            <v>5</v>
          </cell>
          <cell r="AL1141" t="str">
            <v>@@</v>
          </cell>
        </row>
        <row r="1142">
          <cell r="J1142">
            <v>131900</v>
          </cell>
          <cell r="L1142">
            <v>131900</v>
          </cell>
          <cell r="M1142">
            <v>-26.8</v>
          </cell>
          <cell r="N1142">
            <v>5</v>
          </cell>
          <cell r="O1142">
            <v>-21</v>
          </cell>
          <cell r="P1142">
            <v>3.2</v>
          </cell>
          <cell r="Q1142">
            <v>-34.666666666666671</v>
          </cell>
          <cell r="R1142">
            <v>3</v>
          </cell>
          <cell r="S1142">
            <v>1</v>
          </cell>
          <cell r="T1142">
            <v>131900</v>
          </cell>
          <cell r="U1142">
            <v>-26.8</v>
          </cell>
          <cell r="V1142">
            <v>5</v>
          </cell>
          <cell r="W1142">
            <v>-21</v>
          </cell>
          <cell r="X1142">
            <v>3.2</v>
          </cell>
          <cell r="Y1142">
            <v>-34.666666666666671</v>
          </cell>
          <cell r="Z1142">
            <v>3</v>
          </cell>
          <cell r="AA1142">
            <v>1</v>
          </cell>
          <cell r="AB1142">
            <v>131900</v>
          </cell>
          <cell r="AC1142">
            <v>-21</v>
          </cell>
          <cell r="AD1142">
            <v>3.2</v>
          </cell>
          <cell r="AE1142">
            <v>131900</v>
          </cell>
          <cell r="AF1142">
            <v>-21</v>
          </cell>
          <cell r="AG1142">
            <v>3.2</v>
          </cell>
          <cell r="AL1142">
            <v>11.2</v>
          </cell>
          <cell r="AM1142">
            <v>11.2</v>
          </cell>
        </row>
        <row r="1143">
          <cell r="J1143">
            <v>132000</v>
          </cell>
          <cell r="L1143" t="str">
            <v>@@</v>
          </cell>
          <cell r="M1143" t="str">
            <v>@@</v>
          </cell>
          <cell r="N1143" t="str">
            <v>@@</v>
          </cell>
          <cell r="O1143" t="str">
            <v>@@</v>
          </cell>
          <cell r="P1143" t="str">
            <v>@@</v>
          </cell>
          <cell r="Q1143" t="str">
            <v>@@</v>
          </cell>
          <cell r="R1143" t="str">
            <v>@@</v>
          </cell>
          <cell r="S1143" t="str">
            <v>@@</v>
          </cell>
          <cell r="AB1143" t="str">
            <v>@@</v>
          </cell>
          <cell r="AC1143">
            <v>-34.666666666666671</v>
          </cell>
          <cell r="AD1143">
            <v>3</v>
          </cell>
          <cell r="AF1143">
            <v>-34.666666666666671</v>
          </cell>
          <cell r="AG1143">
            <v>3</v>
          </cell>
          <cell r="AL1143" t="str">
            <v>@@</v>
          </cell>
        </row>
        <row r="1144">
          <cell r="J1144">
            <v>132100</v>
          </cell>
          <cell r="L1144" t="str">
            <v>@@</v>
          </cell>
          <cell r="M1144" t="str">
            <v>@@</v>
          </cell>
          <cell r="N1144" t="str">
            <v>@@</v>
          </cell>
          <cell r="O1144" t="str">
            <v>@@</v>
          </cell>
          <cell r="P1144" t="str">
            <v>@@</v>
          </cell>
          <cell r="Q1144" t="str">
            <v>@@</v>
          </cell>
          <cell r="R1144" t="str">
            <v>@@</v>
          </cell>
          <cell r="S1144" t="str">
            <v>@@</v>
          </cell>
          <cell r="AB1144" t="str">
            <v>@@</v>
          </cell>
          <cell r="AC1144" t="str">
            <v>@@</v>
          </cell>
          <cell r="AD1144" t="str">
            <v>@@</v>
          </cell>
          <cell r="AL1144" t="str">
            <v>@@</v>
          </cell>
        </row>
        <row r="1145">
          <cell r="J1145">
            <v>132200</v>
          </cell>
          <cell r="L1145" t="str">
            <v>@@</v>
          </cell>
          <cell r="M1145" t="str">
            <v>@@</v>
          </cell>
          <cell r="N1145" t="str">
            <v>@@</v>
          </cell>
          <cell r="O1145" t="str">
            <v>@@</v>
          </cell>
          <cell r="P1145" t="str">
            <v>@@</v>
          </cell>
          <cell r="Q1145" t="str">
            <v>@@</v>
          </cell>
          <cell r="R1145" t="str">
            <v>@@</v>
          </cell>
          <cell r="S1145" t="str">
            <v>@@</v>
          </cell>
          <cell r="AB1145" t="str">
            <v>@@</v>
          </cell>
          <cell r="AC1145" t="str">
            <v>@@</v>
          </cell>
          <cell r="AD1145" t="str">
            <v>@@</v>
          </cell>
          <cell r="AL1145" t="str">
            <v>@@</v>
          </cell>
        </row>
        <row r="1146">
          <cell r="J1146">
            <v>132300</v>
          </cell>
          <cell r="L1146" t="str">
            <v>@@</v>
          </cell>
          <cell r="M1146" t="str">
            <v>@@</v>
          </cell>
          <cell r="N1146" t="str">
            <v>@@</v>
          </cell>
          <cell r="O1146" t="str">
            <v>@@</v>
          </cell>
          <cell r="P1146" t="str">
            <v>@@</v>
          </cell>
          <cell r="Q1146" t="str">
            <v>@@</v>
          </cell>
          <cell r="R1146" t="str">
            <v>@@</v>
          </cell>
          <cell r="S1146" t="str">
            <v>@@</v>
          </cell>
          <cell r="AB1146" t="str">
            <v>@@</v>
          </cell>
          <cell r="AC1146" t="str">
            <v>@@</v>
          </cell>
          <cell r="AD1146" t="str">
            <v>@@</v>
          </cell>
          <cell r="AL1146" t="str">
            <v>@@</v>
          </cell>
        </row>
        <row r="1147">
          <cell r="J1147">
            <v>132400</v>
          </cell>
          <cell r="L1147" t="str">
            <v>@@</v>
          </cell>
          <cell r="M1147" t="str">
            <v>@@</v>
          </cell>
          <cell r="N1147" t="str">
            <v>@@</v>
          </cell>
          <cell r="O1147" t="str">
            <v>@@</v>
          </cell>
          <cell r="P1147" t="str">
            <v>@@</v>
          </cell>
          <cell r="Q1147" t="str">
            <v>@@</v>
          </cell>
          <cell r="R1147" t="str">
            <v>@@</v>
          </cell>
          <cell r="S1147" t="str">
            <v>@@</v>
          </cell>
          <cell r="AB1147" t="str">
            <v>@@</v>
          </cell>
          <cell r="AC1147" t="str">
            <v>@@</v>
          </cell>
          <cell r="AD1147" t="str">
            <v>@@</v>
          </cell>
          <cell r="AL1147" t="str">
            <v>@@</v>
          </cell>
        </row>
        <row r="1148">
          <cell r="J1148">
            <v>132500</v>
          </cell>
          <cell r="L1148" t="str">
            <v>@@</v>
          </cell>
          <cell r="M1148" t="str">
            <v>@@</v>
          </cell>
          <cell r="N1148" t="str">
            <v>@@</v>
          </cell>
          <cell r="O1148" t="str">
            <v>@@</v>
          </cell>
          <cell r="P1148" t="str">
            <v>@@</v>
          </cell>
          <cell r="Q1148" t="str">
            <v>@@</v>
          </cell>
          <cell r="R1148" t="str">
            <v>@@</v>
          </cell>
          <cell r="S1148" t="str">
            <v>@@</v>
          </cell>
          <cell r="AB1148" t="str">
            <v>@@</v>
          </cell>
          <cell r="AC1148" t="str">
            <v>@@</v>
          </cell>
          <cell r="AD1148" t="str">
            <v>@@</v>
          </cell>
          <cell r="AL1148" t="str">
            <v>@@</v>
          </cell>
        </row>
        <row r="1149">
          <cell r="J1149">
            <v>132600</v>
          </cell>
          <cell r="L1149" t="str">
            <v>@@</v>
          </cell>
          <cell r="M1149" t="str">
            <v>@@</v>
          </cell>
          <cell r="N1149" t="str">
            <v>@@</v>
          </cell>
          <cell r="O1149" t="str">
            <v>@@</v>
          </cell>
          <cell r="P1149" t="str">
            <v>@@</v>
          </cell>
          <cell r="Q1149" t="str">
            <v>@@</v>
          </cell>
          <cell r="R1149" t="str">
            <v>@@</v>
          </cell>
          <cell r="S1149" t="str">
            <v>@@</v>
          </cell>
          <cell r="AB1149" t="str">
            <v>@@</v>
          </cell>
          <cell r="AC1149" t="str">
            <v>@@</v>
          </cell>
          <cell r="AD1149" t="str">
            <v>@@</v>
          </cell>
          <cell r="AL1149" t="str">
            <v>@@</v>
          </cell>
        </row>
        <row r="1150">
          <cell r="J1150">
            <v>132700</v>
          </cell>
          <cell r="L1150" t="str">
            <v>@@</v>
          </cell>
          <cell r="M1150" t="str">
            <v>@@</v>
          </cell>
          <cell r="N1150" t="str">
            <v>@@</v>
          </cell>
          <cell r="O1150" t="str">
            <v>@@</v>
          </cell>
          <cell r="P1150" t="str">
            <v>@@</v>
          </cell>
          <cell r="Q1150" t="str">
            <v>@@</v>
          </cell>
          <cell r="R1150" t="str">
            <v>@@</v>
          </cell>
          <cell r="S1150" t="str">
            <v>@@</v>
          </cell>
          <cell r="AB1150" t="str">
            <v>@@</v>
          </cell>
          <cell r="AC1150" t="str">
            <v>@@</v>
          </cell>
          <cell r="AD1150" t="str">
            <v>@@</v>
          </cell>
          <cell r="AL1150" t="str">
            <v>@@</v>
          </cell>
        </row>
        <row r="1151">
          <cell r="J1151">
            <v>132800</v>
          </cell>
          <cell r="L1151" t="str">
            <v>@@</v>
          </cell>
          <cell r="M1151" t="str">
            <v>@@</v>
          </cell>
          <cell r="N1151" t="str">
            <v>@@</v>
          </cell>
          <cell r="O1151" t="str">
            <v>@@</v>
          </cell>
          <cell r="P1151" t="str">
            <v>@@</v>
          </cell>
          <cell r="Q1151" t="str">
            <v>@@</v>
          </cell>
          <cell r="R1151" t="str">
            <v>@@</v>
          </cell>
          <cell r="S1151" t="str">
            <v>@@</v>
          </cell>
          <cell r="AB1151" t="str">
            <v>@@</v>
          </cell>
          <cell r="AC1151" t="str">
            <v>@@</v>
          </cell>
          <cell r="AD1151" t="str">
            <v>@@</v>
          </cell>
          <cell r="AL1151" t="str">
            <v>@@</v>
          </cell>
        </row>
        <row r="1152">
          <cell r="J1152">
            <v>132900</v>
          </cell>
          <cell r="L1152" t="str">
            <v>@@</v>
          </cell>
          <cell r="M1152" t="str">
            <v>@@</v>
          </cell>
          <cell r="N1152" t="str">
            <v>@@</v>
          </cell>
          <cell r="O1152" t="str">
            <v>@@</v>
          </cell>
          <cell r="P1152" t="str">
            <v>@@</v>
          </cell>
          <cell r="Q1152" t="str">
            <v>@@</v>
          </cell>
          <cell r="R1152" t="str">
            <v>@@</v>
          </cell>
          <cell r="S1152" t="str">
            <v>@@</v>
          </cell>
          <cell r="AB1152" t="str">
            <v>@@</v>
          </cell>
          <cell r="AC1152">
            <v>-53.666666666666671</v>
          </cell>
          <cell r="AD1152">
            <v>3.1</v>
          </cell>
          <cell r="AF1152">
            <v>-53.666666666666671</v>
          </cell>
          <cell r="AG1152">
            <v>3.1</v>
          </cell>
          <cell r="AL1152" t="str">
            <v>@@</v>
          </cell>
        </row>
        <row r="1153">
          <cell r="J1153">
            <v>133000</v>
          </cell>
          <cell r="L1153">
            <v>133000</v>
          </cell>
          <cell r="M1153">
            <v>-53.666666666666671</v>
          </cell>
          <cell r="N1153">
            <v>3.1</v>
          </cell>
          <cell r="O1153">
            <v>-11</v>
          </cell>
          <cell r="P1153">
            <v>3.1</v>
          </cell>
          <cell r="Q1153">
            <v>-36</v>
          </cell>
          <cell r="R1153">
            <v>4.5999999999999996</v>
          </cell>
          <cell r="S1153">
            <v>1</v>
          </cell>
          <cell r="T1153">
            <v>133000</v>
          </cell>
          <cell r="U1153">
            <v>-53.666666666666671</v>
          </cell>
          <cell r="V1153">
            <v>3.1</v>
          </cell>
          <cell r="W1153">
            <v>-11</v>
          </cell>
          <cell r="X1153">
            <v>3.1</v>
          </cell>
          <cell r="Y1153">
            <v>-36</v>
          </cell>
          <cell r="Z1153">
            <v>4.5999999999999996</v>
          </cell>
          <cell r="AA1153">
            <v>1</v>
          </cell>
          <cell r="AB1153">
            <v>133000</v>
          </cell>
          <cell r="AC1153">
            <v>-11</v>
          </cell>
          <cell r="AD1153">
            <v>3.1</v>
          </cell>
          <cell r="AE1153">
            <v>133000</v>
          </cell>
          <cell r="AF1153">
            <v>-11</v>
          </cell>
          <cell r="AG1153">
            <v>3.1</v>
          </cell>
          <cell r="AL1153">
            <v>10.8</v>
          </cell>
          <cell r="AM1153">
            <v>10.8</v>
          </cell>
        </row>
        <row r="1154">
          <cell r="J1154">
            <v>133100</v>
          </cell>
          <cell r="L1154" t="str">
            <v>@@</v>
          </cell>
          <cell r="M1154" t="str">
            <v>@@</v>
          </cell>
          <cell r="N1154" t="str">
            <v>@@</v>
          </cell>
          <cell r="O1154" t="str">
            <v>@@</v>
          </cell>
          <cell r="P1154" t="str">
            <v>@@</v>
          </cell>
          <cell r="Q1154" t="str">
            <v>@@</v>
          </cell>
          <cell r="R1154" t="str">
            <v>@@</v>
          </cell>
          <cell r="S1154" t="str">
            <v>@@</v>
          </cell>
          <cell r="AB1154" t="str">
            <v>@@</v>
          </cell>
          <cell r="AC1154">
            <v>-36</v>
          </cell>
          <cell r="AD1154">
            <v>4.5999999999999996</v>
          </cell>
          <cell r="AF1154">
            <v>-36</v>
          </cell>
          <cell r="AG1154">
            <v>4.5999999999999996</v>
          </cell>
          <cell r="AL1154" t="str">
            <v>@@</v>
          </cell>
        </row>
        <row r="1155">
          <cell r="J1155">
            <v>133200</v>
          </cell>
          <cell r="L1155" t="str">
            <v>@@</v>
          </cell>
          <cell r="M1155" t="str">
            <v>@@</v>
          </cell>
          <cell r="N1155" t="str">
            <v>@@</v>
          </cell>
          <cell r="O1155" t="str">
            <v>@@</v>
          </cell>
          <cell r="P1155" t="str">
            <v>@@</v>
          </cell>
          <cell r="Q1155" t="str">
            <v>@@</v>
          </cell>
          <cell r="R1155" t="str">
            <v>@@</v>
          </cell>
          <cell r="S1155" t="str">
            <v>@@</v>
          </cell>
          <cell r="AB1155" t="str">
            <v>@@</v>
          </cell>
          <cell r="AC1155" t="str">
            <v>@@</v>
          </cell>
          <cell r="AD1155" t="str">
            <v>@@</v>
          </cell>
          <cell r="AL1155" t="str">
            <v>@@</v>
          </cell>
        </row>
        <row r="1156">
          <cell r="J1156">
            <v>133300</v>
          </cell>
          <cell r="L1156" t="str">
            <v>@@</v>
          </cell>
          <cell r="M1156" t="str">
            <v>@@</v>
          </cell>
          <cell r="N1156" t="str">
            <v>@@</v>
          </cell>
          <cell r="O1156" t="str">
            <v>@@</v>
          </cell>
          <cell r="P1156" t="str">
            <v>@@</v>
          </cell>
          <cell r="Q1156" t="str">
            <v>@@</v>
          </cell>
          <cell r="R1156" t="str">
            <v>@@</v>
          </cell>
          <cell r="S1156" t="str">
            <v>@@</v>
          </cell>
          <cell r="AB1156" t="str">
            <v>@@</v>
          </cell>
          <cell r="AC1156" t="str">
            <v>@@</v>
          </cell>
          <cell r="AD1156" t="str">
            <v>@@</v>
          </cell>
          <cell r="AL1156" t="str">
            <v>@@</v>
          </cell>
        </row>
        <row r="1157">
          <cell r="J1157">
            <v>133400</v>
          </cell>
          <cell r="L1157" t="str">
            <v>@@</v>
          </cell>
          <cell r="M1157" t="str">
            <v>@@</v>
          </cell>
          <cell r="N1157" t="str">
            <v>@@</v>
          </cell>
          <cell r="O1157" t="str">
            <v>@@</v>
          </cell>
          <cell r="P1157" t="str">
            <v>@@</v>
          </cell>
          <cell r="Q1157" t="str">
            <v>@@</v>
          </cell>
          <cell r="R1157" t="str">
            <v>@@</v>
          </cell>
          <cell r="S1157" t="str">
            <v>@@</v>
          </cell>
          <cell r="AB1157" t="str">
            <v>@@</v>
          </cell>
          <cell r="AC1157" t="str">
            <v>@@</v>
          </cell>
          <cell r="AD1157" t="str">
            <v>@@</v>
          </cell>
          <cell r="AL1157" t="str">
            <v>@@</v>
          </cell>
        </row>
        <row r="1158">
          <cell r="J1158">
            <v>133500</v>
          </cell>
          <cell r="L1158" t="str">
            <v>@@</v>
          </cell>
          <cell r="M1158" t="str">
            <v>@@</v>
          </cell>
          <cell r="N1158" t="str">
            <v>@@</v>
          </cell>
          <cell r="O1158" t="str">
            <v>@@</v>
          </cell>
          <cell r="P1158" t="str">
            <v>@@</v>
          </cell>
          <cell r="Q1158" t="str">
            <v>@@</v>
          </cell>
          <cell r="R1158" t="str">
            <v>@@</v>
          </cell>
          <cell r="S1158" t="str">
            <v>@@</v>
          </cell>
          <cell r="AB1158" t="str">
            <v>@@</v>
          </cell>
          <cell r="AC1158" t="str">
            <v>@@</v>
          </cell>
          <cell r="AD1158" t="str">
            <v>@@</v>
          </cell>
          <cell r="AL1158" t="str">
            <v>@@</v>
          </cell>
        </row>
        <row r="1159">
          <cell r="J1159">
            <v>133600</v>
          </cell>
          <cell r="L1159" t="str">
            <v>@@</v>
          </cell>
          <cell r="M1159" t="str">
            <v>@@</v>
          </cell>
          <cell r="N1159" t="str">
            <v>@@</v>
          </cell>
          <cell r="O1159" t="str">
            <v>@@</v>
          </cell>
          <cell r="P1159" t="str">
            <v>@@</v>
          </cell>
          <cell r="Q1159" t="str">
            <v>@@</v>
          </cell>
          <cell r="R1159" t="str">
            <v>@@</v>
          </cell>
          <cell r="S1159" t="str">
            <v>@@</v>
          </cell>
          <cell r="AB1159" t="str">
            <v>@@</v>
          </cell>
          <cell r="AC1159" t="str">
            <v>@@</v>
          </cell>
          <cell r="AD1159" t="str">
            <v>@@</v>
          </cell>
          <cell r="AL1159" t="str">
            <v>@@</v>
          </cell>
        </row>
        <row r="1160">
          <cell r="J1160">
            <v>133700</v>
          </cell>
          <cell r="L1160" t="str">
            <v>@@</v>
          </cell>
          <cell r="M1160" t="str">
            <v>@@</v>
          </cell>
          <cell r="N1160" t="str">
            <v>@@</v>
          </cell>
          <cell r="O1160" t="str">
            <v>@@</v>
          </cell>
          <cell r="P1160" t="str">
            <v>@@</v>
          </cell>
          <cell r="Q1160" t="str">
            <v>@@</v>
          </cell>
          <cell r="R1160" t="str">
            <v>@@</v>
          </cell>
          <cell r="S1160" t="str">
            <v>@@</v>
          </cell>
          <cell r="AB1160" t="str">
            <v>@@</v>
          </cell>
          <cell r="AC1160" t="str">
            <v>@@</v>
          </cell>
          <cell r="AD1160" t="str">
            <v>@@</v>
          </cell>
          <cell r="AL1160" t="str">
            <v>@@</v>
          </cell>
        </row>
        <row r="1161">
          <cell r="J1161">
            <v>133800</v>
          </cell>
          <cell r="L1161" t="str">
            <v>@@</v>
          </cell>
          <cell r="M1161" t="str">
            <v>@@</v>
          </cell>
          <cell r="N1161" t="str">
            <v>@@</v>
          </cell>
          <cell r="O1161" t="str">
            <v>@@</v>
          </cell>
          <cell r="P1161" t="str">
            <v>@@</v>
          </cell>
          <cell r="Q1161" t="str">
            <v>@@</v>
          </cell>
          <cell r="R1161" t="str">
            <v>@@</v>
          </cell>
          <cell r="S1161" t="str">
            <v>@@</v>
          </cell>
          <cell r="AB1161" t="str">
            <v>@@</v>
          </cell>
          <cell r="AC1161" t="str">
            <v>@@</v>
          </cell>
          <cell r="AD1161" t="str">
            <v>@@</v>
          </cell>
          <cell r="AL1161" t="str">
            <v>@@</v>
          </cell>
        </row>
        <row r="1162">
          <cell r="J1162">
            <v>133900</v>
          </cell>
          <cell r="L1162" t="str">
            <v>@@</v>
          </cell>
          <cell r="M1162" t="str">
            <v>@@</v>
          </cell>
          <cell r="N1162" t="str">
            <v>@@</v>
          </cell>
          <cell r="O1162" t="str">
            <v>@@</v>
          </cell>
          <cell r="P1162" t="str">
            <v>@@</v>
          </cell>
          <cell r="Q1162" t="str">
            <v>@@</v>
          </cell>
          <cell r="R1162" t="str">
            <v>@@</v>
          </cell>
          <cell r="S1162" t="str">
            <v>@@</v>
          </cell>
          <cell r="AB1162" t="str">
            <v>@@</v>
          </cell>
          <cell r="AC1162">
            <v>-16.25</v>
          </cell>
          <cell r="AD1162">
            <v>4.7</v>
          </cell>
          <cell r="AF1162">
            <v>-16.25</v>
          </cell>
          <cell r="AG1162">
            <v>4.7</v>
          </cell>
          <cell r="AL1162" t="str">
            <v>@@</v>
          </cell>
        </row>
        <row r="1163">
          <cell r="J1163">
            <v>134000</v>
          </cell>
          <cell r="L1163">
            <v>134000</v>
          </cell>
          <cell r="M1163">
            <v>-16.25</v>
          </cell>
          <cell r="N1163">
            <v>4.7</v>
          </cell>
          <cell r="O1163">
            <v>-41.4</v>
          </cell>
          <cell r="P1163">
            <v>5</v>
          </cell>
          <cell r="Q1163">
            <v>-10</v>
          </cell>
          <cell r="R1163">
            <v>5</v>
          </cell>
          <cell r="S1163">
            <v>1</v>
          </cell>
          <cell r="T1163">
            <v>134000</v>
          </cell>
          <cell r="U1163">
            <v>-16.25</v>
          </cell>
          <cell r="V1163">
            <v>4.7</v>
          </cell>
          <cell r="W1163">
            <v>-41.4</v>
          </cell>
          <cell r="X1163">
            <v>5</v>
          </cell>
          <cell r="Y1163">
            <v>-10</v>
          </cell>
          <cell r="Z1163">
            <v>5</v>
          </cell>
          <cell r="AA1163">
            <v>1</v>
          </cell>
          <cell r="AB1163">
            <v>134000</v>
          </cell>
          <cell r="AC1163">
            <v>-41.4</v>
          </cell>
          <cell r="AD1163">
            <v>5</v>
          </cell>
          <cell r="AE1163">
            <v>134000</v>
          </cell>
          <cell r="AF1163">
            <v>-41.4</v>
          </cell>
          <cell r="AG1163">
            <v>5</v>
          </cell>
          <cell r="AL1163">
            <v>14.7</v>
          </cell>
          <cell r="AM1163">
            <v>14.7</v>
          </cell>
        </row>
        <row r="1164">
          <cell r="J1164">
            <v>134100</v>
          </cell>
          <cell r="L1164" t="str">
            <v>@@</v>
          </cell>
          <cell r="M1164" t="str">
            <v>@@</v>
          </cell>
          <cell r="N1164" t="str">
            <v>@@</v>
          </cell>
          <cell r="O1164" t="str">
            <v>@@</v>
          </cell>
          <cell r="P1164" t="str">
            <v>@@</v>
          </cell>
          <cell r="Q1164" t="str">
            <v>@@</v>
          </cell>
          <cell r="R1164" t="str">
            <v>@@</v>
          </cell>
          <cell r="S1164" t="str">
            <v>@@</v>
          </cell>
          <cell r="AB1164" t="str">
            <v>@@</v>
          </cell>
          <cell r="AC1164">
            <v>-10</v>
          </cell>
          <cell r="AD1164">
            <v>5</v>
          </cell>
          <cell r="AF1164">
            <v>-10</v>
          </cell>
          <cell r="AG1164">
            <v>5</v>
          </cell>
          <cell r="AL1164" t="str">
            <v>@@</v>
          </cell>
        </row>
        <row r="1165">
          <cell r="J1165">
            <v>134200</v>
          </cell>
          <cell r="L1165" t="str">
            <v>@@</v>
          </cell>
          <cell r="M1165" t="str">
            <v>@@</v>
          </cell>
          <cell r="N1165" t="str">
            <v>@@</v>
          </cell>
          <cell r="O1165" t="str">
            <v>@@</v>
          </cell>
          <cell r="P1165" t="str">
            <v>@@</v>
          </cell>
          <cell r="Q1165" t="str">
            <v>@@</v>
          </cell>
          <cell r="R1165" t="str">
            <v>@@</v>
          </cell>
          <cell r="S1165" t="str">
            <v>@@</v>
          </cell>
          <cell r="AB1165" t="str">
            <v>@@</v>
          </cell>
          <cell r="AC1165" t="str">
            <v>@@</v>
          </cell>
          <cell r="AD1165" t="str">
            <v>@@</v>
          </cell>
          <cell r="AL1165" t="str">
            <v>@@</v>
          </cell>
        </row>
        <row r="1166">
          <cell r="J1166">
            <v>134300</v>
          </cell>
          <cell r="L1166" t="str">
            <v>@@</v>
          </cell>
          <cell r="M1166" t="str">
            <v>@@</v>
          </cell>
          <cell r="N1166" t="str">
            <v>@@</v>
          </cell>
          <cell r="O1166" t="str">
            <v>@@</v>
          </cell>
          <cell r="P1166" t="str">
            <v>@@</v>
          </cell>
          <cell r="Q1166" t="str">
            <v>@@</v>
          </cell>
          <cell r="R1166" t="str">
            <v>@@</v>
          </cell>
          <cell r="S1166" t="str">
            <v>@@</v>
          </cell>
          <cell r="AB1166" t="str">
            <v>@@</v>
          </cell>
          <cell r="AC1166" t="str">
            <v>@@</v>
          </cell>
          <cell r="AD1166" t="str">
            <v>@@</v>
          </cell>
          <cell r="AL1166" t="str">
            <v>@@</v>
          </cell>
        </row>
        <row r="1167">
          <cell r="J1167">
            <v>134400</v>
          </cell>
          <cell r="L1167" t="str">
            <v>@@</v>
          </cell>
          <cell r="M1167" t="str">
            <v>@@</v>
          </cell>
          <cell r="N1167" t="str">
            <v>@@</v>
          </cell>
          <cell r="O1167" t="str">
            <v>@@</v>
          </cell>
          <cell r="P1167" t="str">
            <v>@@</v>
          </cell>
          <cell r="Q1167" t="str">
            <v>@@</v>
          </cell>
          <cell r="R1167" t="str">
            <v>@@</v>
          </cell>
          <cell r="S1167" t="str">
            <v>@@</v>
          </cell>
          <cell r="AB1167" t="str">
            <v>@@</v>
          </cell>
          <cell r="AC1167" t="str">
            <v>@@</v>
          </cell>
          <cell r="AD1167" t="str">
            <v>@@</v>
          </cell>
          <cell r="AL1167" t="str">
            <v>@@</v>
          </cell>
        </row>
        <row r="1168">
          <cell r="J1168">
            <v>134500</v>
          </cell>
          <cell r="L1168" t="str">
            <v>@@</v>
          </cell>
          <cell r="M1168" t="str">
            <v>@@</v>
          </cell>
          <cell r="N1168" t="str">
            <v>@@</v>
          </cell>
          <cell r="O1168" t="str">
            <v>@@</v>
          </cell>
          <cell r="P1168" t="str">
            <v>@@</v>
          </cell>
          <cell r="Q1168" t="str">
            <v>@@</v>
          </cell>
          <cell r="R1168" t="str">
            <v>@@</v>
          </cell>
          <cell r="S1168" t="str">
            <v>@@</v>
          </cell>
          <cell r="AB1168" t="str">
            <v>@@</v>
          </cell>
          <cell r="AC1168" t="str">
            <v>@@</v>
          </cell>
          <cell r="AD1168" t="str">
            <v>@@</v>
          </cell>
          <cell r="AL1168" t="str">
            <v>@@</v>
          </cell>
        </row>
        <row r="1169">
          <cell r="J1169">
            <v>134600</v>
          </cell>
          <cell r="L1169" t="str">
            <v>@@</v>
          </cell>
          <cell r="M1169" t="str">
            <v>@@</v>
          </cell>
          <cell r="N1169" t="str">
            <v>@@</v>
          </cell>
          <cell r="O1169" t="str">
            <v>@@</v>
          </cell>
          <cell r="P1169" t="str">
            <v>@@</v>
          </cell>
          <cell r="Q1169" t="str">
            <v>@@</v>
          </cell>
          <cell r="R1169" t="str">
            <v>@@</v>
          </cell>
          <cell r="S1169" t="str">
            <v>@@</v>
          </cell>
          <cell r="AB1169" t="str">
            <v>@@</v>
          </cell>
          <cell r="AC1169" t="str">
            <v>@@</v>
          </cell>
          <cell r="AD1169" t="str">
            <v>@@</v>
          </cell>
          <cell r="AL1169" t="str">
            <v>@@</v>
          </cell>
        </row>
        <row r="1170">
          <cell r="J1170">
            <v>134700</v>
          </cell>
          <cell r="L1170" t="str">
            <v>@@</v>
          </cell>
          <cell r="M1170" t="str">
            <v>@@</v>
          </cell>
          <cell r="N1170" t="str">
            <v>@@</v>
          </cell>
          <cell r="O1170" t="str">
            <v>@@</v>
          </cell>
          <cell r="P1170" t="str">
            <v>@@</v>
          </cell>
          <cell r="Q1170" t="str">
            <v>@@</v>
          </cell>
          <cell r="R1170" t="str">
            <v>@@</v>
          </cell>
          <cell r="S1170" t="str">
            <v>@@</v>
          </cell>
          <cell r="AB1170" t="str">
            <v>@@</v>
          </cell>
          <cell r="AC1170" t="str">
            <v>@@</v>
          </cell>
          <cell r="AD1170" t="str">
            <v>@@</v>
          </cell>
          <cell r="AL1170" t="str">
            <v>@@</v>
          </cell>
        </row>
        <row r="1171">
          <cell r="J1171">
            <v>134800</v>
          </cell>
          <cell r="L1171" t="str">
            <v>@@</v>
          </cell>
          <cell r="M1171" t="str">
            <v>@@</v>
          </cell>
          <cell r="N1171" t="str">
            <v>@@</v>
          </cell>
          <cell r="O1171" t="str">
            <v>@@</v>
          </cell>
          <cell r="P1171" t="str">
            <v>@@</v>
          </cell>
          <cell r="Q1171" t="str">
            <v>@@</v>
          </cell>
          <cell r="R1171" t="str">
            <v>@@</v>
          </cell>
          <cell r="S1171" t="str">
            <v>@@</v>
          </cell>
          <cell r="AB1171" t="str">
            <v>@@</v>
          </cell>
          <cell r="AC1171" t="str">
            <v>@@</v>
          </cell>
          <cell r="AD1171" t="str">
            <v>@@</v>
          </cell>
          <cell r="AL1171" t="str">
            <v>@@</v>
          </cell>
        </row>
        <row r="1172">
          <cell r="J1172">
            <v>134900</v>
          </cell>
          <cell r="L1172" t="str">
            <v>@@</v>
          </cell>
          <cell r="M1172" t="str">
            <v>@@</v>
          </cell>
          <cell r="N1172" t="str">
            <v>@@</v>
          </cell>
          <cell r="O1172" t="str">
            <v>@@</v>
          </cell>
          <cell r="P1172" t="str">
            <v>@@</v>
          </cell>
          <cell r="Q1172" t="str">
            <v>@@</v>
          </cell>
          <cell r="R1172" t="str">
            <v>@@</v>
          </cell>
          <cell r="S1172" t="str">
            <v>@@</v>
          </cell>
          <cell r="AB1172" t="str">
            <v>@@</v>
          </cell>
          <cell r="AC1172">
            <v>-40</v>
          </cell>
          <cell r="AD1172">
            <v>3.1</v>
          </cell>
          <cell r="AF1172">
            <v>-40</v>
          </cell>
          <cell r="AG1172">
            <v>3.1</v>
          </cell>
          <cell r="AL1172" t="str">
            <v>@@</v>
          </cell>
        </row>
        <row r="1173">
          <cell r="J1173">
            <v>135000</v>
          </cell>
          <cell r="L1173">
            <v>135000</v>
          </cell>
          <cell r="M1173">
            <v>-40</v>
          </cell>
          <cell r="N1173">
            <v>3.1</v>
          </cell>
          <cell r="O1173">
            <v>-11.666666666666666</v>
          </cell>
          <cell r="P1173">
            <v>3.2</v>
          </cell>
          <cell r="Q1173">
            <v>-10.888888888888889</v>
          </cell>
          <cell r="R1173">
            <v>4.5</v>
          </cell>
          <cell r="S1173">
            <v>1</v>
          </cell>
          <cell r="T1173">
            <v>135000</v>
          </cell>
          <cell r="U1173">
            <v>-40</v>
          </cell>
          <cell r="V1173">
            <v>3.1</v>
          </cell>
          <cell r="W1173">
            <v>-11.666666666666666</v>
          </cell>
          <cell r="X1173">
            <v>3.2</v>
          </cell>
          <cell r="Y1173">
            <v>-10.888888888888889</v>
          </cell>
          <cell r="Z1173">
            <v>4.5</v>
          </cell>
          <cell r="AA1173">
            <v>1</v>
          </cell>
          <cell r="AB1173">
            <v>135000</v>
          </cell>
          <cell r="AC1173">
            <v>-11.666666666666666</v>
          </cell>
          <cell r="AD1173">
            <v>3.2</v>
          </cell>
          <cell r="AE1173">
            <v>135000</v>
          </cell>
          <cell r="AF1173">
            <v>-11.666666666666666</v>
          </cell>
          <cell r="AG1173">
            <v>3.2</v>
          </cell>
          <cell r="AL1173">
            <v>10.8</v>
          </cell>
          <cell r="AM1173">
            <v>10.8</v>
          </cell>
        </row>
        <row r="1174">
          <cell r="J1174">
            <v>135100</v>
          </cell>
          <cell r="L1174" t="str">
            <v>@@</v>
          </cell>
          <cell r="M1174" t="str">
            <v>@@</v>
          </cell>
          <cell r="N1174" t="str">
            <v>@@</v>
          </cell>
          <cell r="O1174" t="str">
            <v>@@</v>
          </cell>
          <cell r="P1174" t="str">
            <v>@@</v>
          </cell>
          <cell r="Q1174" t="str">
            <v>@@</v>
          </cell>
          <cell r="R1174" t="str">
            <v>@@</v>
          </cell>
          <cell r="S1174" t="str">
            <v>@@</v>
          </cell>
          <cell r="AB1174" t="str">
            <v>@@</v>
          </cell>
          <cell r="AC1174">
            <v>-10.888888888888889</v>
          </cell>
          <cell r="AD1174">
            <v>4.5</v>
          </cell>
          <cell r="AF1174">
            <v>-10.888888888888889</v>
          </cell>
          <cell r="AG1174">
            <v>4.5</v>
          </cell>
          <cell r="AL1174" t="str">
            <v>@@</v>
          </cell>
        </row>
        <row r="1175">
          <cell r="J1175">
            <v>135200</v>
          </cell>
          <cell r="L1175" t="str">
            <v>@@</v>
          </cell>
          <cell r="M1175" t="str">
            <v>@@</v>
          </cell>
          <cell r="N1175" t="str">
            <v>@@</v>
          </cell>
          <cell r="O1175" t="str">
            <v>@@</v>
          </cell>
          <cell r="P1175" t="str">
            <v>@@</v>
          </cell>
          <cell r="Q1175" t="str">
            <v>@@</v>
          </cell>
          <cell r="R1175" t="str">
            <v>@@</v>
          </cell>
          <cell r="S1175" t="str">
            <v>@@</v>
          </cell>
          <cell r="AB1175" t="str">
            <v>@@</v>
          </cell>
          <cell r="AC1175" t="str">
            <v>@@</v>
          </cell>
          <cell r="AD1175" t="str">
            <v>@@</v>
          </cell>
          <cell r="AL1175" t="str">
            <v>@@</v>
          </cell>
        </row>
        <row r="1176">
          <cell r="J1176">
            <v>135300</v>
          </cell>
          <cell r="L1176" t="str">
            <v>@@</v>
          </cell>
          <cell r="M1176" t="str">
            <v>@@</v>
          </cell>
          <cell r="N1176" t="str">
            <v>@@</v>
          </cell>
          <cell r="O1176" t="str">
            <v>@@</v>
          </cell>
          <cell r="P1176" t="str">
            <v>@@</v>
          </cell>
          <cell r="Q1176" t="str">
            <v>@@</v>
          </cell>
          <cell r="R1176" t="str">
            <v>@@</v>
          </cell>
          <cell r="S1176" t="str">
            <v>@@</v>
          </cell>
          <cell r="AB1176" t="str">
            <v>@@</v>
          </cell>
          <cell r="AC1176" t="str">
            <v>@@</v>
          </cell>
          <cell r="AD1176" t="str">
            <v>@@</v>
          </cell>
          <cell r="AL1176" t="str">
            <v>@@</v>
          </cell>
        </row>
        <row r="1177">
          <cell r="J1177">
            <v>135400</v>
          </cell>
          <cell r="L1177" t="str">
            <v>@@</v>
          </cell>
          <cell r="M1177" t="str">
            <v>@@</v>
          </cell>
          <cell r="N1177" t="str">
            <v>@@</v>
          </cell>
          <cell r="O1177" t="str">
            <v>@@</v>
          </cell>
          <cell r="P1177" t="str">
            <v>@@</v>
          </cell>
          <cell r="Q1177" t="str">
            <v>@@</v>
          </cell>
          <cell r="R1177" t="str">
            <v>@@</v>
          </cell>
          <cell r="S1177" t="str">
            <v>@@</v>
          </cell>
          <cell r="AB1177" t="str">
            <v>@@</v>
          </cell>
          <cell r="AC1177" t="str">
            <v>@@</v>
          </cell>
          <cell r="AD1177" t="str">
            <v>@@</v>
          </cell>
          <cell r="AL1177" t="str">
            <v>@@</v>
          </cell>
        </row>
        <row r="1178">
          <cell r="J1178">
            <v>135500</v>
          </cell>
          <cell r="L1178" t="str">
            <v>@@</v>
          </cell>
          <cell r="M1178" t="str">
            <v>@@</v>
          </cell>
          <cell r="N1178" t="str">
            <v>@@</v>
          </cell>
          <cell r="O1178" t="str">
            <v>@@</v>
          </cell>
          <cell r="P1178" t="str">
            <v>@@</v>
          </cell>
          <cell r="Q1178" t="str">
            <v>@@</v>
          </cell>
          <cell r="R1178" t="str">
            <v>@@</v>
          </cell>
          <cell r="S1178" t="str">
            <v>@@</v>
          </cell>
          <cell r="AB1178" t="str">
            <v>@@</v>
          </cell>
          <cell r="AC1178" t="str">
            <v>@@</v>
          </cell>
          <cell r="AD1178" t="str">
            <v>@@</v>
          </cell>
          <cell r="AL1178" t="str">
            <v>@@</v>
          </cell>
        </row>
        <row r="1179">
          <cell r="J1179">
            <v>135600</v>
          </cell>
          <cell r="L1179" t="str">
            <v>@@</v>
          </cell>
          <cell r="M1179" t="str">
            <v>@@</v>
          </cell>
          <cell r="N1179" t="str">
            <v>@@</v>
          </cell>
          <cell r="O1179" t="str">
            <v>@@</v>
          </cell>
          <cell r="P1179" t="str">
            <v>@@</v>
          </cell>
          <cell r="Q1179" t="str">
            <v>@@</v>
          </cell>
          <cell r="R1179" t="str">
            <v>@@</v>
          </cell>
          <cell r="S1179" t="str">
            <v>@@</v>
          </cell>
          <cell r="AB1179" t="str">
            <v>@@</v>
          </cell>
          <cell r="AC1179" t="str">
            <v>@@</v>
          </cell>
          <cell r="AD1179" t="str">
            <v>@@</v>
          </cell>
          <cell r="AL1179" t="str">
            <v>@@</v>
          </cell>
        </row>
        <row r="1180">
          <cell r="J1180">
            <v>135700</v>
          </cell>
          <cell r="L1180" t="str">
            <v>@@</v>
          </cell>
          <cell r="M1180" t="str">
            <v>@@</v>
          </cell>
          <cell r="N1180" t="str">
            <v>@@</v>
          </cell>
          <cell r="O1180" t="str">
            <v>@@</v>
          </cell>
          <cell r="P1180" t="str">
            <v>@@</v>
          </cell>
          <cell r="Q1180" t="str">
            <v>@@</v>
          </cell>
          <cell r="R1180" t="str">
            <v>@@</v>
          </cell>
          <cell r="S1180" t="str">
            <v>@@</v>
          </cell>
          <cell r="AB1180" t="str">
            <v>@@</v>
          </cell>
          <cell r="AC1180" t="str">
            <v>@@</v>
          </cell>
          <cell r="AD1180" t="str">
            <v>@@</v>
          </cell>
          <cell r="AL1180" t="str">
            <v>@@</v>
          </cell>
        </row>
        <row r="1181">
          <cell r="J1181">
            <v>135800</v>
          </cell>
          <cell r="L1181" t="str">
            <v>@@</v>
          </cell>
          <cell r="M1181" t="str">
            <v>@@</v>
          </cell>
          <cell r="N1181" t="str">
            <v>@@</v>
          </cell>
          <cell r="O1181" t="str">
            <v>@@</v>
          </cell>
          <cell r="P1181" t="str">
            <v>@@</v>
          </cell>
          <cell r="Q1181" t="str">
            <v>@@</v>
          </cell>
          <cell r="R1181" t="str">
            <v>@@</v>
          </cell>
          <cell r="S1181" t="str">
            <v>@@</v>
          </cell>
          <cell r="AB1181" t="str">
            <v>@@</v>
          </cell>
          <cell r="AC1181" t="str">
            <v>@@</v>
          </cell>
          <cell r="AD1181" t="str">
            <v>@@</v>
          </cell>
          <cell r="AL1181" t="str">
            <v>@@</v>
          </cell>
        </row>
        <row r="1182">
          <cell r="J1182">
            <v>135900</v>
          </cell>
          <cell r="L1182" t="str">
            <v>@@</v>
          </cell>
          <cell r="M1182" t="str">
            <v>@@</v>
          </cell>
          <cell r="N1182" t="str">
            <v>@@</v>
          </cell>
          <cell r="O1182" t="str">
            <v>@@</v>
          </cell>
          <cell r="P1182" t="str">
            <v>@@</v>
          </cell>
          <cell r="Q1182" t="str">
            <v>@@</v>
          </cell>
          <cell r="R1182" t="str">
            <v>@@</v>
          </cell>
          <cell r="S1182" t="str">
            <v>@@</v>
          </cell>
          <cell r="AB1182" t="str">
            <v>@@</v>
          </cell>
          <cell r="AC1182">
            <v>-17.333333333333336</v>
          </cell>
          <cell r="AD1182">
            <v>3.4</v>
          </cell>
          <cell r="AF1182">
            <v>-17.333333333333336</v>
          </cell>
          <cell r="AG1182">
            <v>3.4</v>
          </cell>
          <cell r="AL1182" t="str">
            <v>@@</v>
          </cell>
        </row>
        <row r="1183">
          <cell r="J1183">
            <v>136000</v>
          </cell>
          <cell r="L1183">
            <v>136000</v>
          </cell>
          <cell r="M1183">
            <v>-17.333333333333336</v>
          </cell>
          <cell r="N1183">
            <v>3.4</v>
          </cell>
          <cell r="O1183">
            <v>-44.25</v>
          </cell>
          <cell r="P1183">
            <v>4.0999999999999996</v>
          </cell>
          <cell r="Q1183">
            <v>-7</v>
          </cell>
          <cell r="R1183">
            <v>4.0999999999999996</v>
          </cell>
          <cell r="S1183">
            <v>1</v>
          </cell>
          <cell r="T1183">
            <v>136000</v>
          </cell>
          <cell r="U1183">
            <v>-17.333333333333336</v>
          </cell>
          <cell r="V1183">
            <v>3.4</v>
          </cell>
          <cell r="W1183">
            <v>-44.25</v>
          </cell>
          <cell r="X1183">
            <v>4.0999999999999996</v>
          </cell>
          <cell r="Y1183">
            <v>-7</v>
          </cell>
          <cell r="Z1183">
            <v>4.0999999999999996</v>
          </cell>
          <cell r="AA1183">
            <v>1</v>
          </cell>
          <cell r="AB1183">
            <v>136000</v>
          </cell>
          <cell r="AC1183">
            <v>-44.25</v>
          </cell>
          <cell r="AD1183">
            <v>4.0999999999999996</v>
          </cell>
          <cell r="AE1183">
            <v>136000</v>
          </cell>
          <cell r="AF1183">
            <v>-44.25</v>
          </cell>
          <cell r="AG1183">
            <v>4.0999999999999996</v>
          </cell>
          <cell r="AL1183">
            <v>11.6</v>
          </cell>
          <cell r="AM1183">
            <v>11.6</v>
          </cell>
        </row>
        <row r="1184">
          <cell r="J1184">
            <v>136100</v>
          </cell>
          <cell r="L1184" t="str">
            <v>@@</v>
          </cell>
          <cell r="M1184" t="str">
            <v>@@</v>
          </cell>
          <cell r="N1184" t="str">
            <v>@@</v>
          </cell>
          <cell r="O1184" t="str">
            <v>@@</v>
          </cell>
          <cell r="P1184" t="str">
            <v>@@</v>
          </cell>
          <cell r="Q1184" t="str">
            <v>@@</v>
          </cell>
          <cell r="R1184" t="str">
            <v>@@</v>
          </cell>
          <cell r="S1184" t="str">
            <v>@@</v>
          </cell>
          <cell r="AB1184" t="str">
            <v>@@</v>
          </cell>
          <cell r="AC1184">
            <v>-7</v>
          </cell>
          <cell r="AD1184">
            <v>4.0999999999999996</v>
          </cell>
          <cell r="AF1184">
            <v>-7</v>
          </cell>
          <cell r="AG1184">
            <v>4.0999999999999996</v>
          </cell>
          <cell r="AL1184" t="str">
            <v>@@</v>
          </cell>
        </row>
        <row r="1185">
          <cell r="J1185">
            <v>136200</v>
          </cell>
          <cell r="L1185" t="str">
            <v>@@</v>
          </cell>
          <cell r="M1185" t="str">
            <v>@@</v>
          </cell>
          <cell r="N1185" t="str">
            <v>@@</v>
          </cell>
          <cell r="O1185" t="str">
            <v>@@</v>
          </cell>
          <cell r="P1185" t="str">
            <v>@@</v>
          </cell>
          <cell r="Q1185" t="str">
            <v>@@</v>
          </cell>
          <cell r="R1185" t="str">
            <v>@@</v>
          </cell>
          <cell r="S1185" t="str">
            <v>@@</v>
          </cell>
          <cell r="AB1185" t="str">
            <v>@@</v>
          </cell>
          <cell r="AC1185" t="str">
            <v>@@</v>
          </cell>
          <cell r="AD1185" t="str">
            <v>@@</v>
          </cell>
          <cell r="AL1185" t="str">
            <v>@@</v>
          </cell>
        </row>
        <row r="1186">
          <cell r="J1186">
            <v>136300</v>
          </cell>
          <cell r="L1186" t="str">
            <v>@@</v>
          </cell>
          <cell r="M1186" t="str">
            <v>@@</v>
          </cell>
          <cell r="N1186" t="str">
            <v>@@</v>
          </cell>
          <cell r="O1186" t="str">
            <v>@@</v>
          </cell>
          <cell r="P1186" t="str">
            <v>@@</v>
          </cell>
          <cell r="Q1186" t="str">
            <v>@@</v>
          </cell>
          <cell r="R1186" t="str">
            <v>@@</v>
          </cell>
          <cell r="S1186" t="str">
            <v>@@</v>
          </cell>
          <cell r="AB1186" t="str">
            <v>@@</v>
          </cell>
          <cell r="AC1186" t="str">
            <v>@@</v>
          </cell>
          <cell r="AD1186" t="str">
            <v>@@</v>
          </cell>
          <cell r="AL1186" t="str">
            <v>@@</v>
          </cell>
        </row>
        <row r="1187">
          <cell r="J1187">
            <v>136400</v>
          </cell>
          <cell r="L1187" t="str">
            <v>@@</v>
          </cell>
          <cell r="M1187" t="str">
            <v>@@</v>
          </cell>
          <cell r="N1187" t="str">
            <v>@@</v>
          </cell>
          <cell r="O1187" t="str">
            <v>@@</v>
          </cell>
          <cell r="P1187" t="str">
            <v>@@</v>
          </cell>
          <cell r="Q1187" t="str">
            <v>@@</v>
          </cell>
          <cell r="R1187" t="str">
            <v>@@</v>
          </cell>
          <cell r="S1187" t="str">
            <v>@@</v>
          </cell>
          <cell r="AB1187" t="str">
            <v>@@</v>
          </cell>
          <cell r="AC1187" t="str">
            <v>@@</v>
          </cell>
          <cell r="AD1187" t="str">
            <v>@@</v>
          </cell>
          <cell r="AL1187" t="str">
            <v>@@</v>
          </cell>
        </row>
        <row r="1188">
          <cell r="J1188">
            <v>136500</v>
          </cell>
          <cell r="L1188" t="str">
            <v>@@</v>
          </cell>
          <cell r="M1188" t="str">
            <v>@@</v>
          </cell>
          <cell r="N1188" t="str">
            <v>@@</v>
          </cell>
          <cell r="O1188" t="str">
            <v>@@</v>
          </cell>
          <cell r="P1188" t="str">
            <v>@@</v>
          </cell>
          <cell r="Q1188" t="str">
            <v>@@</v>
          </cell>
          <cell r="R1188" t="str">
            <v>@@</v>
          </cell>
          <cell r="S1188" t="str">
            <v>@@</v>
          </cell>
          <cell r="AB1188" t="str">
            <v>@@</v>
          </cell>
          <cell r="AC1188" t="str">
            <v>@@</v>
          </cell>
          <cell r="AD1188" t="str">
            <v>@@</v>
          </cell>
          <cell r="AL1188" t="str">
            <v>@@</v>
          </cell>
        </row>
        <row r="1189">
          <cell r="J1189">
            <v>136600</v>
          </cell>
          <cell r="L1189" t="str">
            <v>@@</v>
          </cell>
          <cell r="M1189" t="str">
            <v>@@</v>
          </cell>
          <cell r="N1189" t="str">
            <v>@@</v>
          </cell>
          <cell r="O1189" t="str">
            <v>@@</v>
          </cell>
          <cell r="P1189" t="str">
            <v>@@</v>
          </cell>
          <cell r="Q1189" t="str">
            <v>@@</v>
          </cell>
          <cell r="R1189" t="str">
            <v>@@</v>
          </cell>
          <cell r="S1189" t="str">
            <v>@@</v>
          </cell>
          <cell r="AB1189" t="str">
            <v>@@</v>
          </cell>
          <cell r="AC1189" t="str">
            <v>@@</v>
          </cell>
          <cell r="AD1189" t="str">
            <v>@@</v>
          </cell>
          <cell r="AL1189" t="str">
            <v>@@</v>
          </cell>
        </row>
        <row r="1190">
          <cell r="J1190">
            <v>136700</v>
          </cell>
          <cell r="L1190" t="str">
            <v>@@</v>
          </cell>
          <cell r="M1190" t="str">
            <v>@@</v>
          </cell>
          <cell r="N1190" t="str">
            <v>@@</v>
          </cell>
          <cell r="O1190" t="str">
            <v>@@</v>
          </cell>
          <cell r="P1190" t="str">
            <v>@@</v>
          </cell>
          <cell r="Q1190" t="str">
            <v>@@</v>
          </cell>
          <cell r="R1190" t="str">
            <v>@@</v>
          </cell>
          <cell r="S1190" t="str">
            <v>@@</v>
          </cell>
          <cell r="AB1190" t="str">
            <v>@@</v>
          </cell>
          <cell r="AC1190" t="str">
            <v>@@</v>
          </cell>
          <cell r="AD1190" t="str">
            <v>@@</v>
          </cell>
          <cell r="AL1190" t="str">
            <v>@@</v>
          </cell>
        </row>
        <row r="1191">
          <cell r="J1191">
            <v>136800</v>
          </cell>
          <cell r="L1191" t="str">
            <v>@@</v>
          </cell>
          <cell r="M1191" t="str">
            <v>@@</v>
          </cell>
          <cell r="N1191" t="str">
            <v>@@</v>
          </cell>
          <cell r="O1191" t="str">
            <v>@@</v>
          </cell>
          <cell r="P1191" t="str">
            <v>@@</v>
          </cell>
          <cell r="Q1191" t="str">
            <v>@@</v>
          </cell>
          <cell r="R1191" t="str">
            <v>@@</v>
          </cell>
          <cell r="S1191" t="str">
            <v>@@</v>
          </cell>
          <cell r="AB1191" t="str">
            <v>@@</v>
          </cell>
          <cell r="AC1191" t="str">
            <v>@@</v>
          </cell>
          <cell r="AD1191" t="str">
            <v>@@</v>
          </cell>
          <cell r="AL1191" t="str">
            <v>@@</v>
          </cell>
        </row>
        <row r="1192">
          <cell r="J1192">
            <v>136900</v>
          </cell>
          <cell r="L1192" t="str">
            <v>@@</v>
          </cell>
          <cell r="M1192" t="str">
            <v>@@</v>
          </cell>
          <cell r="N1192" t="str">
            <v>@@</v>
          </cell>
          <cell r="O1192" t="str">
            <v>@@</v>
          </cell>
          <cell r="P1192" t="str">
            <v>@@</v>
          </cell>
          <cell r="Q1192" t="str">
            <v>@@</v>
          </cell>
          <cell r="R1192" t="str">
            <v>@@</v>
          </cell>
          <cell r="S1192" t="str">
            <v>@@</v>
          </cell>
          <cell r="AB1192" t="str">
            <v>@@</v>
          </cell>
          <cell r="AC1192" t="str">
            <v>@@</v>
          </cell>
          <cell r="AD1192" t="str">
            <v>@@</v>
          </cell>
          <cell r="AL1192" t="str">
            <v>@@</v>
          </cell>
        </row>
        <row r="1193">
          <cell r="J1193">
            <v>137000</v>
          </cell>
          <cell r="L1193" t="str">
            <v>@@</v>
          </cell>
          <cell r="M1193" t="str">
            <v>@@</v>
          </cell>
          <cell r="N1193" t="str">
            <v>@@</v>
          </cell>
          <cell r="O1193" t="str">
            <v>@@</v>
          </cell>
          <cell r="P1193" t="str">
            <v>@@</v>
          </cell>
          <cell r="Q1193" t="str">
            <v>@@</v>
          </cell>
          <cell r="R1193" t="str">
            <v>@@</v>
          </cell>
          <cell r="S1193" t="str">
            <v>@@</v>
          </cell>
          <cell r="AB1193" t="str">
            <v>@@</v>
          </cell>
          <cell r="AC1193" t="str">
            <v>@@</v>
          </cell>
          <cell r="AD1193" t="str">
            <v>@@</v>
          </cell>
          <cell r="AL1193" t="str">
            <v>@@</v>
          </cell>
        </row>
        <row r="1194">
          <cell r="J1194">
            <v>137100</v>
          </cell>
          <cell r="L1194" t="str">
            <v>@@</v>
          </cell>
          <cell r="M1194" t="str">
            <v>@@</v>
          </cell>
          <cell r="N1194" t="str">
            <v>@@</v>
          </cell>
          <cell r="O1194" t="str">
            <v>@@</v>
          </cell>
          <cell r="P1194" t="str">
            <v>@@</v>
          </cell>
          <cell r="Q1194" t="str">
            <v>@@</v>
          </cell>
          <cell r="R1194" t="str">
            <v>@@</v>
          </cell>
          <cell r="S1194" t="str">
            <v>@@</v>
          </cell>
          <cell r="AB1194" t="str">
            <v>@@</v>
          </cell>
          <cell r="AC1194" t="str">
            <v>@@</v>
          </cell>
          <cell r="AD1194" t="str">
            <v>@@</v>
          </cell>
          <cell r="AL1194" t="str">
            <v>@@</v>
          </cell>
        </row>
        <row r="1195">
          <cell r="J1195">
            <v>137200</v>
          </cell>
          <cell r="L1195" t="str">
            <v>@@</v>
          </cell>
          <cell r="M1195" t="str">
            <v>@@</v>
          </cell>
          <cell r="N1195" t="str">
            <v>@@</v>
          </cell>
          <cell r="O1195" t="str">
            <v>@@</v>
          </cell>
          <cell r="P1195" t="str">
            <v>@@</v>
          </cell>
          <cell r="Q1195" t="str">
            <v>@@</v>
          </cell>
          <cell r="R1195" t="str">
            <v>@@</v>
          </cell>
          <cell r="S1195" t="str">
            <v>@@</v>
          </cell>
          <cell r="AB1195" t="str">
            <v>@@</v>
          </cell>
          <cell r="AC1195">
            <v>-20.666666666666668</v>
          </cell>
          <cell r="AD1195">
            <v>3.4</v>
          </cell>
          <cell r="AF1195">
            <v>-20.666666666666668</v>
          </cell>
          <cell r="AG1195">
            <v>3.4</v>
          </cell>
          <cell r="AL1195" t="str">
            <v>@@</v>
          </cell>
        </row>
        <row r="1196">
          <cell r="J1196">
            <v>137300</v>
          </cell>
          <cell r="L1196">
            <v>137300</v>
          </cell>
          <cell r="M1196">
            <v>-20.666666666666668</v>
          </cell>
          <cell r="N1196">
            <v>3.4</v>
          </cell>
          <cell r="O1196">
            <v>-18.5</v>
          </cell>
          <cell r="P1196">
            <v>4.3</v>
          </cell>
          <cell r="Q1196">
            <v>-9.1999999999999993</v>
          </cell>
          <cell r="R1196">
            <v>5</v>
          </cell>
          <cell r="S1196">
            <v>1</v>
          </cell>
          <cell r="T1196">
            <v>137300</v>
          </cell>
          <cell r="U1196">
            <v>-20.666666666666668</v>
          </cell>
          <cell r="V1196">
            <v>3.4</v>
          </cell>
          <cell r="W1196">
            <v>-18.5</v>
          </cell>
          <cell r="X1196">
            <v>4.3</v>
          </cell>
          <cell r="Y1196">
            <v>-9.1999999999999993</v>
          </cell>
          <cell r="Z1196">
            <v>5</v>
          </cell>
          <cell r="AA1196">
            <v>1</v>
          </cell>
          <cell r="AB1196">
            <v>137300</v>
          </cell>
          <cell r="AC1196">
            <v>-18.5</v>
          </cell>
          <cell r="AD1196">
            <v>4.3</v>
          </cell>
          <cell r="AE1196">
            <v>137300</v>
          </cell>
          <cell r="AF1196">
            <v>-18.5</v>
          </cell>
          <cell r="AG1196">
            <v>4.3</v>
          </cell>
          <cell r="AL1196">
            <v>12.7</v>
          </cell>
          <cell r="AM1196">
            <v>12.7</v>
          </cell>
        </row>
        <row r="1197">
          <cell r="J1197">
            <v>137400</v>
          </cell>
          <cell r="L1197" t="str">
            <v>@@</v>
          </cell>
          <cell r="M1197" t="str">
            <v>@@</v>
          </cell>
          <cell r="N1197" t="str">
            <v>@@</v>
          </cell>
          <cell r="O1197" t="str">
            <v>@@</v>
          </cell>
          <cell r="P1197" t="str">
            <v>@@</v>
          </cell>
          <cell r="Q1197" t="str">
            <v>@@</v>
          </cell>
          <cell r="R1197" t="str">
            <v>@@</v>
          </cell>
          <cell r="S1197" t="str">
            <v>@@</v>
          </cell>
          <cell r="AB1197" t="str">
            <v>@@</v>
          </cell>
          <cell r="AC1197">
            <v>-9.1999999999999993</v>
          </cell>
          <cell r="AD1197">
            <v>5</v>
          </cell>
          <cell r="AF1197">
            <v>-9.1999999999999993</v>
          </cell>
          <cell r="AG1197">
            <v>5</v>
          </cell>
          <cell r="AL1197" t="str">
            <v>@@</v>
          </cell>
        </row>
        <row r="1198">
          <cell r="J1198">
            <v>137500</v>
          </cell>
          <cell r="L1198" t="str">
            <v>@@</v>
          </cell>
          <cell r="M1198" t="str">
            <v>@@</v>
          </cell>
          <cell r="N1198" t="str">
            <v>@@</v>
          </cell>
          <cell r="O1198" t="str">
            <v>@@</v>
          </cell>
          <cell r="P1198" t="str">
            <v>@@</v>
          </cell>
          <cell r="Q1198" t="str">
            <v>@@</v>
          </cell>
          <cell r="R1198" t="str">
            <v>@@</v>
          </cell>
          <cell r="S1198" t="str">
            <v>@@</v>
          </cell>
          <cell r="AB1198" t="str">
            <v>@@</v>
          </cell>
          <cell r="AC1198" t="str">
            <v>@@</v>
          </cell>
          <cell r="AD1198" t="str">
            <v>@@</v>
          </cell>
          <cell r="AL1198" t="str">
            <v>@@</v>
          </cell>
        </row>
        <row r="1199">
          <cell r="J1199">
            <v>137600</v>
          </cell>
          <cell r="L1199" t="str">
            <v>@@</v>
          </cell>
          <cell r="M1199" t="str">
            <v>@@</v>
          </cell>
          <cell r="N1199" t="str">
            <v>@@</v>
          </cell>
          <cell r="O1199" t="str">
            <v>@@</v>
          </cell>
          <cell r="P1199" t="str">
            <v>@@</v>
          </cell>
          <cell r="Q1199" t="str">
            <v>@@</v>
          </cell>
          <cell r="R1199" t="str">
            <v>@@</v>
          </cell>
          <cell r="S1199" t="str">
            <v>@@</v>
          </cell>
          <cell r="AB1199" t="str">
            <v>@@</v>
          </cell>
          <cell r="AC1199" t="str">
            <v>@@</v>
          </cell>
          <cell r="AD1199" t="str">
            <v>@@</v>
          </cell>
          <cell r="AL1199" t="str">
            <v>@@</v>
          </cell>
        </row>
        <row r="1200">
          <cell r="J1200">
            <v>137700</v>
          </cell>
          <cell r="L1200" t="str">
            <v>@@</v>
          </cell>
          <cell r="M1200" t="str">
            <v>@@</v>
          </cell>
          <cell r="N1200" t="str">
            <v>@@</v>
          </cell>
          <cell r="O1200" t="str">
            <v>@@</v>
          </cell>
          <cell r="P1200" t="str">
            <v>@@</v>
          </cell>
          <cell r="Q1200" t="str">
            <v>@@</v>
          </cell>
          <cell r="R1200" t="str">
            <v>@@</v>
          </cell>
          <cell r="S1200" t="str">
            <v>@@</v>
          </cell>
          <cell r="AB1200" t="str">
            <v>@@</v>
          </cell>
          <cell r="AC1200" t="str">
            <v>@@</v>
          </cell>
          <cell r="AD1200" t="str">
            <v>@@</v>
          </cell>
          <cell r="AL1200" t="str">
            <v>@@</v>
          </cell>
        </row>
        <row r="1201">
          <cell r="J1201">
            <v>137800</v>
          </cell>
          <cell r="L1201" t="str">
            <v>@@</v>
          </cell>
          <cell r="M1201" t="str">
            <v>@@</v>
          </cell>
          <cell r="N1201" t="str">
            <v>@@</v>
          </cell>
          <cell r="O1201" t="str">
            <v>@@</v>
          </cell>
          <cell r="P1201" t="str">
            <v>@@</v>
          </cell>
          <cell r="Q1201" t="str">
            <v>@@</v>
          </cell>
          <cell r="R1201" t="str">
            <v>@@</v>
          </cell>
          <cell r="S1201" t="str">
            <v>@@</v>
          </cell>
          <cell r="AB1201" t="str">
            <v>@@</v>
          </cell>
          <cell r="AC1201" t="str">
            <v>@@</v>
          </cell>
          <cell r="AD1201" t="str">
            <v>@@</v>
          </cell>
          <cell r="AL1201" t="str">
            <v>@@</v>
          </cell>
        </row>
        <row r="1202">
          <cell r="J1202">
            <v>137900</v>
          </cell>
          <cell r="L1202" t="str">
            <v>@@</v>
          </cell>
          <cell r="M1202" t="str">
            <v>@@</v>
          </cell>
          <cell r="N1202" t="str">
            <v>@@</v>
          </cell>
          <cell r="O1202" t="str">
            <v>@@</v>
          </cell>
          <cell r="P1202" t="str">
            <v>@@</v>
          </cell>
          <cell r="Q1202" t="str">
            <v>@@</v>
          </cell>
          <cell r="R1202" t="str">
            <v>@@</v>
          </cell>
          <cell r="S1202" t="str">
            <v>@@</v>
          </cell>
          <cell r="AB1202" t="str">
            <v>@@</v>
          </cell>
          <cell r="AC1202" t="str">
            <v>@@</v>
          </cell>
          <cell r="AD1202" t="str">
            <v>@@</v>
          </cell>
          <cell r="AL1202" t="str">
            <v>@@</v>
          </cell>
        </row>
        <row r="1203">
          <cell r="J1203">
            <v>138000</v>
          </cell>
          <cell r="L1203" t="str">
            <v>@@</v>
          </cell>
          <cell r="M1203" t="str">
            <v>@@</v>
          </cell>
          <cell r="N1203" t="str">
            <v>@@</v>
          </cell>
          <cell r="O1203" t="str">
            <v>@@</v>
          </cell>
          <cell r="P1203" t="str">
            <v>@@</v>
          </cell>
          <cell r="Q1203" t="str">
            <v>@@</v>
          </cell>
          <cell r="R1203" t="str">
            <v>@@</v>
          </cell>
          <cell r="S1203" t="str">
            <v>@@</v>
          </cell>
          <cell r="AB1203" t="str">
            <v>@@</v>
          </cell>
          <cell r="AC1203" t="str">
            <v>@@</v>
          </cell>
          <cell r="AD1203" t="str">
            <v>@@</v>
          </cell>
          <cell r="AL1203" t="str">
            <v>@@</v>
          </cell>
        </row>
        <row r="1204">
          <cell r="J1204">
            <v>138100</v>
          </cell>
          <cell r="L1204" t="str">
            <v>@@</v>
          </cell>
          <cell r="M1204" t="str">
            <v>@@</v>
          </cell>
          <cell r="N1204" t="str">
            <v>@@</v>
          </cell>
          <cell r="O1204" t="str">
            <v>@@</v>
          </cell>
          <cell r="P1204" t="str">
            <v>@@</v>
          </cell>
          <cell r="Q1204" t="str">
            <v>@@</v>
          </cell>
          <cell r="R1204" t="str">
            <v>@@</v>
          </cell>
          <cell r="S1204" t="str">
            <v>@@</v>
          </cell>
          <cell r="AB1204" t="str">
            <v>@@</v>
          </cell>
          <cell r="AC1204" t="str">
            <v>@@</v>
          </cell>
          <cell r="AD1204" t="str">
            <v>@@</v>
          </cell>
          <cell r="AL1204" t="str">
            <v>@@</v>
          </cell>
        </row>
        <row r="1205">
          <cell r="J1205">
            <v>138200</v>
          </cell>
          <cell r="L1205" t="str">
            <v>@@</v>
          </cell>
          <cell r="M1205" t="str">
            <v>@@</v>
          </cell>
          <cell r="N1205" t="str">
            <v>@@</v>
          </cell>
          <cell r="O1205" t="str">
            <v>@@</v>
          </cell>
          <cell r="P1205" t="str">
            <v>@@</v>
          </cell>
          <cell r="Q1205" t="str">
            <v>@@</v>
          </cell>
          <cell r="R1205" t="str">
            <v>@@</v>
          </cell>
          <cell r="S1205" t="str">
            <v>@@</v>
          </cell>
          <cell r="AB1205" t="str">
            <v>@@</v>
          </cell>
          <cell r="AC1205" t="str">
            <v>@@</v>
          </cell>
          <cell r="AD1205" t="str">
            <v>@@</v>
          </cell>
          <cell r="AL1205" t="str">
            <v>@@</v>
          </cell>
        </row>
        <row r="1206">
          <cell r="J1206">
            <v>138300</v>
          </cell>
          <cell r="L1206" t="str">
            <v>@@</v>
          </cell>
          <cell r="M1206" t="str">
            <v>@@</v>
          </cell>
          <cell r="N1206" t="str">
            <v>@@</v>
          </cell>
          <cell r="O1206" t="str">
            <v>@@</v>
          </cell>
          <cell r="P1206" t="str">
            <v>@@</v>
          </cell>
          <cell r="Q1206" t="str">
            <v>@@</v>
          </cell>
          <cell r="R1206" t="str">
            <v>@@</v>
          </cell>
          <cell r="S1206" t="str">
            <v>@@</v>
          </cell>
          <cell r="AB1206" t="str">
            <v>@@</v>
          </cell>
          <cell r="AC1206" t="str">
            <v>@@</v>
          </cell>
          <cell r="AD1206" t="str">
            <v>@@</v>
          </cell>
          <cell r="AL1206" t="str">
            <v>@@</v>
          </cell>
        </row>
        <row r="1207">
          <cell r="J1207">
            <v>138400</v>
          </cell>
          <cell r="L1207" t="str">
            <v>@@</v>
          </cell>
          <cell r="M1207" t="str">
            <v>@@</v>
          </cell>
          <cell r="N1207" t="str">
            <v>@@</v>
          </cell>
          <cell r="O1207" t="str">
            <v>@@</v>
          </cell>
          <cell r="P1207" t="str">
            <v>@@</v>
          </cell>
          <cell r="Q1207" t="str">
            <v>@@</v>
          </cell>
          <cell r="R1207" t="str">
            <v>@@</v>
          </cell>
          <cell r="S1207" t="str">
            <v>@@</v>
          </cell>
          <cell r="AB1207" t="str">
            <v>@@</v>
          </cell>
          <cell r="AC1207" t="str">
            <v>@@</v>
          </cell>
          <cell r="AD1207" t="str">
            <v>@@</v>
          </cell>
          <cell r="AL1207" t="str">
            <v>@@</v>
          </cell>
        </row>
        <row r="1208">
          <cell r="J1208">
            <v>138500</v>
          </cell>
          <cell r="L1208" t="str">
            <v>@@</v>
          </cell>
          <cell r="M1208" t="str">
            <v>@@</v>
          </cell>
          <cell r="N1208" t="str">
            <v>@@</v>
          </cell>
          <cell r="O1208" t="str">
            <v>@@</v>
          </cell>
          <cell r="P1208" t="str">
            <v>@@</v>
          </cell>
          <cell r="Q1208" t="str">
            <v>@@</v>
          </cell>
          <cell r="R1208" t="str">
            <v>@@</v>
          </cell>
          <cell r="S1208" t="str">
            <v>@@</v>
          </cell>
          <cell r="AB1208" t="str">
            <v>@@</v>
          </cell>
          <cell r="AC1208" t="str">
            <v>@@</v>
          </cell>
          <cell r="AD1208" t="str">
            <v>@@</v>
          </cell>
          <cell r="AL1208" t="str">
            <v>@@</v>
          </cell>
        </row>
        <row r="1209">
          <cell r="J1209">
            <v>138600</v>
          </cell>
          <cell r="L1209" t="str">
            <v>@@</v>
          </cell>
          <cell r="M1209" t="str">
            <v>@@</v>
          </cell>
          <cell r="N1209" t="str">
            <v>@@</v>
          </cell>
          <cell r="O1209" t="str">
            <v>@@</v>
          </cell>
          <cell r="P1209" t="str">
            <v>@@</v>
          </cell>
          <cell r="Q1209" t="str">
            <v>@@</v>
          </cell>
          <cell r="R1209" t="str">
            <v>@@</v>
          </cell>
          <cell r="S1209" t="str">
            <v>@@</v>
          </cell>
          <cell r="AB1209" t="str">
            <v>@@</v>
          </cell>
          <cell r="AC1209" t="str">
            <v>@@</v>
          </cell>
          <cell r="AD1209" t="str">
            <v>@@</v>
          </cell>
          <cell r="AL1209" t="str">
            <v>@@</v>
          </cell>
        </row>
        <row r="1210">
          <cell r="J1210">
            <v>138700</v>
          </cell>
          <cell r="L1210" t="str">
            <v>@@</v>
          </cell>
          <cell r="M1210" t="str">
            <v>@@</v>
          </cell>
          <cell r="N1210" t="str">
            <v>@@</v>
          </cell>
          <cell r="O1210" t="str">
            <v>@@</v>
          </cell>
          <cell r="P1210" t="str">
            <v>@@</v>
          </cell>
          <cell r="Q1210" t="str">
            <v>@@</v>
          </cell>
          <cell r="R1210" t="str">
            <v>@@</v>
          </cell>
          <cell r="S1210" t="str">
            <v>@@</v>
          </cell>
          <cell r="AB1210" t="str">
            <v>@@</v>
          </cell>
          <cell r="AC1210" t="str">
            <v>@@</v>
          </cell>
          <cell r="AD1210" t="str">
            <v>@@</v>
          </cell>
          <cell r="AL1210" t="str">
            <v>@@</v>
          </cell>
        </row>
        <row r="1211">
          <cell r="J1211">
            <v>138800</v>
          </cell>
          <cell r="L1211" t="str">
            <v>@@</v>
          </cell>
          <cell r="M1211" t="str">
            <v>@@</v>
          </cell>
          <cell r="N1211" t="str">
            <v>@@</v>
          </cell>
          <cell r="O1211" t="str">
            <v>@@</v>
          </cell>
          <cell r="P1211" t="str">
            <v>@@</v>
          </cell>
          <cell r="Q1211" t="str">
            <v>@@</v>
          </cell>
          <cell r="R1211" t="str">
            <v>@@</v>
          </cell>
          <cell r="S1211" t="str">
            <v>@@</v>
          </cell>
          <cell r="AB1211" t="str">
            <v>@@</v>
          </cell>
          <cell r="AC1211" t="str">
            <v>@@</v>
          </cell>
          <cell r="AD1211" t="str">
            <v>@@</v>
          </cell>
          <cell r="AL1211" t="str">
            <v>@@</v>
          </cell>
        </row>
        <row r="1212">
          <cell r="J1212">
            <v>138900</v>
          </cell>
          <cell r="L1212" t="str">
            <v>@@</v>
          </cell>
          <cell r="M1212" t="str">
            <v>@@</v>
          </cell>
          <cell r="N1212" t="str">
            <v>@@</v>
          </cell>
          <cell r="O1212" t="str">
            <v>@@</v>
          </cell>
          <cell r="P1212" t="str">
            <v>@@</v>
          </cell>
          <cell r="Q1212" t="str">
            <v>@@</v>
          </cell>
          <cell r="R1212" t="str">
            <v>@@</v>
          </cell>
          <cell r="S1212" t="str">
            <v>@@</v>
          </cell>
          <cell r="AB1212" t="str">
            <v>@@</v>
          </cell>
          <cell r="AC1212" t="str">
            <v>@@</v>
          </cell>
          <cell r="AD1212" t="str">
            <v>@@</v>
          </cell>
          <cell r="AL1212" t="str">
            <v>@@</v>
          </cell>
        </row>
        <row r="1213">
          <cell r="J1213">
            <v>139000</v>
          </cell>
          <cell r="L1213" t="str">
            <v>@@</v>
          </cell>
          <cell r="M1213" t="str">
            <v>@@</v>
          </cell>
          <cell r="N1213" t="str">
            <v>@@</v>
          </cell>
          <cell r="O1213" t="str">
            <v>@@</v>
          </cell>
          <cell r="P1213" t="str">
            <v>@@</v>
          </cell>
          <cell r="Q1213" t="str">
            <v>@@</v>
          </cell>
          <cell r="R1213" t="str">
            <v>@@</v>
          </cell>
          <cell r="S1213" t="str">
            <v>@@</v>
          </cell>
          <cell r="AB1213" t="str">
            <v>@@</v>
          </cell>
          <cell r="AC1213" t="str">
            <v>@@</v>
          </cell>
          <cell r="AD1213" t="str">
            <v>@@</v>
          </cell>
          <cell r="AL1213" t="str">
            <v>@@</v>
          </cell>
        </row>
        <row r="1214">
          <cell r="J1214">
            <v>139100</v>
          </cell>
          <cell r="L1214" t="str">
            <v>@@</v>
          </cell>
          <cell r="M1214" t="str">
            <v>@@</v>
          </cell>
          <cell r="N1214" t="str">
            <v>@@</v>
          </cell>
          <cell r="O1214" t="str">
            <v>@@</v>
          </cell>
          <cell r="P1214" t="str">
            <v>@@</v>
          </cell>
          <cell r="Q1214" t="str">
            <v>@@</v>
          </cell>
          <cell r="R1214" t="str">
            <v>@@</v>
          </cell>
          <cell r="S1214" t="str">
            <v>@@</v>
          </cell>
          <cell r="AB1214" t="str">
            <v>@@</v>
          </cell>
          <cell r="AC1214" t="str">
            <v>@@</v>
          </cell>
          <cell r="AD1214" t="str">
            <v>@@</v>
          </cell>
          <cell r="AL1214" t="str">
            <v>@@</v>
          </cell>
        </row>
        <row r="1215">
          <cell r="J1215">
            <v>139200</v>
          </cell>
          <cell r="L1215" t="str">
            <v>@@</v>
          </cell>
          <cell r="M1215" t="str">
            <v>@@</v>
          </cell>
          <cell r="N1215" t="str">
            <v>@@</v>
          </cell>
          <cell r="O1215" t="str">
            <v>@@</v>
          </cell>
          <cell r="P1215" t="str">
            <v>@@</v>
          </cell>
          <cell r="Q1215" t="str">
            <v>@@</v>
          </cell>
          <cell r="R1215" t="str">
            <v>@@</v>
          </cell>
          <cell r="S1215" t="str">
            <v>@@</v>
          </cell>
          <cell r="AB1215" t="str">
            <v>@@</v>
          </cell>
          <cell r="AC1215" t="str">
            <v>@@</v>
          </cell>
          <cell r="AD1215" t="str">
            <v>@@</v>
          </cell>
          <cell r="AL1215" t="str">
            <v>@@</v>
          </cell>
        </row>
        <row r="1216">
          <cell r="J1216">
            <v>139300</v>
          </cell>
          <cell r="L1216" t="str">
            <v>@@</v>
          </cell>
          <cell r="M1216" t="str">
            <v>@@</v>
          </cell>
          <cell r="N1216" t="str">
            <v>@@</v>
          </cell>
          <cell r="O1216" t="str">
            <v>@@</v>
          </cell>
          <cell r="P1216" t="str">
            <v>@@</v>
          </cell>
          <cell r="Q1216" t="str">
            <v>@@</v>
          </cell>
          <cell r="R1216" t="str">
            <v>@@</v>
          </cell>
          <cell r="S1216" t="str">
            <v>@@</v>
          </cell>
          <cell r="AB1216" t="str">
            <v>@@</v>
          </cell>
          <cell r="AC1216" t="str">
            <v>@@</v>
          </cell>
          <cell r="AD1216" t="str">
            <v>@@</v>
          </cell>
          <cell r="AL1216" t="str">
            <v>@@</v>
          </cell>
        </row>
        <row r="1217">
          <cell r="J1217">
            <v>139400</v>
          </cell>
          <cell r="L1217" t="str">
            <v>@@</v>
          </cell>
          <cell r="M1217" t="str">
            <v>@@</v>
          </cell>
          <cell r="N1217" t="str">
            <v>@@</v>
          </cell>
          <cell r="O1217" t="str">
            <v>@@</v>
          </cell>
          <cell r="P1217" t="str">
            <v>@@</v>
          </cell>
          <cell r="Q1217" t="str">
            <v>@@</v>
          </cell>
          <cell r="R1217" t="str">
            <v>@@</v>
          </cell>
          <cell r="S1217" t="str">
            <v>@@</v>
          </cell>
          <cell r="AB1217" t="str">
            <v>@@</v>
          </cell>
          <cell r="AC1217" t="str">
            <v>@@</v>
          </cell>
          <cell r="AD1217" t="str">
            <v>@@</v>
          </cell>
          <cell r="AL1217" t="str">
            <v>@@</v>
          </cell>
        </row>
        <row r="1218">
          <cell r="J1218">
            <v>139500</v>
          </cell>
          <cell r="L1218" t="str">
            <v>@@</v>
          </cell>
          <cell r="M1218" t="str">
            <v>@@</v>
          </cell>
          <cell r="N1218" t="str">
            <v>@@</v>
          </cell>
          <cell r="O1218" t="str">
            <v>@@</v>
          </cell>
          <cell r="P1218" t="str">
            <v>@@</v>
          </cell>
          <cell r="Q1218" t="str">
            <v>@@</v>
          </cell>
          <cell r="R1218" t="str">
            <v>@@</v>
          </cell>
          <cell r="S1218" t="str">
            <v>@@</v>
          </cell>
          <cell r="AB1218" t="str">
            <v>@@</v>
          </cell>
          <cell r="AC1218" t="str">
            <v>@@</v>
          </cell>
          <cell r="AD1218" t="str">
            <v>@@</v>
          </cell>
          <cell r="AL1218" t="str">
            <v>@@</v>
          </cell>
        </row>
        <row r="1219">
          <cell r="J1219">
            <v>139600</v>
          </cell>
          <cell r="L1219" t="str">
            <v>@@</v>
          </cell>
          <cell r="M1219" t="str">
            <v>@@</v>
          </cell>
          <cell r="N1219" t="str">
            <v>@@</v>
          </cell>
          <cell r="O1219" t="str">
            <v>@@</v>
          </cell>
          <cell r="P1219" t="str">
            <v>@@</v>
          </cell>
          <cell r="Q1219" t="str">
            <v>@@</v>
          </cell>
          <cell r="R1219" t="str">
            <v>@@</v>
          </cell>
          <cell r="S1219" t="str">
            <v>@@</v>
          </cell>
          <cell r="AB1219" t="str">
            <v>@@</v>
          </cell>
          <cell r="AC1219" t="str">
            <v>@@</v>
          </cell>
          <cell r="AD1219" t="str">
            <v>@@</v>
          </cell>
          <cell r="AL1219" t="str">
            <v>@@</v>
          </cell>
        </row>
        <row r="1220">
          <cell r="J1220">
            <v>139700</v>
          </cell>
          <cell r="L1220" t="str">
            <v>@@</v>
          </cell>
          <cell r="M1220" t="str">
            <v>@@</v>
          </cell>
          <cell r="N1220" t="str">
            <v>@@</v>
          </cell>
          <cell r="O1220" t="str">
            <v>@@</v>
          </cell>
          <cell r="P1220" t="str">
            <v>@@</v>
          </cell>
          <cell r="Q1220" t="str">
            <v>@@</v>
          </cell>
          <cell r="R1220" t="str">
            <v>@@</v>
          </cell>
          <cell r="S1220" t="str">
            <v>@@</v>
          </cell>
          <cell r="AB1220" t="str">
            <v>@@</v>
          </cell>
          <cell r="AC1220" t="str">
            <v>@@</v>
          </cell>
          <cell r="AD1220" t="str">
            <v>@@</v>
          </cell>
          <cell r="AL1220" t="str">
            <v>@@</v>
          </cell>
        </row>
        <row r="1221">
          <cell r="J1221">
            <v>139800</v>
          </cell>
          <cell r="L1221" t="str">
            <v>@@</v>
          </cell>
          <cell r="M1221" t="str">
            <v>@@</v>
          </cell>
          <cell r="N1221" t="str">
            <v>@@</v>
          </cell>
          <cell r="O1221" t="str">
            <v>@@</v>
          </cell>
          <cell r="P1221" t="str">
            <v>@@</v>
          </cell>
          <cell r="Q1221" t="str">
            <v>@@</v>
          </cell>
          <cell r="R1221" t="str">
            <v>@@</v>
          </cell>
          <cell r="S1221" t="str">
            <v>@@</v>
          </cell>
          <cell r="AB1221" t="str">
            <v>@@</v>
          </cell>
          <cell r="AC1221" t="str">
            <v>@@</v>
          </cell>
          <cell r="AD1221" t="str">
            <v>@@</v>
          </cell>
          <cell r="AL1221" t="str">
            <v>@@</v>
          </cell>
        </row>
        <row r="1222">
          <cell r="J1222">
            <v>139900</v>
          </cell>
          <cell r="L1222" t="str">
            <v>@@</v>
          </cell>
          <cell r="M1222" t="str">
            <v>@@</v>
          </cell>
          <cell r="N1222" t="str">
            <v>@@</v>
          </cell>
          <cell r="O1222" t="str">
            <v>@@</v>
          </cell>
          <cell r="P1222" t="str">
            <v>@@</v>
          </cell>
          <cell r="Q1222" t="str">
            <v>@@</v>
          </cell>
          <cell r="R1222" t="str">
            <v>@@</v>
          </cell>
          <cell r="S1222" t="str">
            <v>@@</v>
          </cell>
          <cell r="AB1222" t="str">
            <v>@@</v>
          </cell>
          <cell r="AC1222" t="str">
            <v>@@</v>
          </cell>
          <cell r="AD1222" t="str">
            <v>@@</v>
          </cell>
          <cell r="AL1222" t="str">
            <v>@@</v>
          </cell>
        </row>
      </sheetData>
      <sheetData sheetId="3">
        <row r="2">
          <cell r="A2">
            <v>18012</v>
          </cell>
          <cell r="B2">
            <v>11.2</v>
          </cell>
        </row>
        <row r="3">
          <cell r="A3">
            <v>18112</v>
          </cell>
          <cell r="B3">
            <v>11.2</v>
          </cell>
        </row>
        <row r="4">
          <cell r="A4">
            <v>18112</v>
          </cell>
          <cell r="B4">
            <v>22.3</v>
          </cell>
        </row>
        <row r="5">
          <cell r="A5">
            <v>18212</v>
          </cell>
          <cell r="B5">
            <v>22.3</v>
          </cell>
        </row>
        <row r="6">
          <cell r="A6">
            <v>18212</v>
          </cell>
          <cell r="B6">
            <v>6.8</v>
          </cell>
        </row>
        <row r="7">
          <cell r="A7">
            <v>18312</v>
          </cell>
          <cell r="B7">
            <v>6.8</v>
          </cell>
        </row>
        <row r="8">
          <cell r="A8">
            <v>18312</v>
          </cell>
          <cell r="B8">
            <v>6.1</v>
          </cell>
        </row>
        <row r="9">
          <cell r="A9">
            <v>18412</v>
          </cell>
          <cell r="B9">
            <v>6.1</v>
          </cell>
        </row>
        <row r="10">
          <cell r="A10">
            <v>18412</v>
          </cell>
          <cell r="B10">
            <v>10.5</v>
          </cell>
        </row>
        <row r="11">
          <cell r="A11">
            <v>18512</v>
          </cell>
          <cell r="B11">
            <v>10.5</v>
          </cell>
        </row>
        <row r="12">
          <cell r="A12">
            <v>18512</v>
          </cell>
          <cell r="B12">
            <v>7</v>
          </cell>
        </row>
        <row r="13">
          <cell r="A13">
            <v>18612</v>
          </cell>
          <cell r="B13">
            <v>7</v>
          </cell>
        </row>
        <row r="14">
          <cell r="A14">
            <v>18612</v>
          </cell>
          <cell r="B14">
            <v>6.3</v>
          </cell>
        </row>
        <row r="15">
          <cell r="A15">
            <v>18712</v>
          </cell>
          <cell r="B15">
            <v>6.3</v>
          </cell>
        </row>
        <row r="16">
          <cell r="A16">
            <v>18712</v>
          </cell>
          <cell r="B16">
            <v>7.5</v>
          </cell>
        </row>
        <row r="17">
          <cell r="A17">
            <v>18812</v>
          </cell>
          <cell r="B17">
            <v>7.5</v>
          </cell>
        </row>
        <row r="18">
          <cell r="A18">
            <v>18812</v>
          </cell>
          <cell r="B18">
            <v>8.6999999999999993</v>
          </cell>
        </row>
        <row r="19">
          <cell r="A19">
            <v>18912</v>
          </cell>
          <cell r="B19">
            <v>8.6999999999999993</v>
          </cell>
        </row>
        <row r="20">
          <cell r="A20">
            <v>18912</v>
          </cell>
          <cell r="B20">
            <v>7.2</v>
          </cell>
        </row>
        <row r="21">
          <cell r="A21">
            <v>19012</v>
          </cell>
          <cell r="B21">
            <v>7.2</v>
          </cell>
        </row>
        <row r="22">
          <cell r="A22">
            <v>19012</v>
          </cell>
          <cell r="B22">
            <v>9.5</v>
          </cell>
        </row>
        <row r="23">
          <cell r="A23">
            <v>19112</v>
          </cell>
          <cell r="B23">
            <v>9.5</v>
          </cell>
        </row>
        <row r="24">
          <cell r="A24">
            <v>19112</v>
          </cell>
          <cell r="B24">
            <v>6.2</v>
          </cell>
        </row>
        <row r="25">
          <cell r="A25">
            <v>19212</v>
          </cell>
          <cell r="B25">
            <v>6.2</v>
          </cell>
        </row>
        <row r="26">
          <cell r="A26">
            <v>19212</v>
          </cell>
          <cell r="B26">
            <v>2.4</v>
          </cell>
        </row>
        <row r="27">
          <cell r="A27">
            <v>19312</v>
          </cell>
          <cell r="B27">
            <v>2.4</v>
          </cell>
        </row>
        <row r="28">
          <cell r="A28">
            <v>19312</v>
          </cell>
          <cell r="B28">
            <v>17</v>
          </cell>
        </row>
        <row r="29">
          <cell r="A29">
            <v>19412</v>
          </cell>
          <cell r="B29">
            <v>17</v>
          </cell>
        </row>
        <row r="30">
          <cell r="A30">
            <v>19412</v>
          </cell>
          <cell r="B30">
            <v>12.7</v>
          </cell>
        </row>
        <row r="31">
          <cell r="A31">
            <v>19453</v>
          </cell>
          <cell r="B31">
            <v>12.7</v>
          </cell>
        </row>
        <row r="32">
          <cell r="A32">
            <v>19453</v>
          </cell>
          <cell r="B32">
            <v>15.2</v>
          </cell>
        </row>
        <row r="33">
          <cell r="A33">
            <v>19553</v>
          </cell>
          <cell r="B33">
            <v>15.2</v>
          </cell>
        </row>
        <row r="34">
          <cell r="A34">
            <v>19553</v>
          </cell>
          <cell r="B34">
            <v>8.4</v>
          </cell>
        </row>
        <row r="35">
          <cell r="A35">
            <v>19653</v>
          </cell>
          <cell r="B35">
            <v>8.4</v>
          </cell>
        </row>
        <row r="36">
          <cell r="A36">
            <v>19653</v>
          </cell>
          <cell r="B36">
            <v>7.7</v>
          </cell>
        </row>
        <row r="37">
          <cell r="A37">
            <v>19753</v>
          </cell>
          <cell r="B37">
            <v>7.7</v>
          </cell>
        </row>
        <row r="38">
          <cell r="A38">
            <v>19753</v>
          </cell>
          <cell r="B38">
            <v>8.8000000000000007</v>
          </cell>
        </row>
        <row r="39">
          <cell r="A39">
            <v>19853</v>
          </cell>
          <cell r="B39">
            <v>8.8000000000000007</v>
          </cell>
        </row>
        <row r="40">
          <cell r="A40">
            <v>19853</v>
          </cell>
          <cell r="B40">
            <v>10.8</v>
          </cell>
        </row>
        <row r="41">
          <cell r="A41">
            <v>19953</v>
          </cell>
          <cell r="B41">
            <v>10.8</v>
          </cell>
        </row>
        <row r="42">
          <cell r="A42">
            <v>19953</v>
          </cell>
          <cell r="B42">
            <v>7.2</v>
          </cell>
        </row>
        <row r="43">
          <cell r="A43">
            <v>20053</v>
          </cell>
          <cell r="B43">
            <v>7.2</v>
          </cell>
        </row>
        <row r="44">
          <cell r="A44">
            <v>20053</v>
          </cell>
          <cell r="B44">
            <v>6.3</v>
          </cell>
        </row>
        <row r="45">
          <cell r="A45">
            <v>20153</v>
          </cell>
          <cell r="B45">
            <v>6.3</v>
          </cell>
        </row>
        <row r="46">
          <cell r="A46">
            <v>20153</v>
          </cell>
          <cell r="B46">
            <v>6</v>
          </cell>
        </row>
        <row r="47">
          <cell r="A47">
            <v>20253</v>
          </cell>
          <cell r="B47">
            <v>6</v>
          </cell>
        </row>
        <row r="48">
          <cell r="A48">
            <v>20253</v>
          </cell>
          <cell r="B48">
            <v>6.1</v>
          </cell>
        </row>
        <row r="49">
          <cell r="A49">
            <v>20353</v>
          </cell>
          <cell r="B49">
            <v>6.1</v>
          </cell>
        </row>
        <row r="50">
          <cell r="A50">
            <v>20353</v>
          </cell>
          <cell r="B50">
            <v>12</v>
          </cell>
        </row>
        <row r="51">
          <cell r="A51">
            <v>20453</v>
          </cell>
          <cell r="B51">
            <v>12</v>
          </cell>
        </row>
        <row r="52">
          <cell r="A52">
            <v>20453</v>
          </cell>
          <cell r="B52">
            <v>15.2</v>
          </cell>
        </row>
        <row r="53">
          <cell r="A53">
            <v>20553</v>
          </cell>
          <cell r="B53">
            <v>15.2</v>
          </cell>
        </row>
        <row r="54">
          <cell r="A54">
            <v>20553</v>
          </cell>
          <cell r="B54">
            <v>11.9</v>
          </cell>
        </row>
        <row r="55">
          <cell r="A55">
            <v>20653</v>
          </cell>
          <cell r="B55">
            <v>11.9</v>
          </cell>
        </row>
        <row r="56">
          <cell r="A56">
            <v>20653</v>
          </cell>
          <cell r="B56">
            <v>10.9</v>
          </cell>
        </row>
        <row r="57">
          <cell r="A57">
            <v>20753</v>
          </cell>
          <cell r="B57">
            <v>10.9</v>
          </cell>
        </row>
        <row r="58">
          <cell r="A58">
            <v>20753</v>
          </cell>
          <cell r="B58">
            <v>11</v>
          </cell>
        </row>
        <row r="59">
          <cell r="A59">
            <v>20853</v>
          </cell>
          <cell r="B59">
            <v>11</v>
          </cell>
        </row>
        <row r="60">
          <cell r="A60">
            <v>20853</v>
          </cell>
          <cell r="B60">
            <v>11.2</v>
          </cell>
        </row>
        <row r="61">
          <cell r="A61">
            <v>20953</v>
          </cell>
          <cell r="B61">
            <v>11.2</v>
          </cell>
        </row>
        <row r="62">
          <cell r="A62">
            <v>20953</v>
          </cell>
          <cell r="B62">
            <v>13.5</v>
          </cell>
        </row>
        <row r="63">
          <cell r="A63">
            <v>21053</v>
          </cell>
          <cell r="B63">
            <v>13.5</v>
          </cell>
        </row>
        <row r="64">
          <cell r="A64">
            <v>21053</v>
          </cell>
          <cell r="B64">
            <v>11.2</v>
          </cell>
        </row>
        <row r="65">
          <cell r="A65">
            <v>21153</v>
          </cell>
          <cell r="B65">
            <v>11.2</v>
          </cell>
        </row>
        <row r="66">
          <cell r="A66">
            <v>21153</v>
          </cell>
          <cell r="B66">
            <v>5.5</v>
          </cell>
        </row>
        <row r="67">
          <cell r="A67">
            <v>21253</v>
          </cell>
          <cell r="B67">
            <v>5.5</v>
          </cell>
        </row>
        <row r="68">
          <cell r="A68">
            <v>21253</v>
          </cell>
          <cell r="B68">
            <v>7.6</v>
          </cell>
        </row>
        <row r="69">
          <cell r="A69">
            <v>21353</v>
          </cell>
          <cell r="B69">
            <v>7.6</v>
          </cell>
        </row>
        <row r="70">
          <cell r="A70">
            <v>21353</v>
          </cell>
          <cell r="B70">
            <v>9.3000000000000007</v>
          </cell>
        </row>
        <row r="71">
          <cell r="A71">
            <v>21453</v>
          </cell>
          <cell r="B71">
            <v>9.3000000000000007</v>
          </cell>
        </row>
        <row r="72">
          <cell r="A72">
            <v>21453</v>
          </cell>
          <cell r="B72">
            <v>7</v>
          </cell>
        </row>
        <row r="73">
          <cell r="A73">
            <v>21553</v>
          </cell>
          <cell r="B73">
            <v>7</v>
          </cell>
        </row>
        <row r="74">
          <cell r="A74">
            <v>21553</v>
          </cell>
          <cell r="B74">
            <v>6.3</v>
          </cell>
        </row>
        <row r="75">
          <cell r="A75">
            <v>21653</v>
          </cell>
          <cell r="B75">
            <v>6.3</v>
          </cell>
        </row>
        <row r="76">
          <cell r="A76">
            <v>21653</v>
          </cell>
          <cell r="B76">
            <v>3.4</v>
          </cell>
        </row>
        <row r="77">
          <cell r="A77">
            <v>21753</v>
          </cell>
          <cell r="B77">
            <v>3.4</v>
          </cell>
        </row>
        <row r="78">
          <cell r="A78">
            <v>21753</v>
          </cell>
          <cell r="B78">
            <v>3.1</v>
          </cell>
        </row>
        <row r="79">
          <cell r="A79">
            <v>21853</v>
          </cell>
          <cell r="B79">
            <v>3.1</v>
          </cell>
        </row>
        <row r="80">
          <cell r="A80">
            <v>21853</v>
          </cell>
          <cell r="B80">
            <v>3.4</v>
          </cell>
        </row>
        <row r="81">
          <cell r="A81">
            <v>21953</v>
          </cell>
          <cell r="B81">
            <v>3.4</v>
          </cell>
        </row>
        <row r="82">
          <cell r="A82">
            <v>21953</v>
          </cell>
          <cell r="B82">
            <v>5.0999999999999996</v>
          </cell>
        </row>
        <row r="83">
          <cell r="A83">
            <v>22053</v>
          </cell>
          <cell r="B83">
            <v>5.0999999999999996</v>
          </cell>
        </row>
        <row r="84">
          <cell r="A84">
            <v>22053</v>
          </cell>
          <cell r="B84">
            <v>8.6</v>
          </cell>
        </row>
        <row r="85">
          <cell r="A85">
            <v>22153</v>
          </cell>
          <cell r="B85">
            <v>8.6</v>
          </cell>
        </row>
        <row r="86">
          <cell r="A86">
            <v>22153</v>
          </cell>
          <cell r="B86">
            <v>8.9</v>
          </cell>
        </row>
        <row r="87">
          <cell r="A87">
            <v>22253</v>
          </cell>
          <cell r="B87">
            <v>8.9</v>
          </cell>
        </row>
        <row r="88">
          <cell r="A88">
            <v>22253</v>
          </cell>
          <cell r="B88">
            <v>5.5</v>
          </cell>
        </row>
        <row r="89">
          <cell r="A89">
            <v>22353</v>
          </cell>
          <cell r="B89">
            <v>5.5</v>
          </cell>
        </row>
        <row r="90">
          <cell r="A90">
            <v>22353</v>
          </cell>
          <cell r="B90">
            <v>12.3</v>
          </cell>
        </row>
        <row r="91">
          <cell r="A91">
            <v>22453</v>
          </cell>
          <cell r="B91">
            <v>12.3</v>
          </cell>
        </row>
        <row r="92">
          <cell r="A92">
            <v>22453</v>
          </cell>
          <cell r="B92">
            <v>12.9</v>
          </cell>
        </row>
        <row r="93">
          <cell r="A93">
            <v>22458</v>
          </cell>
          <cell r="B93">
            <v>12.9</v>
          </cell>
        </row>
        <row r="94">
          <cell r="A94">
            <v>22458</v>
          </cell>
          <cell r="B94">
            <v>5.8</v>
          </cell>
        </row>
        <row r="95">
          <cell r="A95">
            <v>22558</v>
          </cell>
          <cell r="B95">
            <v>5.8</v>
          </cell>
        </row>
        <row r="96">
          <cell r="A96">
            <v>22558</v>
          </cell>
          <cell r="B96">
            <v>7.4</v>
          </cell>
        </row>
        <row r="97">
          <cell r="A97">
            <v>22658</v>
          </cell>
          <cell r="B97">
            <v>7.4</v>
          </cell>
        </row>
        <row r="98">
          <cell r="A98">
            <v>22658</v>
          </cell>
          <cell r="B98">
            <v>8.1</v>
          </cell>
        </row>
        <row r="99">
          <cell r="A99">
            <v>22758</v>
          </cell>
          <cell r="B99">
            <v>8.1</v>
          </cell>
        </row>
        <row r="100">
          <cell r="A100">
            <v>22758</v>
          </cell>
          <cell r="B100">
            <v>8.4</v>
          </cell>
        </row>
        <row r="101">
          <cell r="A101">
            <v>22858</v>
          </cell>
          <cell r="B101">
            <v>8.4</v>
          </cell>
        </row>
        <row r="102">
          <cell r="A102">
            <v>22858</v>
          </cell>
          <cell r="B102">
            <v>7.6</v>
          </cell>
        </row>
        <row r="103">
          <cell r="A103">
            <v>22958</v>
          </cell>
          <cell r="B103">
            <v>7.6</v>
          </cell>
        </row>
        <row r="104">
          <cell r="A104">
            <v>22958</v>
          </cell>
          <cell r="B104">
            <v>7.2</v>
          </cell>
        </row>
        <row r="105">
          <cell r="A105">
            <v>23058</v>
          </cell>
          <cell r="B105">
            <v>7.2</v>
          </cell>
        </row>
        <row r="106">
          <cell r="A106">
            <v>23058</v>
          </cell>
          <cell r="B106">
            <v>8.9</v>
          </cell>
        </row>
        <row r="107">
          <cell r="A107">
            <v>23158</v>
          </cell>
          <cell r="B107">
            <v>8.9</v>
          </cell>
        </row>
        <row r="108">
          <cell r="A108">
            <v>23158</v>
          </cell>
          <cell r="B108">
            <v>7.1</v>
          </cell>
        </row>
        <row r="109">
          <cell r="A109">
            <v>23258</v>
          </cell>
          <cell r="B109">
            <v>7.1</v>
          </cell>
        </row>
        <row r="110">
          <cell r="A110">
            <v>23258</v>
          </cell>
          <cell r="B110">
            <v>10.9</v>
          </cell>
        </row>
        <row r="111">
          <cell r="A111">
            <v>23358</v>
          </cell>
          <cell r="B111">
            <v>10.9</v>
          </cell>
        </row>
        <row r="112">
          <cell r="A112">
            <v>23358</v>
          </cell>
          <cell r="B112">
            <v>14.4</v>
          </cell>
        </row>
        <row r="113">
          <cell r="A113">
            <v>23458</v>
          </cell>
          <cell r="B113">
            <v>14.4</v>
          </cell>
        </row>
        <row r="114">
          <cell r="A114">
            <v>23458</v>
          </cell>
          <cell r="B114">
            <v>13.8</v>
          </cell>
        </row>
        <row r="115">
          <cell r="A115">
            <v>23558</v>
          </cell>
          <cell r="B115">
            <v>13.8</v>
          </cell>
        </row>
        <row r="116">
          <cell r="A116">
            <v>23558</v>
          </cell>
          <cell r="B116">
            <v>11.9</v>
          </cell>
        </row>
        <row r="117">
          <cell r="A117">
            <v>23658</v>
          </cell>
          <cell r="B117">
            <v>11.9</v>
          </cell>
        </row>
        <row r="118">
          <cell r="A118">
            <v>23658</v>
          </cell>
          <cell r="B118">
            <v>9.1</v>
          </cell>
        </row>
        <row r="119">
          <cell r="A119">
            <v>23758</v>
          </cell>
          <cell r="B119">
            <v>9.1</v>
          </cell>
        </row>
        <row r="120">
          <cell r="A120">
            <v>23758</v>
          </cell>
          <cell r="B120">
            <v>11.2</v>
          </cell>
        </row>
        <row r="121">
          <cell r="A121">
            <v>23858</v>
          </cell>
          <cell r="B121">
            <v>11.2</v>
          </cell>
        </row>
        <row r="122">
          <cell r="A122">
            <v>23858</v>
          </cell>
          <cell r="B122">
            <v>11.9</v>
          </cell>
        </row>
        <row r="123">
          <cell r="A123">
            <v>24032</v>
          </cell>
          <cell r="B123">
            <v>11.9</v>
          </cell>
        </row>
        <row r="124">
          <cell r="A124">
            <v>24032</v>
          </cell>
          <cell r="B124">
            <v>12.8</v>
          </cell>
        </row>
        <row r="125">
          <cell r="A125">
            <v>24132</v>
          </cell>
          <cell r="B125">
            <v>12.8</v>
          </cell>
        </row>
        <row r="126">
          <cell r="A126">
            <v>24132</v>
          </cell>
          <cell r="B126">
            <v>9.6</v>
          </cell>
        </row>
        <row r="127">
          <cell r="A127">
            <v>24232</v>
          </cell>
          <cell r="B127">
            <v>9.6</v>
          </cell>
        </row>
        <row r="128">
          <cell r="A128">
            <v>24232</v>
          </cell>
          <cell r="B128">
            <v>10.4</v>
          </cell>
        </row>
        <row r="129">
          <cell r="A129">
            <v>24332</v>
          </cell>
          <cell r="B129">
            <v>10.4</v>
          </cell>
        </row>
        <row r="130">
          <cell r="A130">
            <v>24332</v>
          </cell>
          <cell r="B130">
            <v>8.8000000000000007</v>
          </cell>
        </row>
        <row r="131">
          <cell r="A131">
            <v>24432</v>
          </cell>
          <cell r="B131">
            <v>8.8000000000000007</v>
          </cell>
        </row>
        <row r="132">
          <cell r="A132">
            <v>24432</v>
          </cell>
          <cell r="B132">
            <v>10.5</v>
          </cell>
        </row>
        <row r="133">
          <cell r="A133">
            <v>24532</v>
          </cell>
          <cell r="B133">
            <v>10.5</v>
          </cell>
        </row>
        <row r="134">
          <cell r="A134">
            <v>24532</v>
          </cell>
          <cell r="B134">
            <v>13.9</v>
          </cell>
        </row>
        <row r="135">
          <cell r="A135">
            <v>24632</v>
          </cell>
          <cell r="B135">
            <v>13.9</v>
          </cell>
        </row>
        <row r="136">
          <cell r="A136">
            <v>24632</v>
          </cell>
          <cell r="B136">
            <v>12.5</v>
          </cell>
        </row>
        <row r="137">
          <cell r="A137">
            <v>24732</v>
          </cell>
          <cell r="B137">
            <v>12.5</v>
          </cell>
        </row>
        <row r="138">
          <cell r="A138">
            <v>24732</v>
          </cell>
          <cell r="B138">
            <v>12</v>
          </cell>
        </row>
        <row r="139">
          <cell r="A139">
            <v>24832</v>
          </cell>
          <cell r="B139">
            <v>12</v>
          </cell>
        </row>
        <row r="140">
          <cell r="A140">
            <v>24832</v>
          </cell>
          <cell r="B140">
            <v>9.6</v>
          </cell>
        </row>
        <row r="141">
          <cell r="A141">
            <v>24932</v>
          </cell>
          <cell r="B141">
            <v>9.6</v>
          </cell>
        </row>
        <row r="142">
          <cell r="A142">
            <v>24932</v>
          </cell>
          <cell r="B142">
            <v>6.9</v>
          </cell>
        </row>
        <row r="143">
          <cell r="A143">
            <v>25032</v>
          </cell>
          <cell r="B143">
            <v>6.9</v>
          </cell>
        </row>
        <row r="144">
          <cell r="A144">
            <v>25032</v>
          </cell>
          <cell r="B144">
            <v>6.6</v>
          </cell>
        </row>
        <row r="145">
          <cell r="A145">
            <v>25132</v>
          </cell>
          <cell r="B145">
            <v>6.6</v>
          </cell>
        </row>
        <row r="146">
          <cell r="A146">
            <v>25132</v>
          </cell>
          <cell r="B146">
            <v>5</v>
          </cell>
        </row>
        <row r="147">
          <cell r="A147">
            <v>25232</v>
          </cell>
          <cell r="B147">
            <v>5</v>
          </cell>
        </row>
        <row r="148">
          <cell r="A148">
            <v>25232</v>
          </cell>
          <cell r="B148">
            <v>2.8</v>
          </cell>
        </row>
        <row r="149">
          <cell r="A149">
            <v>25332</v>
          </cell>
          <cell r="B149">
            <v>2.8</v>
          </cell>
        </row>
        <row r="150">
          <cell r="A150">
            <v>25332</v>
          </cell>
          <cell r="B150">
            <v>3.3</v>
          </cell>
        </row>
        <row r="151">
          <cell r="A151">
            <v>25432</v>
          </cell>
          <cell r="B151">
            <v>3.3</v>
          </cell>
        </row>
        <row r="152">
          <cell r="A152">
            <v>25432</v>
          </cell>
          <cell r="B152">
            <v>4.5999999999999996</v>
          </cell>
        </row>
        <row r="153">
          <cell r="A153">
            <v>25580</v>
          </cell>
          <cell r="B153">
            <v>4.5999999999999996</v>
          </cell>
        </row>
        <row r="154">
          <cell r="A154">
            <v>25580</v>
          </cell>
          <cell r="B154">
            <v>4.2</v>
          </cell>
        </row>
        <row r="155">
          <cell r="A155">
            <v>25680</v>
          </cell>
          <cell r="B155">
            <v>4.2</v>
          </cell>
        </row>
        <row r="156">
          <cell r="A156">
            <v>25680</v>
          </cell>
          <cell r="B156">
            <v>4.7</v>
          </cell>
        </row>
        <row r="157">
          <cell r="A157">
            <v>25780</v>
          </cell>
          <cell r="B157">
            <v>4.7</v>
          </cell>
        </row>
        <row r="158">
          <cell r="A158">
            <v>25780</v>
          </cell>
          <cell r="B158">
            <v>5.6</v>
          </cell>
        </row>
        <row r="159">
          <cell r="A159">
            <v>25880</v>
          </cell>
          <cell r="B159">
            <v>5.6</v>
          </cell>
        </row>
        <row r="160">
          <cell r="A160">
            <v>25880</v>
          </cell>
          <cell r="B160">
            <v>7.1</v>
          </cell>
        </row>
        <row r="161">
          <cell r="A161">
            <v>25980</v>
          </cell>
          <cell r="B161">
            <v>7.1</v>
          </cell>
        </row>
        <row r="162">
          <cell r="A162">
            <v>25980</v>
          </cell>
          <cell r="B162">
            <v>8.8000000000000007</v>
          </cell>
        </row>
        <row r="163">
          <cell r="A163">
            <v>26080</v>
          </cell>
          <cell r="B163">
            <v>8.8000000000000007</v>
          </cell>
        </row>
        <row r="164">
          <cell r="A164">
            <v>26080</v>
          </cell>
          <cell r="B164">
            <v>9.6999999999999993</v>
          </cell>
        </row>
        <row r="165">
          <cell r="A165">
            <v>26180</v>
          </cell>
          <cell r="B165">
            <v>9.6999999999999993</v>
          </cell>
        </row>
        <row r="166">
          <cell r="A166">
            <v>26180</v>
          </cell>
          <cell r="B166">
            <v>10.7</v>
          </cell>
        </row>
        <row r="167">
          <cell r="A167">
            <v>26280</v>
          </cell>
          <cell r="B167">
            <v>10.7</v>
          </cell>
        </row>
        <row r="168">
          <cell r="A168">
            <v>26280</v>
          </cell>
          <cell r="B168">
            <v>5.5</v>
          </cell>
        </row>
        <row r="169">
          <cell r="A169">
            <v>26380</v>
          </cell>
          <cell r="B169">
            <v>5.5</v>
          </cell>
        </row>
        <row r="170">
          <cell r="A170">
            <v>26380</v>
          </cell>
          <cell r="B170">
            <v>7</v>
          </cell>
        </row>
        <row r="171">
          <cell r="A171">
            <v>26480</v>
          </cell>
          <cell r="B171">
            <v>7</v>
          </cell>
        </row>
        <row r="172">
          <cell r="A172">
            <v>26480</v>
          </cell>
          <cell r="B172">
            <v>7.8</v>
          </cell>
        </row>
        <row r="173">
          <cell r="A173">
            <v>26580</v>
          </cell>
          <cell r="B173">
            <v>7.8</v>
          </cell>
        </row>
        <row r="174">
          <cell r="A174">
            <v>26580</v>
          </cell>
          <cell r="B174">
            <v>6.8</v>
          </cell>
        </row>
        <row r="175">
          <cell r="A175">
            <v>26680</v>
          </cell>
          <cell r="B175">
            <v>6.8</v>
          </cell>
        </row>
        <row r="176">
          <cell r="A176">
            <v>26680</v>
          </cell>
          <cell r="B176">
            <v>14.9</v>
          </cell>
        </row>
        <row r="177">
          <cell r="A177">
            <v>26780</v>
          </cell>
          <cell r="B177">
            <v>14.9</v>
          </cell>
        </row>
        <row r="178">
          <cell r="A178">
            <v>26780</v>
          </cell>
          <cell r="B178">
            <v>6.1</v>
          </cell>
        </row>
        <row r="179">
          <cell r="A179">
            <v>26980</v>
          </cell>
          <cell r="B179">
            <v>6.1</v>
          </cell>
        </row>
        <row r="180">
          <cell r="A180">
            <v>26980</v>
          </cell>
          <cell r="B180">
            <v>6.2</v>
          </cell>
        </row>
        <row r="181">
          <cell r="A181">
            <v>27080</v>
          </cell>
          <cell r="B181">
            <v>6.2</v>
          </cell>
        </row>
        <row r="182">
          <cell r="A182">
            <v>27080</v>
          </cell>
          <cell r="B182">
            <v>4.8</v>
          </cell>
        </row>
        <row r="183">
          <cell r="A183">
            <v>27180</v>
          </cell>
          <cell r="B183">
            <v>4.8</v>
          </cell>
        </row>
        <row r="184">
          <cell r="A184">
            <v>27180</v>
          </cell>
          <cell r="B184">
            <v>7.1</v>
          </cell>
        </row>
        <row r="185">
          <cell r="A185">
            <v>27280</v>
          </cell>
          <cell r="B185">
            <v>7.1</v>
          </cell>
        </row>
        <row r="186">
          <cell r="A186">
            <v>27280</v>
          </cell>
          <cell r="B186">
            <v>13.7</v>
          </cell>
        </row>
        <row r="187">
          <cell r="A187">
            <v>27380</v>
          </cell>
          <cell r="B187">
            <v>13.7</v>
          </cell>
        </row>
        <row r="188">
          <cell r="A188">
            <v>27380</v>
          </cell>
          <cell r="B188">
            <v>9.4</v>
          </cell>
        </row>
        <row r="189">
          <cell r="A189">
            <v>27480</v>
          </cell>
          <cell r="B189">
            <v>9.4</v>
          </cell>
        </row>
        <row r="190">
          <cell r="A190">
            <v>27480</v>
          </cell>
          <cell r="B190">
            <v>6.9</v>
          </cell>
        </row>
        <row r="191">
          <cell r="A191">
            <v>27580</v>
          </cell>
          <cell r="B191">
            <v>6.9</v>
          </cell>
        </row>
        <row r="192">
          <cell r="A192">
            <v>27580</v>
          </cell>
          <cell r="B192">
            <v>13.8</v>
          </cell>
        </row>
        <row r="193">
          <cell r="A193">
            <v>27680</v>
          </cell>
          <cell r="B193">
            <v>13.8</v>
          </cell>
        </row>
        <row r="194">
          <cell r="A194">
            <v>27680</v>
          </cell>
          <cell r="B194">
            <v>13.5</v>
          </cell>
        </row>
        <row r="195">
          <cell r="A195">
            <v>27780</v>
          </cell>
          <cell r="B195">
            <v>13.5</v>
          </cell>
        </row>
        <row r="196">
          <cell r="A196">
            <v>27780</v>
          </cell>
          <cell r="B196">
            <v>9.1</v>
          </cell>
        </row>
        <row r="197">
          <cell r="A197">
            <v>27880</v>
          </cell>
          <cell r="B197">
            <v>9.1</v>
          </cell>
        </row>
        <row r="198">
          <cell r="A198">
            <v>27880</v>
          </cell>
          <cell r="B198">
            <v>10.5</v>
          </cell>
        </row>
        <row r="199">
          <cell r="A199">
            <v>27980</v>
          </cell>
          <cell r="B199">
            <v>10.5</v>
          </cell>
        </row>
        <row r="200">
          <cell r="A200">
            <v>27980</v>
          </cell>
          <cell r="B200">
            <v>11.9</v>
          </cell>
        </row>
        <row r="201">
          <cell r="A201">
            <v>28080</v>
          </cell>
          <cell r="B201">
            <v>11.9</v>
          </cell>
        </row>
        <row r="202">
          <cell r="A202">
            <v>28080</v>
          </cell>
          <cell r="B202">
            <v>13.5</v>
          </cell>
        </row>
        <row r="203">
          <cell r="A203">
            <v>28180</v>
          </cell>
          <cell r="B203">
            <v>13.5</v>
          </cell>
        </row>
        <row r="204">
          <cell r="A204">
            <v>28180</v>
          </cell>
          <cell r="B204">
            <v>15.4</v>
          </cell>
        </row>
        <row r="205">
          <cell r="A205">
            <v>28280</v>
          </cell>
          <cell r="B205">
            <v>15.4</v>
          </cell>
        </row>
        <row r="206">
          <cell r="A206">
            <v>28280</v>
          </cell>
          <cell r="B206">
            <v>15.5</v>
          </cell>
        </row>
        <row r="207">
          <cell r="A207">
            <v>28380</v>
          </cell>
          <cell r="B207">
            <v>15.5</v>
          </cell>
        </row>
        <row r="208">
          <cell r="A208">
            <v>28380</v>
          </cell>
          <cell r="B208">
            <v>14.1</v>
          </cell>
        </row>
        <row r="209">
          <cell r="A209">
            <v>28480</v>
          </cell>
          <cell r="B209">
            <v>14.1</v>
          </cell>
        </row>
        <row r="210">
          <cell r="A210">
            <v>28480</v>
          </cell>
          <cell r="B210">
            <v>15.6</v>
          </cell>
        </row>
        <row r="211">
          <cell r="A211">
            <v>28580</v>
          </cell>
          <cell r="B211">
            <v>15.6</v>
          </cell>
        </row>
        <row r="212">
          <cell r="A212">
            <v>28580</v>
          </cell>
          <cell r="B212">
            <v>14.1</v>
          </cell>
        </row>
        <row r="213">
          <cell r="A213">
            <v>28680</v>
          </cell>
          <cell r="B213">
            <v>14.1</v>
          </cell>
        </row>
        <row r="214">
          <cell r="A214">
            <v>28680</v>
          </cell>
          <cell r="B214">
            <v>8.6</v>
          </cell>
        </row>
        <row r="215">
          <cell r="A215">
            <v>28780</v>
          </cell>
          <cell r="B215">
            <v>8.6</v>
          </cell>
        </row>
        <row r="216">
          <cell r="A216">
            <v>28780</v>
          </cell>
          <cell r="B216">
            <v>8</v>
          </cell>
        </row>
        <row r="217">
          <cell r="A217">
            <v>28880</v>
          </cell>
          <cell r="B217">
            <v>8</v>
          </cell>
        </row>
        <row r="218">
          <cell r="A218">
            <v>28880</v>
          </cell>
          <cell r="B218">
            <v>5.0999999999999996</v>
          </cell>
        </row>
        <row r="219">
          <cell r="A219">
            <v>28980</v>
          </cell>
          <cell r="B219">
            <v>5.0999999999999996</v>
          </cell>
        </row>
        <row r="220">
          <cell r="A220">
            <v>28980</v>
          </cell>
          <cell r="B220">
            <v>10</v>
          </cell>
        </row>
        <row r="221">
          <cell r="A221">
            <v>29080</v>
          </cell>
          <cell r="B221">
            <v>10</v>
          </cell>
        </row>
        <row r="222">
          <cell r="A222">
            <v>29080</v>
          </cell>
          <cell r="B222">
            <v>17.5</v>
          </cell>
        </row>
        <row r="223">
          <cell r="A223">
            <v>29180</v>
          </cell>
          <cell r="B223">
            <v>17.5</v>
          </cell>
        </row>
        <row r="224">
          <cell r="A224">
            <v>29180</v>
          </cell>
          <cell r="B224">
            <v>15.8</v>
          </cell>
        </row>
        <row r="225">
          <cell r="A225">
            <v>29252</v>
          </cell>
          <cell r="B225">
            <v>15.8</v>
          </cell>
        </row>
        <row r="226">
          <cell r="A226">
            <v>29252</v>
          </cell>
          <cell r="B226">
            <v>15.5</v>
          </cell>
        </row>
        <row r="227">
          <cell r="A227">
            <v>29352</v>
          </cell>
          <cell r="B227">
            <v>15.5</v>
          </cell>
        </row>
        <row r="228">
          <cell r="A228">
            <v>29352</v>
          </cell>
          <cell r="B228">
            <v>15.1</v>
          </cell>
        </row>
        <row r="229">
          <cell r="A229">
            <v>29452</v>
          </cell>
          <cell r="B229">
            <v>15.1</v>
          </cell>
        </row>
        <row r="230">
          <cell r="A230">
            <v>29452</v>
          </cell>
          <cell r="B230">
            <v>20</v>
          </cell>
        </row>
        <row r="231">
          <cell r="A231">
            <v>29552</v>
          </cell>
          <cell r="B231">
            <v>20</v>
          </cell>
        </row>
        <row r="232">
          <cell r="A232">
            <v>29552</v>
          </cell>
          <cell r="B232">
            <v>15.7</v>
          </cell>
        </row>
        <row r="233">
          <cell r="A233">
            <v>29652</v>
          </cell>
          <cell r="B233">
            <v>15.7</v>
          </cell>
        </row>
        <row r="234">
          <cell r="A234">
            <v>29652</v>
          </cell>
          <cell r="B234">
            <v>17</v>
          </cell>
        </row>
        <row r="235">
          <cell r="A235">
            <v>29752</v>
          </cell>
          <cell r="B235">
            <v>17</v>
          </cell>
        </row>
        <row r="236">
          <cell r="A236">
            <v>29752</v>
          </cell>
          <cell r="B236">
            <v>11.8</v>
          </cell>
        </row>
        <row r="237">
          <cell r="A237">
            <v>29852</v>
          </cell>
          <cell r="B237">
            <v>11.8</v>
          </cell>
        </row>
        <row r="238">
          <cell r="A238">
            <v>29852</v>
          </cell>
          <cell r="B238">
            <v>12.3</v>
          </cell>
        </row>
        <row r="239">
          <cell r="A239">
            <v>29952</v>
          </cell>
          <cell r="B239">
            <v>12.3</v>
          </cell>
        </row>
        <row r="240">
          <cell r="A240">
            <v>29952</v>
          </cell>
          <cell r="B240">
            <v>11.8</v>
          </cell>
        </row>
        <row r="241">
          <cell r="A241">
            <v>30052</v>
          </cell>
          <cell r="B241">
            <v>11.8</v>
          </cell>
        </row>
        <row r="242">
          <cell r="A242">
            <v>30052</v>
          </cell>
          <cell r="B242">
            <v>10.6</v>
          </cell>
        </row>
        <row r="243">
          <cell r="A243">
            <v>30152</v>
          </cell>
          <cell r="B243">
            <v>10.6</v>
          </cell>
        </row>
        <row r="244">
          <cell r="A244">
            <v>30152</v>
          </cell>
          <cell r="B244">
            <v>8.1999999999999993</v>
          </cell>
        </row>
        <row r="245">
          <cell r="A245">
            <v>30252</v>
          </cell>
          <cell r="B245">
            <v>8.1999999999999993</v>
          </cell>
        </row>
        <row r="246">
          <cell r="A246">
            <v>30252</v>
          </cell>
          <cell r="B246">
            <v>12.6</v>
          </cell>
        </row>
        <row r="247">
          <cell r="A247">
            <v>30352</v>
          </cell>
          <cell r="B247">
            <v>12.6</v>
          </cell>
        </row>
        <row r="248">
          <cell r="A248">
            <v>30352</v>
          </cell>
          <cell r="B248">
            <v>11.7</v>
          </cell>
        </row>
        <row r="249">
          <cell r="A249">
            <v>30452</v>
          </cell>
          <cell r="B249">
            <v>11.7</v>
          </cell>
        </row>
        <row r="250">
          <cell r="A250">
            <v>30452</v>
          </cell>
          <cell r="B250">
            <v>7.7</v>
          </cell>
        </row>
        <row r="251">
          <cell r="A251">
            <v>30552</v>
          </cell>
          <cell r="B251">
            <v>7.7</v>
          </cell>
        </row>
        <row r="252">
          <cell r="A252">
            <v>30552</v>
          </cell>
          <cell r="B252">
            <v>9.1</v>
          </cell>
        </row>
        <row r="253">
          <cell r="A253">
            <v>30652</v>
          </cell>
          <cell r="B253">
            <v>9.1</v>
          </cell>
        </row>
        <row r="254">
          <cell r="A254">
            <v>30652</v>
          </cell>
          <cell r="B254">
            <v>11.9</v>
          </cell>
        </row>
        <row r="255">
          <cell r="A255">
            <v>30752</v>
          </cell>
          <cell r="B255">
            <v>11.9</v>
          </cell>
        </row>
        <row r="256">
          <cell r="A256">
            <v>30752</v>
          </cell>
          <cell r="B256">
            <v>10.3</v>
          </cell>
        </row>
        <row r="257">
          <cell r="A257">
            <v>30852</v>
          </cell>
          <cell r="B257">
            <v>10.3</v>
          </cell>
        </row>
        <row r="258">
          <cell r="A258">
            <v>30852</v>
          </cell>
          <cell r="B258">
            <v>7.7</v>
          </cell>
        </row>
        <row r="259">
          <cell r="A259">
            <v>30952</v>
          </cell>
          <cell r="B259">
            <v>7.7</v>
          </cell>
        </row>
        <row r="260">
          <cell r="A260">
            <v>30952</v>
          </cell>
          <cell r="B260">
            <v>8.6</v>
          </cell>
        </row>
        <row r="261">
          <cell r="A261">
            <v>31052</v>
          </cell>
          <cell r="B261">
            <v>8.6</v>
          </cell>
        </row>
        <row r="262">
          <cell r="A262">
            <v>31052</v>
          </cell>
          <cell r="B262">
            <v>8.8000000000000007</v>
          </cell>
        </row>
        <row r="263">
          <cell r="A263">
            <v>31152</v>
          </cell>
          <cell r="B263">
            <v>8.8000000000000007</v>
          </cell>
        </row>
        <row r="264">
          <cell r="A264">
            <v>31152</v>
          </cell>
          <cell r="B264">
            <v>11.9</v>
          </cell>
        </row>
        <row r="265">
          <cell r="A265">
            <v>31252</v>
          </cell>
          <cell r="B265">
            <v>11.9</v>
          </cell>
        </row>
        <row r="266">
          <cell r="A266">
            <v>31252</v>
          </cell>
          <cell r="B266">
            <v>12.7</v>
          </cell>
        </row>
        <row r="267">
          <cell r="A267">
            <v>31352</v>
          </cell>
          <cell r="B267">
            <v>12.7</v>
          </cell>
        </row>
        <row r="268">
          <cell r="A268">
            <v>31352</v>
          </cell>
          <cell r="B268">
            <v>13.2</v>
          </cell>
        </row>
        <row r="269">
          <cell r="A269">
            <v>31414</v>
          </cell>
          <cell r="B269">
            <v>13.2</v>
          </cell>
        </row>
        <row r="270">
          <cell r="A270">
            <v>31414</v>
          </cell>
          <cell r="B270">
            <v>6.2</v>
          </cell>
        </row>
        <row r="271">
          <cell r="A271">
            <v>31514</v>
          </cell>
          <cell r="B271">
            <v>6.2</v>
          </cell>
        </row>
        <row r="272">
          <cell r="A272">
            <v>31514</v>
          </cell>
          <cell r="B272">
            <v>5</v>
          </cell>
        </row>
        <row r="273">
          <cell r="A273">
            <v>31614</v>
          </cell>
          <cell r="B273">
            <v>5</v>
          </cell>
        </row>
        <row r="274">
          <cell r="A274">
            <v>31614</v>
          </cell>
          <cell r="B274">
            <v>4.0999999999999996</v>
          </cell>
        </row>
        <row r="275">
          <cell r="A275">
            <v>31714</v>
          </cell>
          <cell r="B275">
            <v>4.0999999999999996</v>
          </cell>
        </row>
        <row r="276">
          <cell r="A276">
            <v>31714</v>
          </cell>
          <cell r="B276">
            <v>4</v>
          </cell>
        </row>
        <row r="277">
          <cell r="A277">
            <v>31814</v>
          </cell>
          <cell r="B277">
            <v>4</v>
          </cell>
        </row>
        <row r="278">
          <cell r="A278">
            <v>31814</v>
          </cell>
          <cell r="B278">
            <v>4.4000000000000004</v>
          </cell>
        </row>
        <row r="279">
          <cell r="A279">
            <v>31914</v>
          </cell>
          <cell r="B279">
            <v>4.4000000000000004</v>
          </cell>
        </row>
        <row r="280">
          <cell r="A280">
            <v>31914</v>
          </cell>
          <cell r="B280">
            <v>7.2</v>
          </cell>
        </row>
        <row r="281">
          <cell r="A281">
            <v>32014</v>
          </cell>
          <cell r="B281">
            <v>7.2</v>
          </cell>
        </row>
        <row r="282">
          <cell r="A282">
            <v>32014</v>
          </cell>
          <cell r="B282">
            <v>5.7</v>
          </cell>
        </row>
        <row r="283">
          <cell r="A283">
            <v>32114</v>
          </cell>
          <cell r="B283">
            <v>5.7</v>
          </cell>
        </row>
        <row r="284">
          <cell r="A284">
            <v>32114</v>
          </cell>
          <cell r="B284">
            <v>4.3</v>
          </cell>
        </row>
        <row r="285">
          <cell r="A285">
            <v>32214</v>
          </cell>
          <cell r="B285">
            <v>4.3</v>
          </cell>
        </row>
        <row r="286">
          <cell r="A286">
            <v>32214</v>
          </cell>
          <cell r="B286">
            <v>4.9000000000000004</v>
          </cell>
        </row>
        <row r="287">
          <cell r="A287">
            <v>32314</v>
          </cell>
          <cell r="B287">
            <v>4.9000000000000004</v>
          </cell>
        </row>
        <row r="288">
          <cell r="A288">
            <v>32314</v>
          </cell>
          <cell r="B288">
            <v>5.5</v>
          </cell>
        </row>
        <row r="289">
          <cell r="A289">
            <v>32414</v>
          </cell>
          <cell r="B289">
            <v>5.5</v>
          </cell>
        </row>
        <row r="290">
          <cell r="A290">
            <v>32414</v>
          </cell>
          <cell r="B290">
            <v>5.4</v>
          </cell>
        </row>
        <row r="291">
          <cell r="A291">
            <v>32514</v>
          </cell>
          <cell r="B291">
            <v>5.4</v>
          </cell>
        </row>
        <row r="292">
          <cell r="A292">
            <v>32514</v>
          </cell>
          <cell r="B292">
            <v>4.9000000000000004</v>
          </cell>
        </row>
        <row r="293">
          <cell r="A293">
            <v>32614</v>
          </cell>
          <cell r="B293">
            <v>4.9000000000000004</v>
          </cell>
        </row>
        <row r="294">
          <cell r="A294">
            <v>32614</v>
          </cell>
          <cell r="B294">
            <v>4.2</v>
          </cell>
        </row>
        <row r="295">
          <cell r="A295">
            <v>32714</v>
          </cell>
          <cell r="B295">
            <v>4.2</v>
          </cell>
        </row>
        <row r="296">
          <cell r="A296">
            <v>32714</v>
          </cell>
          <cell r="B296">
            <v>5.3</v>
          </cell>
        </row>
        <row r="297">
          <cell r="A297">
            <v>32814</v>
          </cell>
          <cell r="B297">
            <v>5.3</v>
          </cell>
        </row>
        <row r="298">
          <cell r="A298">
            <v>32814</v>
          </cell>
          <cell r="B298">
            <v>5.0999999999999996</v>
          </cell>
        </row>
        <row r="299">
          <cell r="A299">
            <v>32914</v>
          </cell>
          <cell r="B299">
            <v>5.0999999999999996</v>
          </cell>
        </row>
        <row r="300">
          <cell r="A300">
            <v>32914</v>
          </cell>
          <cell r="B300">
            <v>4.9000000000000004</v>
          </cell>
        </row>
        <row r="301">
          <cell r="A301">
            <v>33014</v>
          </cell>
          <cell r="B301">
            <v>4.9000000000000004</v>
          </cell>
        </row>
        <row r="302">
          <cell r="A302">
            <v>33014</v>
          </cell>
          <cell r="B302">
            <v>4.5999999999999996</v>
          </cell>
        </row>
        <row r="303">
          <cell r="A303">
            <v>33114</v>
          </cell>
          <cell r="B303">
            <v>4.5999999999999996</v>
          </cell>
        </row>
        <row r="304">
          <cell r="A304">
            <v>33114</v>
          </cell>
          <cell r="B304">
            <v>4.2</v>
          </cell>
        </row>
        <row r="305">
          <cell r="A305">
            <v>33214</v>
          </cell>
          <cell r="B305">
            <v>4.2</v>
          </cell>
        </row>
        <row r="306">
          <cell r="A306">
            <v>33214</v>
          </cell>
          <cell r="B306">
            <v>4.8</v>
          </cell>
        </row>
        <row r="307">
          <cell r="A307">
            <v>33314</v>
          </cell>
          <cell r="B307">
            <v>4.8</v>
          </cell>
        </row>
        <row r="308">
          <cell r="A308">
            <v>33314</v>
          </cell>
          <cell r="B308">
            <v>6.6</v>
          </cell>
        </row>
        <row r="309">
          <cell r="A309">
            <v>33414</v>
          </cell>
          <cell r="B309">
            <v>6.6</v>
          </cell>
        </row>
        <row r="310">
          <cell r="A310">
            <v>33414</v>
          </cell>
          <cell r="B310">
            <v>5.2</v>
          </cell>
        </row>
        <row r="311">
          <cell r="A311">
            <v>33514</v>
          </cell>
          <cell r="B311">
            <v>5.2</v>
          </cell>
        </row>
        <row r="312">
          <cell r="A312">
            <v>33514</v>
          </cell>
          <cell r="B312">
            <v>4.8</v>
          </cell>
        </row>
        <row r="313">
          <cell r="A313">
            <v>33614</v>
          </cell>
          <cell r="B313">
            <v>4.8</v>
          </cell>
        </row>
        <row r="314">
          <cell r="A314">
            <v>33614</v>
          </cell>
          <cell r="B314">
            <v>5.5</v>
          </cell>
        </row>
        <row r="315">
          <cell r="A315">
            <v>33714</v>
          </cell>
          <cell r="B315">
            <v>5.5</v>
          </cell>
        </row>
        <row r="316">
          <cell r="A316">
            <v>33714</v>
          </cell>
          <cell r="B316">
            <v>4.2</v>
          </cell>
        </row>
        <row r="317">
          <cell r="A317">
            <v>33814</v>
          </cell>
          <cell r="B317">
            <v>4.2</v>
          </cell>
        </row>
        <row r="318">
          <cell r="A318">
            <v>33814</v>
          </cell>
          <cell r="B318">
            <v>3.9</v>
          </cell>
        </row>
        <row r="319">
          <cell r="A319">
            <v>33914</v>
          </cell>
          <cell r="B319">
            <v>3.9</v>
          </cell>
        </row>
        <row r="320">
          <cell r="A320">
            <v>33914</v>
          </cell>
          <cell r="B320">
            <v>3.5</v>
          </cell>
        </row>
        <row r="321">
          <cell r="A321">
            <v>34014</v>
          </cell>
          <cell r="B321">
            <v>3.5</v>
          </cell>
        </row>
        <row r="322">
          <cell r="A322">
            <v>34014</v>
          </cell>
          <cell r="B322">
            <v>4.2</v>
          </cell>
        </row>
        <row r="323">
          <cell r="A323">
            <v>34114</v>
          </cell>
          <cell r="B323">
            <v>4.2</v>
          </cell>
        </row>
        <row r="324">
          <cell r="A324">
            <v>34114</v>
          </cell>
          <cell r="B324">
            <v>4.3</v>
          </cell>
        </row>
        <row r="325">
          <cell r="A325">
            <v>34214</v>
          </cell>
          <cell r="B325">
            <v>4.3</v>
          </cell>
        </row>
        <row r="326">
          <cell r="A326">
            <v>34214</v>
          </cell>
          <cell r="B326">
            <v>4.9000000000000004</v>
          </cell>
        </row>
        <row r="327">
          <cell r="A327">
            <v>34414</v>
          </cell>
          <cell r="B327">
            <v>4.9000000000000004</v>
          </cell>
        </row>
        <row r="328">
          <cell r="A328">
            <v>34414</v>
          </cell>
          <cell r="B328">
            <v>4.3</v>
          </cell>
        </row>
        <row r="329">
          <cell r="A329">
            <v>34514</v>
          </cell>
          <cell r="B329">
            <v>4.3</v>
          </cell>
        </row>
        <row r="330">
          <cell r="A330">
            <v>34514</v>
          </cell>
          <cell r="B330">
            <v>4.0999999999999996</v>
          </cell>
        </row>
        <row r="331">
          <cell r="A331">
            <v>34614</v>
          </cell>
          <cell r="B331">
            <v>4.0999999999999996</v>
          </cell>
        </row>
        <row r="332">
          <cell r="A332">
            <v>34614</v>
          </cell>
          <cell r="B332">
            <v>5.9</v>
          </cell>
        </row>
        <row r="333">
          <cell r="A333">
            <v>34714</v>
          </cell>
          <cell r="B333">
            <v>5.9</v>
          </cell>
        </row>
        <row r="334">
          <cell r="A334">
            <v>34714</v>
          </cell>
          <cell r="B334">
            <v>8.1</v>
          </cell>
        </row>
        <row r="335">
          <cell r="A335">
            <v>34814</v>
          </cell>
          <cell r="B335">
            <v>8.1</v>
          </cell>
        </row>
        <row r="336">
          <cell r="A336">
            <v>34814</v>
          </cell>
          <cell r="B336">
            <v>4.8</v>
          </cell>
        </row>
        <row r="337">
          <cell r="A337">
            <v>34914</v>
          </cell>
          <cell r="B337">
            <v>4.8</v>
          </cell>
        </row>
        <row r="338">
          <cell r="A338">
            <v>34914</v>
          </cell>
          <cell r="B338">
            <v>6</v>
          </cell>
        </row>
        <row r="339">
          <cell r="A339">
            <v>35014</v>
          </cell>
          <cell r="B339">
            <v>6</v>
          </cell>
        </row>
        <row r="340">
          <cell r="A340">
            <v>35014</v>
          </cell>
          <cell r="B340">
            <v>10.199999999999999</v>
          </cell>
        </row>
        <row r="341">
          <cell r="A341">
            <v>35032</v>
          </cell>
          <cell r="B341">
            <v>10.199999999999999</v>
          </cell>
        </row>
        <row r="342">
          <cell r="A342">
            <v>35032</v>
          </cell>
          <cell r="B342">
            <v>13.5</v>
          </cell>
        </row>
        <row r="343">
          <cell r="A343">
            <v>35214</v>
          </cell>
          <cell r="B343">
            <v>13.5</v>
          </cell>
        </row>
        <row r="344">
          <cell r="A344">
            <v>35214</v>
          </cell>
          <cell r="B344">
            <v>14.4</v>
          </cell>
        </row>
        <row r="345">
          <cell r="A345">
            <v>35314</v>
          </cell>
          <cell r="B345">
            <v>14.4</v>
          </cell>
        </row>
        <row r="346">
          <cell r="A346">
            <v>35314</v>
          </cell>
          <cell r="B346">
            <v>6.7</v>
          </cell>
        </row>
        <row r="347">
          <cell r="A347">
            <v>35332</v>
          </cell>
          <cell r="B347">
            <v>6.7</v>
          </cell>
        </row>
        <row r="348">
          <cell r="A348">
            <v>35332</v>
          </cell>
          <cell r="B348">
            <v>4.2</v>
          </cell>
        </row>
        <row r="349">
          <cell r="A349">
            <v>35432</v>
          </cell>
          <cell r="B349">
            <v>4.2</v>
          </cell>
        </row>
        <row r="350">
          <cell r="A350">
            <v>35432</v>
          </cell>
          <cell r="B350">
            <v>4.9000000000000004</v>
          </cell>
        </row>
        <row r="351">
          <cell r="A351">
            <v>35532</v>
          </cell>
          <cell r="B351">
            <v>4.9000000000000004</v>
          </cell>
        </row>
        <row r="352">
          <cell r="A352">
            <v>35532</v>
          </cell>
          <cell r="B352">
            <v>3.4</v>
          </cell>
        </row>
        <row r="353">
          <cell r="A353">
            <v>35552</v>
          </cell>
          <cell r="B353">
            <v>3.4</v>
          </cell>
        </row>
        <row r="354">
          <cell r="A354">
            <v>35552</v>
          </cell>
          <cell r="B354">
            <v>2.9</v>
          </cell>
        </row>
        <row r="355">
          <cell r="A355">
            <v>35652</v>
          </cell>
          <cell r="B355">
            <v>2.9</v>
          </cell>
        </row>
        <row r="356">
          <cell r="A356">
            <v>35652</v>
          </cell>
          <cell r="B356">
            <v>6.5</v>
          </cell>
        </row>
        <row r="357">
          <cell r="A357">
            <v>35752</v>
          </cell>
          <cell r="B357">
            <v>6.5</v>
          </cell>
        </row>
        <row r="358">
          <cell r="A358">
            <v>35752</v>
          </cell>
          <cell r="B358">
            <v>11.6</v>
          </cell>
        </row>
        <row r="359">
          <cell r="A359">
            <v>35852</v>
          </cell>
          <cell r="B359">
            <v>11.6</v>
          </cell>
        </row>
        <row r="360">
          <cell r="A360">
            <v>35852</v>
          </cell>
          <cell r="B360">
            <v>10.6</v>
          </cell>
        </row>
        <row r="361">
          <cell r="A361">
            <v>35952</v>
          </cell>
          <cell r="B361">
            <v>10.6</v>
          </cell>
        </row>
        <row r="362">
          <cell r="A362">
            <v>35952</v>
          </cell>
          <cell r="B362">
            <v>7.6</v>
          </cell>
        </row>
        <row r="363">
          <cell r="A363">
            <v>36050</v>
          </cell>
          <cell r="B363">
            <v>7.6</v>
          </cell>
        </row>
        <row r="364">
          <cell r="A364">
            <v>36050</v>
          </cell>
          <cell r="B364">
            <v>12.2</v>
          </cell>
        </row>
        <row r="365">
          <cell r="A365">
            <v>36150</v>
          </cell>
          <cell r="B365">
            <v>12.2</v>
          </cell>
        </row>
        <row r="366">
          <cell r="A366">
            <v>36150</v>
          </cell>
          <cell r="B366">
            <v>24.4</v>
          </cell>
        </row>
        <row r="367">
          <cell r="A367">
            <v>36250</v>
          </cell>
          <cell r="B367">
            <v>24.4</v>
          </cell>
        </row>
        <row r="368">
          <cell r="A368">
            <v>36250</v>
          </cell>
          <cell r="B368">
            <v>17.5</v>
          </cell>
        </row>
        <row r="369">
          <cell r="A369">
            <v>36350</v>
          </cell>
          <cell r="B369">
            <v>17.5</v>
          </cell>
        </row>
        <row r="370">
          <cell r="A370">
            <v>36350</v>
          </cell>
          <cell r="B370">
            <v>18.100000000000001</v>
          </cell>
        </row>
        <row r="371">
          <cell r="A371">
            <v>36450</v>
          </cell>
          <cell r="B371">
            <v>18.100000000000001</v>
          </cell>
        </row>
        <row r="372">
          <cell r="A372">
            <v>36450</v>
          </cell>
          <cell r="B372">
            <v>12.8</v>
          </cell>
        </row>
        <row r="373">
          <cell r="A373">
            <v>36550</v>
          </cell>
          <cell r="B373">
            <v>12.8</v>
          </cell>
        </row>
        <row r="374">
          <cell r="A374">
            <v>36550</v>
          </cell>
          <cell r="B374">
            <v>9.6</v>
          </cell>
        </row>
        <row r="375">
          <cell r="A375">
            <v>36650</v>
          </cell>
          <cell r="B375">
            <v>9.6</v>
          </cell>
        </row>
        <row r="376">
          <cell r="A376">
            <v>36650</v>
          </cell>
          <cell r="B376">
            <v>9.4</v>
          </cell>
        </row>
        <row r="377">
          <cell r="A377">
            <v>36750</v>
          </cell>
          <cell r="B377">
            <v>9.4</v>
          </cell>
        </row>
        <row r="378">
          <cell r="A378">
            <v>36750</v>
          </cell>
          <cell r="B378">
            <v>7.4</v>
          </cell>
        </row>
        <row r="379">
          <cell r="A379">
            <v>36850</v>
          </cell>
          <cell r="B379">
            <v>7.4</v>
          </cell>
        </row>
        <row r="380">
          <cell r="A380">
            <v>36850</v>
          </cell>
          <cell r="B380">
            <v>2.9</v>
          </cell>
        </row>
        <row r="381">
          <cell r="A381">
            <v>36950</v>
          </cell>
          <cell r="B381">
            <v>2.9</v>
          </cell>
        </row>
        <row r="382">
          <cell r="A382">
            <v>36950</v>
          </cell>
          <cell r="B382">
            <v>3.3</v>
          </cell>
        </row>
        <row r="383">
          <cell r="A383">
            <v>37052</v>
          </cell>
          <cell r="B383">
            <v>3.3</v>
          </cell>
        </row>
        <row r="384">
          <cell r="A384">
            <v>37052</v>
          </cell>
          <cell r="B384">
            <v>3.9</v>
          </cell>
        </row>
        <row r="385">
          <cell r="A385">
            <v>37152</v>
          </cell>
          <cell r="B385">
            <v>3.9</v>
          </cell>
        </row>
        <row r="386">
          <cell r="A386">
            <v>37152</v>
          </cell>
          <cell r="B386">
            <v>3.4</v>
          </cell>
        </row>
        <row r="387">
          <cell r="A387">
            <v>37252</v>
          </cell>
          <cell r="B387">
            <v>3.4</v>
          </cell>
        </row>
        <row r="388">
          <cell r="A388">
            <v>37252</v>
          </cell>
          <cell r="B388">
            <v>4.0999999999999996</v>
          </cell>
        </row>
        <row r="389">
          <cell r="A389">
            <v>37352</v>
          </cell>
          <cell r="B389">
            <v>4.0999999999999996</v>
          </cell>
        </row>
        <row r="390">
          <cell r="A390">
            <v>37352</v>
          </cell>
          <cell r="B390">
            <v>14</v>
          </cell>
        </row>
        <row r="391">
          <cell r="A391">
            <v>37452</v>
          </cell>
          <cell r="B391">
            <v>14</v>
          </cell>
        </row>
        <row r="392">
          <cell r="A392">
            <v>37452</v>
          </cell>
          <cell r="B392">
            <v>16.600000000000001</v>
          </cell>
        </row>
        <row r="393">
          <cell r="A393">
            <v>37552</v>
          </cell>
          <cell r="B393">
            <v>16.600000000000001</v>
          </cell>
        </row>
        <row r="394">
          <cell r="A394">
            <v>37552</v>
          </cell>
          <cell r="B394">
            <v>16.5</v>
          </cell>
        </row>
        <row r="395">
          <cell r="A395">
            <v>37652</v>
          </cell>
          <cell r="B395">
            <v>16.5</v>
          </cell>
        </row>
        <row r="396">
          <cell r="A396">
            <v>37652</v>
          </cell>
          <cell r="B396">
            <v>20.399999999999999</v>
          </cell>
        </row>
        <row r="397">
          <cell r="A397">
            <v>37752</v>
          </cell>
          <cell r="B397">
            <v>20.399999999999999</v>
          </cell>
        </row>
        <row r="398">
          <cell r="A398">
            <v>37752</v>
          </cell>
          <cell r="B398">
            <v>15.4</v>
          </cell>
        </row>
        <row r="399">
          <cell r="A399">
            <v>37852</v>
          </cell>
          <cell r="B399">
            <v>15.4</v>
          </cell>
        </row>
        <row r="400">
          <cell r="A400">
            <v>37852</v>
          </cell>
          <cell r="B400">
            <v>12.6</v>
          </cell>
        </row>
        <row r="401">
          <cell r="A401">
            <v>37952</v>
          </cell>
          <cell r="B401">
            <v>12.6</v>
          </cell>
        </row>
        <row r="402">
          <cell r="A402">
            <v>37952</v>
          </cell>
          <cell r="B402">
            <v>14.3</v>
          </cell>
        </row>
        <row r="403">
          <cell r="A403">
            <v>38048</v>
          </cell>
          <cell r="B403">
            <v>14.3</v>
          </cell>
        </row>
        <row r="404">
          <cell r="A404">
            <v>38048</v>
          </cell>
          <cell r="B404">
            <v>16</v>
          </cell>
        </row>
        <row r="405">
          <cell r="A405">
            <v>38148</v>
          </cell>
          <cell r="B405">
            <v>16</v>
          </cell>
        </row>
        <row r="406">
          <cell r="A406">
            <v>38148</v>
          </cell>
          <cell r="B406">
            <v>14.9</v>
          </cell>
        </row>
        <row r="407">
          <cell r="A407">
            <v>38248</v>
          </cell>
          <cell r="B407">
            <v>14.9</v>
          </cell>
        </row>
        <row r="408">
          <cell r="A408">
            <v>38248</v>
          </cell>
          <cell r="B408">
            <v>14.7</v>
          </cell>
        </row>
        <row r="409">
          <cell r="A409">
            <v>38348</v>
          </cell>
          <cell r="B409">
            <v>14.7</v>
          </cell>
        </row>
        <row r="410">
          <cell r="A410">
            <v>38348</v>
          </cell>
          <cell r="B410">
            <v>16.899999999999999</v>
          </cell>
        </row>
        <row r="411">
          <cell r="A411">
            <v>38448</v>
          </cell>
          <cell r="B411">
            <v>16.899999999999999</v>
          </cell>
        </row>
        <row r="412">
          <cell r="A412">
            <v>38448</v>
          </cell>
          <cell r="B412">
            <v>11.8</v>
          </cell>
        </row>
        <row r="413">
          <cell r="A413">
            <v>38548</v>
          </cell>
          <cell r="B413">
            <v>11.8</v>
          </cell>
        </row>
        <row r="414">
          <cell r="A414">
            <v>38548</v>
          </cell>
          <cell r="B414">
            <v>5.4</v>
          </cell>
        </row>
        <row r="415">
          <cell r="A415">
            <v>38648</v>
          </cell>
          <cell r="B415">
            <v>5.4</v>
          </cell>
        </row>
        <row r="416">
          <cell r="A416">
            <v>38648</v>
          </cell>
          <cell r="B416">
            <v>5.0999999999999996</v>
          </cell>
        </row>
        <row r="417">
          <cell r="A417">
            <v>38748</v>
          </cell>
          <cell r="B417">
            <v>5.0999999999999996</v>
          </cell>
        </row>
        <row r="418">
          <cell r="A418">
            <v>38748</v>
          </cell>
          <cell r="B418">
            <v>10.4</v>
          </cell>
        </row>
        <row r="419">
          <cell r="A419">
            <v>38848</v>
          </cell>
          <cell r="B419">
            <v>10.4</v>
          </cell>
        </row>
        <row r="420">
          <cell r="A420">
            <v>38848</v>
          </cell>
          <cell r="B420">
            <v>12.2</v>
          </cell>
        </row>
        <row r="421">
          <cell r="A421">
            <v>38948</v>
          </cell>
          <cell r="B421">
            <v>12.2</v>
          </cell>
        </row>
        <row r="422">
          <cell r="A422">
            <v>38948</v>
          </cell>
          <cell r="B422">
            <v>11.4</v>
          </cell>
        </row>
        <row r="423">
          <cell r="A423">
            <v>39052</v>
          </cell>
          <cell r="B423">
            <v>11.4</v>
          </cell>
        </row>
        <row r="424">
          <cell r="A424">
            <v>39052</v>
          </cell>
          <cell r="B424">
            <v>11.9</v>
          </cell>
        </row>
        <row r="425">
          <cell r="A425">
            <v>39152</v>
          </cell>
          <cell r="B425">
            <v>11.9</v>
          </cell>
        </row>
        <row r="426">
          <cell r="A426">
            <v>39152</v>
          </cell>
          <cell r="B426">
            <v>9.8000000000000007</v>
          </cell>
        </row>
        <row r="427">
          <cell r="A427">
            <v>39252</v>
          </cell>
          <cell r="B427">
            <v>9.8000000000000007</v>
          </cell>
        </row>
        <row r="428">
          <cell r="A428">
            <v>39252</v>
          </cell>
          <cell r="B428">
            <v>10.8</v>
          </cell>
        </row>
        <row r="429">
          <cell r="A429">
            <v>39352</v>
          </cell>
          <cell r="B429">
            <v>10.8</v>
          </cell>
        </row>
        <row r="430">
          <cell r="A430">
            <v>39352</v>
          </cell>
          <cell r="B430">
            <v>9.8000000000000007</v>
          </cell>
        </row>
        <row r="431">
          <cell r="A431">
            <v>39452</v>
          </cell>
          <cell r="B431">
            <v>9.8000000000000007</v>
          </cell>
        </row>
        <row r="432">
          <cell r="A432">
            <v>39452</v>
          </cell>
          <cell r="B432">
            <v>9.3000000000000007</v>
          </cell>
        </row>
        <row r="433">
          <cell r="A433">
            <v>39552</v>
          </cell>
          <cell r="B433">
            <v>9.3000000000000007</v>
          </cell>
        </row>
        <row r="434">
          <cell r="A434">
            <v>39552</v>
          </cell>
          <cell r="B434">
            <v>9.5</v>
          </cell>
        </row>
        <row r="435">
          <cell r="A435">
            <v>39652</v>
          </cell>
          <cell r="B435">
            <v>9.5</v>
          </cell>
        </row>
        <row r="436">
          <cell r="A436">
            <v>39652</v>
          </cell>
          <cell r="B436">
            <v>13.5</v>
          </cell>
        </row>
        <row r="437">
          <cell r="A437">
            <v>39752</v>
          </cell>
          <cell r="B437">
            <v>13.5</v>
          </cell>
        </row>
        <row r="438">
          <cell r="A438">
            <v>39752</v>
          </cell>
          <cell r="B438">
            <v>13.8</v>
          </cell>
        </row>
        <row r="439">
          <cell r="A439">
            <v>39852</v>
          </cell>
          <cell r="B439">
            <v>13.8</v>
          </cell>
        </row>
        <row r="440">
          <cell r="A440">
            <v>39852</v>
          </cell>
          <cell r="B440">
            <v>14.9</v>
          </cell>
        </row>
        <row r="441">
          <cell r="A441">
            <v>39952</v>
          </cell>
          <cell r="B441">
            <v>14.9</v>
          </cell>
        </row>
        <row r="442">
          <cell r="A442">
            <v>39952</v>
          </cell>
          <cell r="B442">
            <v>8.8000000000000007</v>
          </cell>
        </row>
        <row r="443">
          <cell r="A443">
            <v>40051</v>
          </cell>
          <cell r="B443">
            <v>8.8000000000000007</v>
          </cell>
        </row>
        <row r="444">
          <cell r="A444">
            <v>40051</v>
          </cell>
          <cell r="B444">
            <v>12.8</v>
          </cell>
        </row>
        <row r="445">
          <cell r="A445">
            <v>40151</v>
          </cell>
          <cell r="B445">
            <v>12.8</v>
          </cell>
        </row>
        <row r="446">
          <cell r="A446">
            <v>40151</v>
          </cell>
          <cell r="B446">
            <v>13.6</v>
          </cell>
        </row>
        <row r="447">
          <cell r="A447">
            <v>40251</v>
          </cell>
          <cell r="B447">
            <v>13.6</v>
          </cell>
        </row>
        <row r="448">
          <cell r="A448">
            <v>40251</v>
          </cell>
          <cell r="B448">
            <v>13.3</v>
          </cell>
        </row>
        <row r="449">
          <cell r="A449">
            <v>40351</v>
          </cell>
          <cell r="B449">
            <v>13.3</v>
          </cell>
        </row>
        <row r="450">
          <cell r="A450">
            <v>40351</v>
          </cell>
          <cell r="B450">
            <v>9.8000000000000007</v>
          </cell>
        </row>
        <row r="451">
          <cell r="A451">
            <v>40451</v>
          </cell>
          <cell r="B451">
            <v>9.8000000000000007</v>
          </cell>
        </row>
        <row r="452">
          <cell r="A452">
            <v>40451</v>
          </cell>
          <cell r="B452">
            <v>7</v>
          </cell>
        </row>
        <row r="453">
          <cell r="A453">
            <v>40551</v>
          </cell>
          <cell r="B453">
            <v>7</v>
          </cell>
        </row>
        <row r="454">
          <cell r="A454">
            <v>40551</v>
          </cell>
          <cell r="B454">
            <v>7.7</v>
          </cell>
        </row>
        <row r="455">
          <cell r="A455">
            <v>40651</v>
          </cell>
          <cell r="B455">
            <v>7.7</v>
          </cell>
        </row>
        <row r="456">
          <cell r="A456">
            <v>40651</v>
          </cell>
          <cell r="B456">
            <v>7.9</v>
          </cell>
        </row>
        <row r="457">
          <cell r="A457">
            <v>40751</v>
          </cell>
          <cell r="B457">
            <v>7.9</v>
          </cell>
        </row>
        <row r="458">
          <cell r="A458">
            <v>40751</v>
          </cell>
          <cell r="B458">
            <v>6.8</v>
          </cell>
        </row>
        <row r="459">
          <cell r="A459">
            <v>40851</v>
          </cell>
          <cell r="B459">
            <v>6.8</v>
          </cell>
        </row>
        <row r="460">
          <cell r="A460">
            <v>40851</v>
          </cell>
          <cell r="B460">
            <v>8</v>
          </cell>
        </row>
        <row r="461">
          <cell r="A461">
            <v>40951</v>
          </cell>
          <cell r="B461">
            <v>8</v>
          </cell>
        </row>
        <row r="462">
          <cell r="A462">
            <v>40951</v>
          </cell>
          <cell r="B462">
            <v>11</v>
          </cell>
        </row>
        <row r="463">
          <cell r="A463">
            <v>41053</v>
          </cell>
          <cell r="B463">
            <v>11</v>
          </cell>
        </row>
        <row r="464">
          <cell r="A464">
            <v>41053</v>
          </cell>
          <cell r="B464">
            <v>9.1999999999999993</v>
          </cell>
        </row>
        <row r="465">
          <cell r="A465">
            <v>41153</v>
          </cell>
          <cell r="B465">
            <v>9.1999999999999993</v>
          </cell>
        </row>
        <row r="466">
          <cell r="A466">
            <v>41153</v>
          </cell>
          <cell r="B466">
            <v>11.3</v>
          </cell>
        </row>
        <row r="467">
          <cell r="A467">
            <v>41253</v>
          </cell>
          <cell r="B467">
            <v>11.3</v>
          </cell>
        </row>
        <row r="468">
          <cell r="A468">
            <v>41253</v>
          </cell>
          <cell r="B468">
            <v>9.3000000000000007</v>
          </cell>
        </row>
        <row r="469">
          <cell r="A469">
            <v>41353</v>
          </cell>
          <cell r="B469">
            <v>9.3000000000000007</v>
          </cell>
        </row>
        <row r="470">
          <cell r="A470">
            <v>41353</v>
          </cell>
          <cell r="B470">
            <v>8.1999999999999993</v>
          </cell>
        </row>
        <row r="471">
          <cell r="A471">
            <v>41453</v>
          </cell>
          <cell r="B471">
            <v>8.1999999999999993</v>
          </cell>
        </row>
        <row r="472">
          <cell r="A472">
            <v>41453</v>
          </cell>
          <cell r="B472">
            <v>6.8</v>
          </cell>
        </row>
        <row r="473">
          <cell r="A473">
            <v>41553</v>
          </cell>
          <cell r="B473">
            <v>6.8</v>
          </cell>
        </row>
        <row r="474">
          <cell r="A474">
            <v>41553</v>
          </cell>
          <cell r="B474">
            <v>8.6999999999999993</v>
          </cell>
        </row>
        <row r="475">
          <cell r="A475">
            <v>41653</v>
          </cell>
          <cell r="B475">
            <v>8.6999999999999993</v>
          </cell>
        </row>
        <row r="476">
          <cell r="A476">
            <v>41653</v>
          </cell>
          <cell r="B476">
            <v>8.1</v>
          </cell>
        </row>
        <row r="477">
          <cell r="A477">
            <v>41753</v>
          </cell>
          <cell r="B477">
            <v>8.1</v>
          </cell>
        </row>
        <row r="478">
          <cell r="A478">
            <v>41753</v>
          </cell>
          <cell r="B478">
            <v>8.5</v>
          </cell>
        </row>
        <row r="479">
          <cell r="A479">
            <v>41853</v>
          </cell>
          <cell r="B479">
            <v>8.5</v>
          </cell>
        </row>
        <row r="480">
          <cell r="A480">
            <v>41853</v>
          </cell>
          <cell r="B480">
            <v>6.9</v>
          </cell>
        </row>
        <row r="481">
          <cell r="A481">
            <v>41953</v>
          </cell>
          <cell r="B481">
            <v>6.9</v>
          </cell>
        </row>
        <row r="482">
          <cell r="A482">
            <v>41953</v>
          </cell>
          <cell r="B482">
            <v>9</v>
          </cell>
        </row>
        <row r="483">
          <cell r="A483">
            <v>42052</v>
          </cell>
          <cell r="B483">
            <v>9</v>
          </cell>
        </row>
        <row r="484">
          <cell r="A484">
            <v>42052</v>
          </cell>
          <cell r="B484">
            <v>8.6</v>
          </cell>
        </row>
        <row r="485">
          <cell r="A485">
            <v>42152</v>
          </cell>
          <cell r="B485">
            <v>8.6</v>
          </cell>
        </row>
        <row r="486">
          <cell r="A486">
            <v>42152</v>
          </cell>
          <cell r="B486">
            <v>7.3</v>
          </cell>
        </row>
        <row r="487">
          <cell r="A487">
            <v>42252</v>
          </cell>
          <cell r="B487">
            <v>7.3</v>
          </cell>
        </row>
        <row r="488">
          <cell r="A488">
            <v>42252</v>
          </cell>
          <cell r="B488">
            <v>7.1</v>
          </cell>
        </row>
        <row r="489">
          <cell r="A489">
            <v>42352</v>
          </cell>
          <cell r="B489">
            <v>7.1</v>
          </cell>
        </row>
        <row r="490">
          <cell r="A490">
            <v>42352</v>
          </cell>
          <cell r="B490">
            <v>12.7</v>
          </cell>
        </row>
        <row r="491">
          <cell r="A491">
            <v>42452</v>
          </cell>
          <cell r="B491">
            <v>12.7</v>
          </cell>
        </row>
        <row r="492">
          <cell r="A492">
            <v>42452</v>
          </cell>
          <cell r="B492">
            <v>14</v>
          </cell>
        </row>
        <row r="493">
          <cell r="A493">
            <v>42552</v>
          </cell>
          <cell r="B493">
            <v>14</v>
          </cell>
        </row>
        <row r="494">
          <cell r="A494">
            <v>42552</v>
          </cell>
          <cell r="B494">
            <v>16.8</v>
          </cell>
        </row>
        <row r="495">
          <cell r="A495">
            <v>42652</v>
          </cell>
          <cell r="B495">
            <v>16.8</v>
          </cell>
        </row>
        <row r="496">
          <cell r="A496">
            <v>42652</v>
          </cell>
          <cell r="B496">
            <v>15.6</v>
          </cell>
        </row>
        <row r="497">
          <cell r="A497">
            <v>42752</v>
          </cell>
          <cell r="B497">
            <v>15.6</v>
          </cell>
        </row>
        <row r="498">
          <cell r="A498">
            <v>42752</v>
          </cell>
          <cell r="B498">
            <v>19.100000000000001</v>
          </cell>
        </row>
        <row r="499">
          <cell r="A499">
            <v>42852</v>
          </cell>
          <cell r="B499">
            <v>19.100000000000001</v>
          </cell>
        </row>
        <row r="500">
          <cell r="A500">
            <v>42852</v>
          </cell>
          <cell r="B500">
            <v>15.6</v>
          </cell>
        </row>
        <row r="501">
          <cell r="A501">
            <v>42952</v>
          </cell>
          <cell r="B501">
            <v>15.6</v>
          </cell>
        </row>
        <row r="502">
          <cell r="A502">
            <v>42952</v>
          </cell>
          <cell r="B502">
            <v>15.9</v>
          </cell>
        </row>
        <row r="503">
          <cell r="A503">
            <v>43047</v>
          </cell>
          <cell r="B503">
            <v>15.9</v>
          </cell>
        </row>
        <row r="504">
          <cell r="A504">
            <v>43047</v>
          </cell>
          <cell r="B504">
            <v>17.399999999999999</v>
          </cell>
        </row>
        <row r="505">
          <cell r="A505">
            <v>43147</v>
          </cell>
          <cell r="B505">
            <v>17.399999999999999</v>
          </cell>
        </row>
        <row r="506">
          <cell r="A506">
            <v>43147</v>
          </cell>
          <cell r="B506">
            <v>17.600000000000001</v>
          </cell>
        </row>
        <row r="507">
          <cell r="A507">
            <v>43247</v>
          </cell>
          <cell r="B507">
            <v>17.600000000000001</v>
          </cell>
        </row>
        <row r="508">
          <cell r="A508">
            <v>43247</v>
          </cell>
          <cell r="B508">
            <v>15.3</v>
          </cell>
        </row>
        <row r="509">
          <cell r="A509">
            <v>43347</v>
          </cell>
          <cell r="B509">
            <v>15.3</v>
          </cell>
        </row>
        <row r="510">
          <cell r="A510">
            <v>43347</v>
          </cell>
          <cell r="B510">
            <v>15.4</v>
          </cell>
        </row>
        <row r="511">
          <cell r="A511">
            <v>43447</v>
          </cell>
          <cell r="B511">
            <v>15.4</v>
          </cell>
        </row>
        <row r="512">
          <cell r="A512">
            <v>43447</v>
          </cell>
          <cell r="B512">
            <v>18.899999999999999</v>
          </cell>
        </row>
        <row r="513">
          <cell r="A513">
            <v>43647</v>
          </cell>
          <cell r="B513">
            <v>18.899999999999999</v>
          </cell>
        </row>
        <row r="514">
          <cell r="A514">
            <v>43647</v>
          </cell>
          <cell r="B514">
            <v>14.1</v>
          </cell>
        </row>
        <row r="515">
          <cell r="A515">
            <v>43747</v>
          </cell>
          <cell r="B515">
            <v>14.1</v>
          </cell>
        </row>
        <row r="516">
          <cell r="A516">
            <v>43747</v>
          </cell>
          <cell r="B516">
            <v>14</v>
          </cell>
        </row>
        <row r="517">
          <cell r="A517">
            <v>43847</v>
          </cell>
          <cell r="B517">
            <v>14</v>
          </cell>
        </row>
        <row r="518">
          <cell r="A518">
            <v>43847</v>
          </cell>
          <cell r="B518">
            <v>8.6</v>
          </cell>
        </row>
        <row r="519">
          <cell r="A519">
            <v>43947</v>
          </cell>
          <cell r="B519">
            <v>8.6</v>
          </cell>
        </row>
        <row r="520">
          <cell r="A520">
            <v>43947</v>
          </cell>
          <cell r="B520">
            <v>9.4</v>
          </cell>
        </row>
        <row r="521">
          <cell r="A521">
            <v>44051</v>
          </cell>
          <cell r="B521">
            <v>9.4</v>
          </cell>
        </row>
        <row r="522">
          <cell r="A522">
            <v>44051</v>
          </cell>
          <cell r="B522">
            <v>10</v>
          </cell>
        </row>
        <row r="523">
          <cell r="A523">
            <v>44151</v>
          </cell>
          <cell r="B523">
            <v>10</v>
          </cell>
        </row>
        <row r="524">
          <cell r="A524">
            <v>44151</v>
          </cell>
          <cell r="B524">
            <v>10.4</v>
          </cell>
        </row>
        <row r="525">
          <cell r="A525">
            <v>44251</v>
          </cell>
          <cell r="B525">
            <v>10.4</v>
          </cell>
        </row>
        <row r="526">
          <cell r="A526">
            <v>44251</v>
          </cell>
          <cell r="B526">
            <v>6.2</v>
          </cell>
        </row>
        <row r="527">
          <cell r="A527">
            <v>44351</v>
          </cell>
          <cell r="B527">
            <v>6.2</v>
          </cell>
        </row>
        <row r="528">
          <cell r="A528">
            <v>44351</v>
          </cell>
          <cell r="B528">
            <v>9.8000000000000007</v>
          </cell>
        </row>
        <row r="529">
          <cell r="A529">
            <v>44451</v>
          </cell>
          <cell r="B529">
            <v>9.8000000000000007</v>
          </cell>
        </row>
        <row r="530">
          <cell r="A530">
            <v>44451</v>
          </cell>
          <cell r="B530">
            <v>10.3</v>
          </cell>
        </row>
        <row r="531">
          <cell r="A531">
            <v>44551</v>
          </cell>
          <cell r="B531">
            <v>10.3</v>
          </cell>
        </row>
        <row r="532">
          <cell r="A532">
            <v>44551</v>
          </cell>
          <cell r="B532">
            <v>10.4</v>
          </cell>
        </row>
        <row r="533">
          <cell r="A533">
            <v>44651</v>
          </cell>
          <cell r="B533">
            <v>10.4</v>
          </cell>
        </row>
        <row r="534">
          <cell r="A534">
            <v>44651</v>
          </cell>
          <cell r="B534">
            <v>9.1999999999999993</v>
          </cell>
        </row>
        <row r="535">
          <cell r="A535">
            <v>44751</v>
          </cell>
          <cell r="B535">
            <v>9.1999999999999993</v>
          </cell>
        </row>
        <row r="536">
          <cell r="A536">
            <v>44751</v>
          </cell>
          <cell r="B536">
            <v>16.2</v>
          </cell>
        </row>
        <row r="537">
          <cell r="A537">
            <v>44851</v>
          </cell>
          <cell r="B537">
            <v>16.2</v>
          </cell>
        </row>
        <row r="538">
          <cell r="A538">
            <v>44851</v>
          </cell>
          <cell r="B538">
            <v>14.3</v>
          </cell>
        </row>
        <row r="539">
          <cell r="A539">
            <v>44923</v>
          </cell>
          <cell r="B539">
            <v>14.3</v>
          </cell>
        </row>
        <row r="540">
          <cell r="A540">
            <v>44923</v>
          </cell>
          <cell r="B540">
            <v>12.7</v>
          </cell>
        </row>
        <row r="541">
          <cell r="A541">
            <v>45024</v>
          </cell>
          <cell r="B541">
            <v>12.7</v>
          </cell>
        </row>
        <row r="542">
          <cell r="A542">
            <v>45024</v>
          </cell>
          <cell r="B542">
            <v>15.8</v>
          </cell>
        </row>
        <row r="543">
          <cell r="A543">
            <v>45124</v>
          </cell>
          <cell r="B543">
            <v>15.8</v>
          </cell>
        </row>
        <row r="544">
          <cell r="A544">
            <v>45124</v>
          </cell>
          <cell r="B544">
            <v>19.3</v>
          </cell>
        </row>
        <row r="545">
          <cell r="A545">
            <v>45224</v>
          </cell>
          <cell r="B545">
            <v>19.3</v>
          </cell>
        </row>
        <row r="546">
          <cell r="A546">
            <v>45224</v>
          </cell>
          <cell r="B546">
            <v>20.2</v>
          </cell>
        </row>
        <row r="547">
          <cell r="A547">
            <v>45324</v>
          </cell>
          <cell r="B547">
            <v>20.2</v>
          </cell>
        </row>
        <row r="548">
          <cell r="A548">
            <v>45324</v>
          </cell>
          <cell r="B548">
            <v>16.899999999999999</v>
          </cell>
        </row>
        <row r="549">
          <cell r="A549">
            <v>45424</v>
          </cell>
          <cell r="B549">
            <v>16.899999999999999</v>
          </cell>
        </row>
        <row r="550">
          <cell r="A550">
            <v>45424</v>
          </cell>
          <cell r="B550">
            <v>17.399999999999999</v>
          </cell>
        </row>
        <row r="551">
          <cell r="A551">
            <v>45524</v>
          </cell>
          <cell r="B551">
            <v>17.399999999999999</v>
          </cell>
        </row>
        <row r="552">
          <cell r="A552">
            <v>45524</v>
          </cell>
          <cell r="B552">
            <v>15.7</v>
          </cell>
        </row>
        <row r="553">
          <cell r="A553">
            <v>45624</v>
          </cell>
          <cell r="B553">
            <v>15.7</v>
          </cell>
        </row>
        <row r="554">
          <cell r="A554">
            <v>45624</v>
          </cell>
          <cell r="B554">
            <v>16.7</v>
          </cell>
        </row>
        <row r="555">
          <cell r="A555">
            <v>45724</v>
          </cell>
          <cell r="B555">
            <v>16.7</v>
          </cell>
        </row>
        <row r="556">
          <cell r="A556">
            <v>45724</v>
          </cell>
          <cell r="B556">
            <v>16.100000000000001</v>
          </cell>
        </row>
        <row r="557">
          <cell r="A557">
            <v>45824</v>
          </cell>
          <cell r="B557">
            <v>16.100000000000001</v>
          </cell>
        </row>
        <row r="558">
          <cell r="A558">
            <v>45824</v>
          </cell>
          <cell r="B558">
            <v>16.3</v>
          </cell>
        </row>
        <row r="559">
          <cell r="A559">
            <v>45924</v>
          </cell>
          <cell r="B559">
            <v>16.3</v>
          </cell>
        </row>
        <row r="560">
          <cell r="A560">
            <v>45924</v>
          </cell>
          <cell r="B560">
            <v>15.1</v>
          </cell>
        </row>
        <row r="561">
          <cell r="A561">
            <v>46026</v>
          </cell>
          <cell r="B561">
            <v>15.1</v>
          </cell>
        </row>
        <row r="562">
          <cell r="A562">
            <v>46026</v>
          </cell>
          <cell r="B562">
            <v>15.3</v>
          </cell>
        </row>
        <row r="563">
          <cell r="A563">
            <v>46126</v>
          </cell>
          <cell r="B563">
            <v>15.3</v>
          </cell>
        </row>
        <row r="564">
          <cell r="A564">
            <v>46126</v>
          </cell>
          <cell r="B564">
            <v>15.6</v>
          </cell>
        </row>
        <row r="565">
          <cell r="A565">
            <v>46226</v>
          </cell>
          <cell r="B565">
            <v>15.6</v>
          </cell>
        </row>
        <row r="566">
          <cell r="A566">
            <v>46226</v>
          </cell>
          <cell r="B566">
            <v>12.8</v>
          </cell>
        </row>
        <row r="567">
          <cell r="A567">
            <v>46326</v>
          </cell>
          <cell r="B567">
            <v>12.8</v>
          </cell>
        </row>
        <row r="568">
          <cell r="A568">
            <v>46326</v>
          </cell>
          <cell r="B568">
            <v>15.1</v>
          </cell>
        </row>
        <row r="569">
          <cell r="A569">
            <v>46426</v>
          </cell>
          <cell r="B569">
            <v>15.1</v>
          </cell>
        </row>
        <row r="570">
          <cell r="A570">
            <v>46426</v>
          </cell>
          <cell r="B570">
            <v>14.9</v>
          </cell>
        </row>
        <row r="571">
          <cell r="A571">
            <v>46526</v>
          </cell>
          <cell r="B571">
            <v>14.9</v>
          </cell>
        </row>
        <row r="572">
          <cell r="A572">
            <v>46526</v>
          </cell>
          <cell r="B572">
            <v>15.3</v>
          </cell>
        </row>
        <row r="573">
          <cell r="A573">
            <v>46626</v>
          </cell>
          <cell r="B573">
            <v>15.3</v>
          </cell>
        </row>
        <row r="574">
          <cell r="A574">
            <v>46626</v>
          </cell>
          <cell r="B574">
            <v>14.1</v>
          </cell>
        </row>
        <row r="575">
          <cell r="A575">
            <v>46726</v>
          </cell>
          <cell r="B575">
            <v>14.1</v>
          </cell>
        </row>
        <row r="576">
          <cell r="A576">
            <v>46726</v>
          </cell>
          <cell r="B576">
            <v>15.7</v>
          </cell>
        </row>
        <row r="577">
          <cell r="A577">
            <v>46826</v>
          </cell>
          <cell r="B577">
            <v>15.7</v>
          </cell>
        </row>
        <row r="578">
          <cell r="A578">
            <v>46826</v>
          </cell>
          <cell r="B578">
            <v>13.9</v>
          </cell>
        </row>
        <row r="579">
          <cell r="A579">
            <v>46926</v>
          </cell>
          <cell r="B579">
            <v>13.9</v>
          </cell>
        </row>
        <row r="580">
          <cell r="A580">
            <v>46926</v>
          </cell>
          <cell r="B580">
            <v>14.4</v>
          </cell>
        </row>
        <row r="581">
          <cell r="A581">
            <v>47028</v>
          </cell>
          <cell r="B581">
            <v>14.4</v>
          </cell>
        </row>
        <row r="582">
          <cell r="A582">
            <v>47028</v>
          </cell>
          <cell r="B582">
            <v>15.5</v>
          </cell>
        </row>
        <row r="583">
          <cell r="A583">
            <v>47128</v>
          </cell>
          <cell r="B583">
            <v>15.5</v>
          </cell>
        </row>
        <row r="584">
          <cell r="A584">
            <v>47128</v>
          </cell>
          <cell r="B584">
            <v>16.8</v>
          </cell>
        </row>
        <row r="585">
          <cell r="A585">
            <v>47228</v>
          </cell>
          <cell r="B585">
            <v>16.8</v>
          </cell>
        </row>
        <row r="586">
          <cell r="A586">
            <v>47228</v>
          </cell>
          <cell r="B586">
            <v>13.6</v>
          </cell>
        </row>
        <row r="587">
          <cell r="A587">
            <v>47328</v>
          </cell>
          <cell r="B587">
            <v>13.6</v>
          </cell>
        </row>
        <row r="588">
          <cell r="A588">
            <v>47328</v>
          </cell>
          <cell r="B588">
            <v>13</v>
          </cell>
        </row>
        <row r="589">
          <cell r="A589">
            <v>47428</v>
          </cell>
          <cell r="B589">
            <v>13</v>
          </cell>
        </row>
        <row r="590">
          <cell r="A590">
            <v>47428</v>
          </cell>
          <cell r="B590">
            <v>12.6</v>
          </cell>
        </row>
        <row r="591">
          <cell r="A591">
            <v>47528</v>
          </cell>
          <cell r="B591">
            <v>12.6</v>
          </cell>
        </row>
        <row r="592">
          <cell r="A592">
            <v>47528</v>
          </cell>
          <cell r="B592">
            <v>14.7</v>
          </cell>
        </row>
        <row r="593">
          <cell r="A593">
            <v>47628</v>
          </cell>
          <cell r="B593">
            <v>14.7</v>
          </cell>
        </row>
        <row r="594">
          <cell r="A594">
            <v>47628</v>
          </cell>
          <cell r="B594">
            <v>12.7</v>
          </cell>
        </row>
        <row r="595">
          <cell r="A595">
            <v>47728</v>
          </cell>
          <cell r="B595">
            <v>12.7</v>
          </cell>
        </row>
        <row r="596">
          <cell r="A596">
            <v>47728</v>
          </cell>
          <cell r="B596">
            <v>11.9</v>
          </cell>
        </row>
        <row r="597">
          <cell r="A597">
            <v>47828</v>
          </cell>
          <cell r="B597">
            <v>11.9</v>
          </cell>
        </row>
        <row r="598">
          <cell r="A598">
            <v>47828</v>
          </cell>
          <cell r="B598">
            <v>10.8</v>
          </cell>
        </row>
        <row r="599">
          <cell r="A599">
            <v>47928</v>
          </cell>
          <cell r="B599">
            <v>10.8</v>
          </cell>
        </row>
        <row r="600">
          <cell r="A600">
            <v>47928</v>
          </cell>
          <cell r="B600">
            <v>9.8000000000000007</v>
          </cell>
        </row>
        <row r="601">
          <cell r="A601">
            <v>48027</v>
          </cell>
          <cell r="B601">
            <v>9.8000000000000007</v>
          </cell>
        </row>
        <row r="602">
          <cell r="A602">
            <v>48027</v>
          </cell>
          <cell r="B602">
            <v>3.4</v>
          </cell>
        </row>
        <row r="603">
          <cell r="A603">
            <v>48127</v>
          </cell>
          <cell r="B603">
            <v>3.4</v>
          </cell>
        </row>
        <row r="604">
          <cell r="A604">
            <v>48127</v>
          </cell>
          <cell r="B604">
            <v>2.7</v>
          </cell>
        </row>
        <row r="605">
          <cell r="A605">
            <v>48227</v>
          </cell>
          <cell r="B605">
            <v>2.7</v>
          </cell>
        </row>
        <row r="606">
          <cell r="A606">
            <v>48227</v>
          </cell>
          <cell r="B606">
            <v>2.8</v>
          </cell>
        </row>
        <row r="607">
          <cell r="A607">
            <v>48282</v>
          </cell>
          <cell r="B607">
            <v>2.8</v>
          </cell>
        </row>
        <row r="608">
          <cell r="A608">
            <v>48282</v>
          </cell>
          <cell r="B608">
            <v>3.2</v>
          </cell>
        </row>
        <row r="609">
          <cell r="A609">
            <v>48382</v>
          </cell>
          <cell r="B609">
            <v>3.2</v>
          </cell>
        </row>
        <row r="610">
          <cell r="A610">
            <v>48382</v>
          </cell>
          <cell r="B610">
            <v>5.6</v>
          </cell>
        </row>
        <row r="611">
          <cell r="A611">
            <v>48482</v>
          </cell>
          <cell r="B611">
            <v>5.6</v>
          </cell>
        </row>
        <row r="612">
          <cell r="A612">
            <v>48482</v>
          </cell>
          <cell r="B612">
            <v>5.5</v>
          </cell>
        </row>
        <row r="613">
          <cell r="A613">
            <v>48582</v>
          </cell>
          <cell r="B613">
            <v>5.5</v>
          </cell>
        </row>
        <row r="614">
          <cell r="A614">
            <v>48582</v>
          </cell>
          <cell r="B614">
            <v>14.2</v>
          </cell>
        </row>
        <row r="615">
          <cell r="A615">
            <v>48682</v>
          </cell>
          <cell r="B615">
            <v>14.2</v>
          </cell>
        </row>
        <row r="616">
          <cell r="A616">
            <v>48682</v>
          </cell>
          <cell r="B616">
            <v>20.2</v>
          </cell>
        </row>
        <row r="617">
          <cell r="A617">
            <v>48782</v>
          </cell>
          <cell r="B617">
            <v>20.2</v>
          </cell>
        </row>
        <row r="618">
          <cell r="A618">
            <v>48782</v>
          </cell>
          <cell r="B618">
            <v>21</v>
          </cell>
        </row>
        <row r="619">
          <cell r="A619">
            <v>48882</v>
          </cell>
          <cell r="B619">
            <v>21</v>
          </cell>
        </row>
        <row r="620">
          <cell r="A620">
            <v>48882</v>
          </cell>
          <cell r="B620">
            <v>20.100000000000001</v>
          </cell>
        </row>
        <row r="621">
          <cell r="A621">
            <v>48982</v>
          </cell>
          <cell r="B621">
            <v>20.100000000000001</v>
          </cell>
        </row>
        <row r="622">
          <cell r="A622">
            <v>48982</v>
          </cell>
          <cell r="B622">
            <v>15.2</v>
          </cell>
        </row>
        <row r="623">
          <cell r="A623">
            <v>49085</v>
          </cell>
          <cell r="B623">
            <v>15.2</v>
          </cell>
        </row>
        <row r="624">
          <cell r="A624">
            <v>49085</v>
          </cell>
          <cell r="B624">
            <v>12.9</v>
          </cell>
        </row>
        <row r="625">
          <cell r="A625">
            <v>49185</v>
          </cell>
          <cell r="B625">
            <v>12.9</v>
          </cell>
        </row>
        <row r="626">
          <cell r="A626">
            <v>49185</v>
          </cell>
          <cell r="B626">
            <v>6.3</v>
          </cell>
        </row>
        <row r="627">
          <cell r="A627">
            <v>49285</v>
          </cell>
          <cell r="B627">
            <v>6.3</v>
          </cell>
        </row>
        <row r="628">
          <cell r="A628">
            <v>49285</v>
          </cell>
          <cell r="B628">
            <v>5.6</v>
          </cell>
        </row>
        <row r="629">
          <cell r="A629">
            <v>49385</v>
          </cell>
          <cell r="B629">
            <v>5.6</v>
          </cell>
        </row>
        <row r="630">
          <cell r="A630">
            <v>49385</v>
          </cell>
          <cell r="B630">
            <v>5.7</v>
          </cell>
        </row>
        <row r="631">
          <cell r="A631">
            <v>49485</v>
          </cell>
          <cell r="B631">
            <v>5.7</v>
          </cell>
        </row>
        <row r="632">
          <cell r="A632">
            <v>49485</v>
          </cell>
          <cell r="B632">
            <v>6.1</v>
          </cell>
        </row>
        <row r="633">
          <cell r="A633">
            <v>49585</v>
          </cell>
          <cell r="B633">
            <v>6.1</v>
          </cell>
        </row>
        <row r="634">
          <cell r="A634">
            <v>49585</v>
          </cell>
          <cell r="B634">
            <v>7.7</v>
          </cell>
        </row>
        <row r="635">
          <cell r="A635">
            <v>49685</v>
          </cell>
          <cell r="B635">
            <v>7.7</v>
          </cell>
        </row>
        <row r="636">
          <cell r="A636">
            <v>49685</v>
          </cell>
          <cell r="B636">
            <v>12.1</v>
          </cell>
        </row>
        <row r="637">
          <cell r="A637">
            <v>49785</v>
          </cell>
          <cell r="B637">
            <v>12.1</v>
          </cell>
        </row>
        <row r="638">
          <cell r="A638">
            <v>49785</v>
          </cell>
          <cell r="B638">
            <v>11.2</v>
          </cell>
        </row>
        <row r="639">
          <cell r="A639">
            <v>49885</v>
          </cell>
          <cell r="B639">
            <v>11.2</v>
          </cell>
        </row>
        <row r="640">
          <cell r="A640">
            <v>49885</v>
          </cell>
          <cell r="B640">
            <v>15.3</v>
          </cell>
        </row>
        <row r="641">
          <cell r="A641">
            <v>49985</v>
          </cell>
          <cell r="B641">
            <v>15.3</v>
          </cell>
        </row>
        <row r="642">
          <cell r="A642">
            <v>49985</v>
          </cell>
          <cell r="B642">
            <v>15.9</v>
          </cell>
        </row>
        <row r="643">
          <cell r="A643">
            <v>50084</v>
          </cell>
          <cell r="B643">
            <v>15.9</v>
          </cell>
        </row>
        <row r="644">
          <cell r="A644">
            <v>50084</v>
          </cell>
          <cell r="B644">
            <v>18.3</v>
          </cell>
        </row>
        <row r="645">
          <cell r="A645">
            <v>50184</v>
          </cell>
          <cell r="B645">
            <v>18.3</v>
          </cell>
        </row>
        <row r="646">
          <cell r="A646">
            <v>50184</v>
          </cell>
          <cell r="B646">
            <v>19.399999999999999</v>
          </cell>
        </row>
        <row r="647">
          <cell r="A647">
            <v>50199</v>
          </cell>
          <cell r="B647">
            <v>19.399999999999999</v>
          </cell>
        </row>
        <row r="648">
          <cell r="A648">
            <v>50199</v>
          </cell>
          <cell r="B648">
            <v>15.2</v>
          </cell>
        </row>
        <row r="649">
          <cell r="A649">
            <v>50299</v>
          </cell>
          <cell r="B649">
            <v>15.2</v>
          </cell>
        </row>
        <row r="650">
          <cell r="A650">
            <v>50299</v>
          </cell>
          <cell r="B650">
            <v>18.5</v>
          </cell>
        </row>
        <row r="651">
          <cell r="A651">
            <v>50399</v>
          </cell>
          <cell r="B651">
            <v>18.5</v>
          </cell>
        </row>
        <row r="652">
          <cell r="A652">
            <v>50399</v>
          </cell>
          <cell r="B652">
            <v>15.8</v>
          </cell>
        </row>
        <row r="653">
          <cell r="A653">
            <v>50499</v>
          </cell>
          <cell r="B653">
            <v>15.8</v>
          </cell>
        </row>
        <row r="654">
          <cell r="A654">
            <v>50499</v>
          </cell>
          <cell r="B654">
            <v>15.5</v>
          </cell>
        </row>
        <row r="655">
          <cell r="A655">
            <v>50599</v>
          </cell>
          <cell r="B655">
            <v>15.5</v>
          </cell>
        </row>
        <row r="656">
          <cell r="A656">
            <v>50599</v>
          </cell>
          <cell r="B656">
            <v>12.7</v>
          </cell>
        </row>
        <row r="657">
          <cell r="A657">
            <v>50699</v>
          </cell>
          <cell r="B657">
            <v>12.7</v>
          </cell>
        </row>
        <row r="658">
          <cell r="A658">
            <v>50699</v>
          </cell>
          <cell r="B658">
            <v>12.8</v>
          </cell>
        </row>
        <row r="659">
          <cell r="A659">
            <v>50799</v>
          </cell>
          <cell r="B659">
            <v>12.8</v>
          </cell>
        </row>
        <row r="660">
          <cell r="A660">
            <v>50799</v>
          </cell>
          <cell r="B660">
            <v>19.3</v>
          </cell>
        </row>
        <row r="661">
          <cell r="A661">
            <v>50899</v>
          </cell>
          <cell r="B661">
            <v>19.3</v>
          </cell>
        </row>
        <row r="662">
          <cell r="A662">
            <v>50899</v>
          </cell>
          <cell r="B662">
            <v>5.7</v>
          </cell>
        </row>
        <row r="663">
          <cell r="A663">
            <v>50999</v>
          </cell>
          <cell r="B663">
            <v>5.7</v>
          </cell>
        </row>
        <row r="664">
          <cell r="A664">
            <v>50999</v>
          </cell>
          <cell r="B664">
            <v>6.6</v>
          </cell>
        </row>
        <row r="665">
          <cell r="A665">
            <v>51098</v>
          </cell>
          <cell r="B665">
            <v>6.6</v>
          </cell>
        </row>
        <row r="666">
          <cell r="A666">
            <v>51098</v>
          </cell>
          <cell r="B666">
            <v>6.5</v>
          </cell>
        </row>
        <row r="667">
          <cell r="A667">
            <v>51198</v>
          </cell>
          <cell r="B667">
            <v>6.5</v>
          </cell>
        </row>
        <row r="668">
          <cell r="A668">
            <v>51198</v>
          </cell>
          <cell r="B668">
            <v>7.2</v>
          </cell>
        </row>
        <row r="669">
          <cell r="A669">
            <v>51298</v>
          </cell>
          <cell r="B669">
            <v>7.2</v>
          </cell>
        </row>
        <row r="670">
          <cell r="A670">
            <v>51298</v>
          </cell>
          <cell r="B670">
            <v>8</v>
          </cell>
        </row>
        <row r="671">
          <cell r="A671">
            <v>51398</v>
          </cell>
          <cell r="B671">
            <v>8</v>
          </cell>
        </row>
        <row r="672">
          <cell r="A672">
            <v>51398</v>
          </cell>
          <cell r="B672">
            <v>12.9</v>
          </cell>
        </row>
        <row r="673">
          <cell r="A673">
            <v>51408</v>
          </cell>
          <cell r="B673">
            <v>12.9</v>
          </cell>
        </row>
        <row r="674">
          <cell r="A674">
            <v>51408</v>
          </cell>
          <cell r="B674">
            <v>10.7</v>
          </cell>
        </row>
        <row r="675">
          <cell r="A675">
            <v>51508</v>
          </cell>
          <cell r="B675">
            <v>10.7</v>
          </cell>
        </row>
        <row r="676">
          <cell r="A676">
            <v>51508</v>
          </cell>
          <cell r="B676">
            <v>8.5</v>
          </cell>
        </row>
        <row r="677">
          <cell r="A677">
            <v>51699</v>
          </cell>
          <cell r="B677">
            <v>8.5</v>
          </cell>
        </row>
        <row r="678">
          <cell r="A678">
            <v>51699</v>
          </cell>
          <cell r="B678">
            <v>9.9</v>
          </cell>
        </row>
        <row r="679">
          <cell r="A679">
            <v>51799</v>
          </cell>
          <cell r="B679">
            <v>9.9</v>
          </cell>
        </row>
        <row r="680">
          <cell r="A680">
            <v>51799</v>
          </cell>
          <cell r="B680">
            <v>10.6</v>
          </cell>
        </row>
        <row r="681">
          <cell r="A681">
            <v>51899</v>
          </cell>
          <cell r="B681">
            <v>10.6</v>
          </cell>
        </row>
        <row r="682">
          <cell r="A682">
            <v>51899</v>
          </cell>
          <cell r="B682">
            <v>6.8</v>
          </cell>
        </row>
        <row r="683">
          <cell r="A683">
            <v>52007</v>
          </cell>
          <cell r="B683">
            <v>6.8</v>
          </cell>
        </row>
        <row r="684">
          <cell r="A684">
            <v>52007</v>
          </cell>
          <cell r="B684">
            <v>8.6</v>
          </cell>
        </row>
        <row r="685">
          <cell r="A685">
            <v>52107</v>
          </cell>
          <cell r="B685">
            <v>8.6</v>
          </cell>
        </row>
        <row r="686">
          <cell r="A686">
            <v>52107</v>
          </cell>
          <cell r="B686">
            <v>8.8000000000000007</v>
          </cell>
        </row>
        <row r="687">
          <cell r="A687">
            <v>52207</v>
          </cell>
          <cell r="B687">
            <v>8.8000000000000007</v>
          </cell>
        </row>
        <row r="688">
          <cell r="A688">
            <v>52207</v>
          </cell>
          <cell r="B688">
            <v>5.3</v>
          </cell>
        </row>
        <row r="689">
          <cell r="A689">
            <v>52307</v>
          </cell>
          <cell r="B689">
            <v>5.3</v>
          </cell>
        </row>
        <row r="690">
          <cell r="A690">
            <v>52307</v>
          </cell>
          <cell r="B690">
            <v>5.6</v>
          </cell>
        </row>
        <row r="691">
          <cell r="A691">
            <v>52407</v>
          </cell>
          <cell r="B691">
            <v>5.6</v>
          </cell>
        </row>
        <row r="692">
          <cell r="A692">
            <v>52407</v>
          </cell>
          <cell r="B692">
            <v>5.3</v>
          </cell>
        </row>
        <row r="693">
          <cell r="A693">
            <v>52507</v>
          </cell>
          <cell r="B693">
            <v>5.3</v>
          </cell>
        </row>
        <row r="694">
          <cell r="A694">
            <v>52507</v>
          </cell>
          <cell r="B694">
            <v>5.6</v>
          </cell>
        </row>
        <row r="695">
          <cell r="A695">
            <v>52607</v>
          </cell>
          <cell r="B695">
            <v>5.6</v>
          </cell>
        </row>
        <row r="696">
          <cell r="A696">
            <v>52607</v>
          </cell>
          <cell r="B696">
            <v>4.8</v>
          </cell>
        </row>
        <row r="697">
          <cell r="A697">
            <v>52707</v>
          </cell>
          <cell r="B697">
            <v>4.8</v>
          </cell>
        </row>
        <row r="698">
          <cell r="A698">
            <v>52707</v>
          </cell>
          <cell r="B698">
            <v>5.4</v>
          </cell>
        </row>
        <row r="699">
          <cell r="A699">
            <v>52807</v>
          </cell>
          <cell r="B699">
            <v>5.4</v>
          </cell>
        </row>
        <row r="700">
          <cell r="A700">
            <v>52807</v>
          </cell>
          <cell r="B700">
            <v>4.5999999999999996</v>
          </cell>
        </row>
        <row r="701">
          <cell r="A701">
            <v>52907</v>
          </cell>
          <cell r="B701">
            <v>4.5999999999999996</v>
          </cell>
        </row>
        <row r="702">
          <cell r="A702">
            <v>52907</v>
          </cell>
          <cell r="B702">
            <v>5.0999999999999996</v>
          </cell>
        </row>
        <row r="703">
          <cell r="A703">
            <v>53008</v>
          </cell>
          <cell r="B703">
            <v>5.0999999999999996</v>
          </cell>
        </row>
        <row r="704">
          <cell r="A704">
            <v>53008</v>
          </cell>
          <cell r="B704">
            <v>4</v>
          </cell>
        </row>
        <row r="705">
          <cell r="A705">
            <v>53108</v>
          </cell>
          <cell r="B705">
            <v>4</v>
          </cell>
        </row>
        <row r="706">
          <cell r="A706">
            <v>53108</v>
          </cell>
          <cell r="B706">
            <v>3.7</v>
          </cell>
        </row>
        <row r="707">
          <cell r="A707">
            <v>53208</v>
          </cell>
          <cell r="B707">
            <v>3.7</v>
          </cell>
        </row>
        <row r="708">
          <cell r="A708">
            <v>53208</v>
          </cell>
          <cell r="B708">
            <v>4.9000000000000004</v>
          </cell>
        </row>
        <row r="709">
          <cell r="A709">
            <v>53308</v>
          </cell>
          <cell r="B709">
            <v>4.9000000000000004</v>
          </cell>
        </row>
        <row r="710">
          <cell r="A710">
            <v>53308</v>
          </cell>
          <cell r="B710">
            <v>4.5999999999999996</v>
          </cell>
        </row>
        <row r="711">
          <cell r="A711">
            <v>53408</v>
          </cell>
          <cell r="B711">
            <v>4.5999999999999996</v>
          </cell>
        </row>
        <row r="712">
          <cell r="A712">
            <v>53408</v>
          </cell>
          <cell r="B712">
            <v>5.3</v>
          </cell>
        </row>
        <row r="713">
          <cell r="A713">
            <v>53508</v>
          </cell>
          <cell r="B713">
            <v>5.3</v>
          </cell>
        </row>
        <row r="714">
          <cell r="A714">
            <v>53508</v>
          </cell>
          <cell r="B714">
            <v>6.2</v>
          </cell>
        </row>
        <row r="715">
          <cell r="A715">
            <v>53608</v>
          </cell>
          <cell r="B715">
            <v>6.2</v>
          </cell>
        </row>
        <row r="716">
          <cell r="A716">
            <v>53608</v>
          </cell>
          <cell r="B716">
            <v>6.3</v>
          </cell>
        </row>
        <row r="717">
          <cell r="A717">
            <v>53708</v>
          </cell>
          <cell r="B717">
            <v>6.3</v>
          </cell>
        </row>
        <row r="718">
          <cell r="A718">
            <v>53708</v>
          </cell>
          <cell r="B718">
            <v>4.2</v>
          </cell>
        </row>
        <row r="719">
          <cell r="A719">
            <v>53808</v>
          </cell>
          <cell r="B719">
            <v>4.2</v>
          </cell>
        </row>
        <row r="720">
          <cell r="A720">
            <v>53808</v>
          </cell>
          <cell r="B720">
            <v>5.0999999999999996</v>
          </cell>
        </row>
        <row r="721">
          <cell r="A721">
            <v>53908</v>
          </cell>
          <cell r="B721">
            <v>5.0999999999999996</v>
          </cell>
        </row>
        <row r="722">
          <cell r="A722">
            <v>53908</v>
          </cell>
          <cell r="B722">
            <v>5.8</v>
          </cell>
        </row>
        <row r="723">
          <cell r="A723">
            <v>54008</v>
          </cell>
          <cell r="B723">
            <v>5.8</v>
          </cell>
        </row>
        <row r="724">
          <cell r="A724">
            <v>54008</v>
          </cell>
          <cell r="B724">
            <v>5</v>
          </cell>
        </row>
        <row r="725">
          <cell r="A725">
            <v>54108</v>
          </cell>
          <cell r="B725">
            <v>5</v>
          </cell>
        </row>
        <row r="726">
          <cell r="A726">
            <v>54108</v>
          </cell>
          <cell r="B726">
            <v>5.3</v>
          </cell>
        </row>
        <row r="727">
          <cell r="A727">
            <v>54208</v>
          </cell>
          <cell r="B727">
            <v>5.3</v>
          </cell>
        </row>
        <row r="728">
          <cell r="A728">
            <v>54208</v>
          </cell>
          <cell r="B728">
            <v>4.5999999999999996</v>
          </cell>
        </row>
        <row r="729">
          <cell r="A729">
            <v>54308</v>
          </cell>
          <cell r="B729">
            <v>4.5999999999999996</v>
          </cell>
        </row>
        <row r="730">
          <cell r="A730">
            <v>54308</v>
          </cell>
          <cell r="B730">
            <v>5</v>
          </cell>
        </row>
        <row r="731">
          <cell r="A731">
            <v>54408</v>
          </cell>
          <cell r="B731">
            <v>5</v>
          </cell>
        </row>
        <row r="732">
          <cell r="A732">
            <v>54408</v>
          </cell>
          <cell r="B732">
            <v>5.8</v>
          </cell>
        </row>
        <row r="733">
          <cell r="A733">
            <v>54508</v>
          </cell>
          <cell r="B733">
            <v>5.8</v>
          </cell>
        </row>
        <row r="734">
          <cell r="A734">
            <v>54508</v>
          </cell>
          <cell r="B734">
            <v>5.2</v>
          </cell>
        </row>
        <row r="735">
          <cell r="A735">
            <v>54608</v>
          </cell>
          <cell r="B735">
            <v>5.2</v>
          </cell>
        </row>
        <row r="736">
          <cell r="A736">
            <v>54608</v>
          </cell>
          <cell r="B736">
            <v>4.3</v>
          </cell>
        </row>
        <row r="737">
          <cell r="A737">
            <v>54708</v>
          </cell>
          <cell r="B737">
            <v>4.3</v>
          </cell>
        </row>
        <row r="738">
          <cell r="A738">
            <v>54708</v>
          </cell>
          <cell r="B738">
            <v>7.3</v>
          </cell>
        </row>
        <row r="739">
          <cell r="A739">
            <v>54808</v>
          </cell>
          <cell r="B739">
            <v>7.3</v>
          </cell>
        </row>
        <row r="740">
          <cell r="A740">
            <v>54808</v>
          </cell>
          <cell r="B740">
            <v>5.5</v>
          </cell>
        </row>
        <row r="741">
          <cell r="A741">
            <v>54908</v>
          </cell>
          <cell r="B741">
            <v>5.5</v>
          </cell>
        </row>
        <row r="742">
          <cell r="A742">
            <v>54908</v>
          </cell>
          <cell r="B742">
            <v>4.3</v>
          </cell>
        </row>
        <row r="743">
          <cell r="A743">
            <v>55006</v>
          </cell>
          <cell r="B743">
            <v>4.3</v>
          </cell>
        </row>
        <row r="744">
          <cell r="A744">
            <v>55006</v>
          </cell>
          <cell r="B744">
            <v>5.2</v>
          </cell>
        </row>
        <row r="745">
          <cell r="A745">
            <v>55106</v>
          </cell>
          <cell r="B745">
            <v>5.2</v>
          </cell>
        </row>
        <row r="746">
          <cell r="A746">
            <v>55106</v>
          </cell>
          <cell r="B746">
            <v>5.0999999999999996</v>
          </cell>
        </row>
        <row r="747">
          <cell r="A747">
            <v>55206</v>
          </cell>
          <cell r="B747">
            <v>5.0999999999999996</v>
          </cell>
        </row>
        <row r="748">
          <cell r="A748">
            <v>55206</v>
          </cell>
          <cell r="B748">
            <v>4.9000000000000004</v>
          </cell>
        </row>
        <row r="749">
          <cell r="A749">
            <v>55306</v>
          </cell>
          <cell r="B749">
            <v>4.9000000000000004</v>
          </cell>
        </row>
        <row r="750">
          <cell r="A750">
            <v>55306</v>
          </cell>
          <cell r="B750">
            <v>4.5999999999999996</v>
          </cell>
        </row>
        <row r="751">
          <cell r="A751">
            <v>55406</v>
          </cell>
          <cell r="B751">
            <v>4.5999999999999996</v>
          </cell>
        </row>
        <row r="752">
          <cell r="A752">
            <v>55406</v>
          </cell>
          <cell r="B752">
            <v>5.3</v>
          </cell>
        </row>
        <row r="753">
          <cell r="A753">
            <v>55506</v>
          </cell>
          <cell r="B753">
            <v>5.3</v>
          </cell>
        </row>
        <row r="754">
          <cell r="A754">
            <v>55506</v>
          </cell>
          <cell r="B754">
            <v>9.1999999999999993</v>
          </cell>
        </row>
        <row r="755">
          <cell r="A755">
            <v>55606</v>
          </cell>
          <cell r="B755">
            <v>9.1999999999999993</v>
          </cell>
        </row>
        <row r="756">
          <cell r="A756">
            <v>55606</v>
          </cell>
          <cell r="B756">
            <v>6.7</v>
          </cell>
        </row>
        <row r="757">
          <cell r="A757">
            <v>55806</v>
          </cell>
          <cell r="B757">
            <v>6.7</v>
          </cell>
        </row>
        <row r="758">
          <cell r="A758">
            <v>55806</v>
          </cell>
          <cell r="B758">
            <v>5.2</v>
          </cell>
        </row>
        <row r="759">
          <cell r="A759">
            <v>55906</v>
          </cell>
          <cell r="B759">
            <v>5.2</v>
          </cell>
        </row>
        <row r="760">
          <cell r="A760">
            <v>55906</v>
          </cell>
          <cell r="B760">
            <v>13.9</v>
          </cell>
        </row>
        <row r="761">
          <cell r="A761">
            <v>56001</v>
          </cell>
          <cell r="B761">
            <v>13.9</v>
          </cell>
        </row>
        <row r="762">
          <cell r="A762">
            <v>56001</v>
          </cell>
          <cell r="B762">
            <v>10.5</v>
          </cell>
        </row>
        <row r="763">
          <cell r="A763">
            <v>56101</v>
          </cell>
          <cell r="B763">
            <v>10.5</v>
          </cell>
        </row>
        <row r="764">
          <cell r="A764">
            <v>56101</v>
          </cell>
          <cell r="B764">
            <v>11.4</v>
          </cell>
        </row>
        <row r="765">
          <cell r="A765">
            <v>56201</v>
          </cell>
          <cell r="B765">
            <v>11.4</v>
          </cell>
        </row>
        <row r="766">
          <cell r="A766">
            <v>56201</v>
          </cell>
          <cell r="B766">
            <v>8.3000000000000007</v>
          </cell>
        </row>
        <row r="767">
          <cell r="A767">
            <v>56301</v>
          </cell>
          <cell r="B767">
            <v>8.3000000000000007</v>
          </cell>
        </row>
        <row r="768">
          <cell r="A768">
            <v>56301</v>
          </cell>
          <cell r="B768">
            <v>3.8</v>
          </cell>
        </row>
        <row r="769">
          <cell r="A769">
            <v>56401</v>
          </cell>
          <cell r="B769">
            <v>3.8</v>
          </cell>
        </row>
        <row r="770">
          <cell r="A770">
            <v>56401</v>
          </cell>
          <cell r="B770">
            <v>5.4</v>
          </cell>
        </row>
        <row r="771">
          <cell r="A771">
            <v>56501</v>
          </cell>
          <cell r="B771">
            <v>5.4</v>
          </cell>
        </row>
        <row r="772">
          <cell r="A772">
            <v>56501</v>
          </cell>
          <cell r="B772">
            <v>5</v>
          </cell>
        </row>
        <row r="773">
          <cell r="A773">
            <v>56601</v>
          </cell>
          <cell r="B773">
            <v>5</v>
          </cell>
        </row>
        <row r="774">
          <cell r="A774">
            <v>56601</v>
          </cell>
          <cell r="B774">
            <v>5.0999999999999996</v>
          </cell>
        </row>
        <row r="775">
          <cell r="A775">
            <v>56701</v>
          </cell>
          <cell r="B775">
            <v>5.0999999999999996</v>
          </cell>
        </row>
        <row r="776">
          <cell r="A776">
            <v>56701</v>
          </cell>
          <cell r="B776">
            <v>5.4</v>
          </cell>
        </row>
        <row r="777">
          <cell r="A777">
            <v>56801</v>
          </cell>
          <cell r="B777">
            <v>5.4</v>
          </cell>
        </row>
        <row r="778">
          <cell r="A778">
            <v>56801</v>
          </cell>
          <cell r="B778">
            <v>5.0999999999999996</v>
          </cell>
        </row>
        <row r="779">
          <cell r="A779">
            <v>56901</v>
          </cell>
          <cell r="B779">
            <v>5.0999999999999996</v>
          </cell>
        </row>
        <row r="780">
          <cell r="A780">
            <v>56901</v>
          </cell>
          <cell r="B780">
            <v>4.5999999999999996</v>
          </cell>
        </row>
        <row r="781">
          <cell r="A781">
            <v>57003</v>
          </cell>
          <cell r="B781">
            <v>4.5999999999999996</v>
          </cell>
        </row>
        <row r="782">
          <cell r="A782">
            <v>57003</v>
          </cell>
          <cell r="B782">
            <v>3.5</v>
          </cell>
        </row>
        <row r="783">
          <cell r="A783">
            <v>57103</v>
          </cell>
          <cell r="B783">
            <v>3.5</v>
          </cell>
        </row>
        <row r="784">
          <cell r="A784">
            <v>57103</v>
          </cell>
          <cell r="B784">
            <v>5.2</v>
          </cell>
        </row>
        <row r="785">
          <cell r="A785">
            <v>57203</v>
          </cell>
          <cell r="B785">
            <v>5.2</v>
          </cell>
        </row>
        <row r="786">
          <cell r="A786">
            <v>57203</v>
          </cell>
          <cell r="B786">
            <v>4.7</v>
          </cell>
        </row>
        <row r="787">
          <cell r="A787">
            <v>57303</v>
          </cell>
          <cell r="B787">
            <v>4.7</v>
          </cell>
        </row>
        <row r="788">
          <cell r="A788">
            <v>57303</v>
          </cell>
          <cell r="B788">
            <v>5</v>
          </cell>
        </row>
        <row r="789">
          <cell r="A789">
            <v>57403</v>
          </cell>
          <cell r="B789">
            <v>5</v>
          </cell>
        </row>
        <row r="790">
          <cell r="A790">
            <v>57403</v>
          </cell>
          <cell r="B790">
            <v>5.0999999999999996</v>
          </cell>
        </row>
        <row r="791">
          <cell r="A791">
            <v>57503</v>
          </cell>
          <cell r="B791">
            <v>5.0999999999999996</v>
          </cell>
        </row>
        <row r="792">
          <cell r="A792">
            <v>57503</v>
          </cell>
          <cell r="B792">
            <v>4.5</v>
          </cell>
        </row>
        <row r="793">
          <cell r="A793">
            <v>57603</v>
          </cell>
          <cell r="B793">
            <v>4.5</v>
          </cell>
        </row>
        <row r="794">
          <cell r="A794">
            <v>57603</v>
          </cell>
          <cell r="B794">
            <v>6.7</v>
          </cell>
        </row>
        <row r="795">
          <cell r="A795">
            <v>57703</v>
          </cell>
          <cell r="B795">
            <v>6.7</v>
          </cell>
        </row>
        <row r="796">
          <cell r="A796">
            <v>57703</v>
          </cell>
          <cell r="B796">
            <v>5.7</v>
          </cell>
        </row>
        <row r="797">
          <cell r="A797">
            <v>57803</v>
          </cell>
          <cell r="B797">
            <v>5.7</v>
          </cell>
        </row>
        <row r="798">
          <cell r="A798">
            <v>57803</v>
          </cell>
          <cell r="B798">
            <v>5.5</v>
          </cell>
        </row>
        <row r="799">
          <cell r="A799">
            <v>57903</v>
          </cell>
          <cell r="B799">
            <v>5.5</v>
          </cell>
        </row>
        <row r="800">
          <cell r="A800">
            <v>57903</v>
          </cell>
          <cell r="B800">
            <v>4.2</v>
          </cell>
        </row>
        <row r="801">
          <cell r="A801">
            <v>58006</v>
          </cell>
          <cell r="B801">
            <v>4.2</v>
          </cell>
        </row>
        <row r="802">
          <cell r="A802">
            <v>58006</v>
          </cell>
          <cell r="B802">
            <v>3.8</v>
          </cell>
        </row>
        <row r="803">
          <cell r="A803">
            <v>58106</v>
          </cell>
          <cell r="B803">
            <v>3.8</v>
          </cell>
        </row>
        <row r="804">
          <cell r="A804">
            <v>58106</v>
          </cell>
          <cell r="B804">
            <v>5</v>
          </cell>
        </row>
        <row r="805">
          <cell r="A805">
            <v>58206</v>
          </cell>
          <cell r="B805">
            <v>5</v>
          </cell>
        </row>
        <row r="806">
          <cell r="A806">
            <v>58206</v>
          </cell>
          <cell r="B806">
            <v>4.3</v>
          </cell>
        </row>
        <row r="807">
          <cell r="A807">
            <v>58306</v>
          </cell>
          <cell r="B807">
            <v>4.3</v>
          </cell>
        </row>
        <row r="808">
          <cell r="A808">
            <v>58306</v>
          </cell>
          <cell r="B808">
            <v>7.4</v>
          </cell>
        </row>
        <row r="809">
          <cell r="A809">
            <v>58406</v>
          </cell>
          <cell r="B809">
            <v>7.4</v>
          </cell>
        </row>
        <row r="810">
          <cell r="A810">
            <v>58406</v>
          </cell>
          <cell r="B810">
            <v>8.9</v>
          </cell>
        </row>
        <row r="811">
          <cell r="A811">
            <v>58506</v>
          </cell>
          <cell r="B811">
            <v>8.9</v>
          </cell>
        </row>
        <row r="812">
          <cell r="A812">
            <v>58506</v>
          </cell>
          <cell r="B812">
            <v>8.6999999999999993</v>
          </cell>
        </row>
        <row r="813">
          <cell r="A813">
            <v>58606</v>
          </cell>
          <cell r="B813">
            <v>8.6999999999999993</v>
          </cell>
        </row>
        <row r="814">
          <cell r="A814">
            <v>58606</v>
          </cell>
          <cell r="B814">
            <v>4.5</v>
          </cell>
        </row>
        <row r="815">
          <cell r="A815">
            <v>58706</v>
          </cell>
          <cell r="B815">
            <v>4.5</v>
          </cell>
        </row>
        <row r="816">
          <cell r="A816">
            <v>58706</v>
          </cell>
          <cell r="B816">
            <v>5.4</v>
          </cell>
        </row>
        <row r="817">
          <cell r="A817">
            <v>58806</v>
          </cell>
          <cell r="B817">
            <v>5.4</v>
          </cell>
        </row>
        <row r="818">
          <cell r="A818">
            <v>58806</v>
          </cell>
          <cell r="B818">
            <v>5.8</v>
          </cell>
        </row>
        <row r="819">
          <cell r="A819">
            <v>58906</v>
          </cell>
          <cell r="B819">
            <v>5.8</v>
          </cell>
        </row>
        <row r="820">
          <cell r="A820">
            <v>58906</v>
          </cell>
          <cell r="B820">
            <v>4.0999999999999996</v>
          </cell>
        </row>
        <row r="821">
          <cell r="A821">
            <v>59006</v>
          </cell>
          <cell r="B821">
            <v>4.0999999999999996</v>
          </cell>
        </row>
        <row r="822">
          <cell r="A822">
            <v>59006</v>
          </cell>
          <cell r="B822">
            <v>4.8</v>
          </cell>
        </row>
        <row r="823">
          <cell r="A823">
            <v>59030</v>
          </cell>
          <cell r="B823">
            <v>4.8</v>
          </cell>
        </row>
        <row r="824">
          <cell r="A824">
            <v>59030</v>
          </cell>
          <cell r="B824">
            <v>5.0999999999999996</v>
          </cell>
        </row>
        <row r="825">
          <cell r="A825">
            <v>59130</v>
          </cell>
          <cell r="B825">
            <v>5.0999999999999996</v>
          </cell>
        </row>
        <row r="826">
          <cell r="A826">
            <v>59130</v>
          </cell>
          <cell r="B826">
            <v>3.6</v>
          </cell>
        </row>
        <row r="827">
          <cell r="A827">
            <v>59230</v>
          </cell>
          <cell r="B827">
            <v>3.6</v>
          </cell>
        </row>
        <row r="828">
          <cell r="A828">
            <v>59230</v>
          </cell>
          <cell r="B828">
            <v>3.3</v>
          </cell>
        </row>
        <row r="829">
          <cell r="A829">
            <v>59330</v>
          </cell>
          <cell r="B829">
            <v>3.3</v>
          </cell>
        </row>
        <row r="830">
          <cell r="A830">
            <v>59330</v>
          </cell>
          <cell r="B830">
            <v>5.2</v>
          </cell>
        </row>
        <row r="831">
          <cell r="A831">
            <v>59430</v>
          </cell>
          <cell r="B831">
            <v>5.2</v>
          </cell>
        </row>
        <row r="832">
          <cell r="A832">
            <v>59430</v>
          </cell>
          <cell r="B832">
            <v>6.4</v>
          </cell>
        </row>
        <row r="833">
          <cell r="A833">
            <v>59530</v>
          </cell>
          <cell r="B833">
            <v>6.4</v>
          </cell>
        </row>
        <row r="834">
          <cell r="A834">
            <v>59530</v>
          </cell>
          <cell r="B834">
            <v>5.7</v>
          </cell>
        </row>
        <row r="835">
          <cell r="A835">
            <v>59630</v>
          </cell>
          <cell r="B835">
            <v>5.7</v>
          </cell>
        </row>
        <row r="836">
          <cell r="A836">
            <v>59630</v>
          </cell>
          <cell r="B836">
            <v>5.4</v>
          </cell>
        </row>
        <row r="837">
          <cell r="A837">
            <v>59730</v>
          </cell>
          <cell r="B837">
            <v>5.4</v>
          </cell>
        </row>
        <row r="838">
          <cell r="A838">
            <v>59730</v>
          </cell>
          <cell r="B838">
            <v>5.2</v>
          </cell>
        </row>
        <row r="839">
          <cell r="A839">
            <v>59830</v>
          </cell>
          <cell r="B839">
            <v>5.2</v>
          </cell>
        </row>
        <row r="840">
          <cell r="A840">
            <v>59830</v>
          </cell>
          <cell r="B840">
            <v>7.1</v>
          </cell>
        </row>
        <row r="841">
          <cell r="A841">
            <v>59930</v>
          </cell>
          <cell r="B841">
            <v>7.1</v>
          </cell>
        </row>
        <row r="842">
          <cell r="A842">
            <v>59930</v>
          </cell>
          <cell r="B842">
            <v>5.8</v>
          </cell>
        </row>
        <row r="843">
          <cell r="A843">
            <v>60037</v>
          </cell>
          <cell r="B843">
            <v>5.8</v>
          </cell>
        </row>
        <row r="844">
          <cell r="A844">
            <v>60037</v>
          </cell>
          <cell r="B844">
            <v>5.3</v>
          </cell>
        </row>
        <row r="845">
          <cell r="A845">
            <v>60137</v>
          </cell>
          <cell r="B845">
            <v>5.3</v>
          </cell>
        </row>
        <row r="846">
          <cell r="A846">
            <v>60137</v>
          </cell>
          <cell r="B846">
            <v>5.9</v>
          </cell>
        </row>
        <row r="847">
          <cell r="A847">
            <v>60237</v>
          </cell>
          <cell r="B847">
            <v>5.9</v>
          </cell>
        </row>
        <row r="848">
          <cell r="A848">
            <v>60237</v>
          </cell>
          <cell r="B848">
            <v>5.3</v>
          </cell>
        </row>
        <row r="849">
          <cell r="A849">
            <v>60337</v>
          </cell>
          <cell r="B849">
            <v>5.3</v>
          </cell>
        </row>
        <row r="850">
          <cell r="A850">
            <v>60337</v>
          </cell>
          <cell r="B850">
            <v>4.9000000000000004</v>
          </cell>
        </row>
        <row r="851">
          <cell r="A851">
            <v>60437</v>
          </cell>
          <cell r="B851">
            <v>4.9000000000000004</v>
          </cell>
        </row>
        <row r="852">
          <cell r="A852">
            <v>60437</v>
          </cell>
          <cell r="B852">
            <v>6.6</v>
          </cell>
        </row>
        <row r="853">
          <cell r="A853">
            <v>60537</v>
          </cell>
          <cell r="B853">
            <v>6.6</v>
          </cell>
        </row>
        <row r="854">
          <cell r="A854">
            <v>60537</v>
          </cell>
          <cell r="B854">
            <v>3.3</v>
          </cell>
        </row>
        <row r="855">
          <cell r="A855">
            <v>60637</v>
          </cell>
          <cell r="B855">
            <v>3.3</v>
          </cell>
        </row>
        <row r="856">
          <cell r="A856">
            <v>60637</v>
          </cell>
          <cell r="B856">
            <v>3.7</v>
          </cell>
        </row>
        <row r="857">
          <cell r="A857">
            <v>60737</v>
          </cell>
          <cell r="B857">
            <v>3.7</v>
          </cell>
        </row>
        <row r="858">
          <cell r="A858">
            <v>60737</v>
          </cell>
          <cell r="B858">
            <v>3.4</v>
          </cell>
        </row>
        <row r="859">
          <cell r="A859">
            <v>60837</v>
          </cell>
          <cell r="B859">
            <v>3.4</v>
          </cell>
        </row>
        <row r="860">
          <cell r="A860">
            <v>60837</v>
          </cell>
          <cell r="B860">
            <v>4.5999999999999996</v>
          </cell>
        </row>
        <row r="861">
          <cell r="A861">
            <v>61004</v>
          </cell>
          <cell r="B861">
            <v>4.5999999999999996</v>
          </cell>
        </row>
        <row r="862">
          <cell r="A862">
            <v>61004</v>
          </cell>
          <cell r="B862">
            <v>4.5</v>
          </cell>
        </row>
        <row r="863">
          <cell r="A863">
            <v>61104</v>
          </cell>
          <cell r="B863">
            <v>4.5</v>
          </cell>
        </row>
        <row r="864">
          <cell r="A864">
            <v>61104</v>
          </cell>
          <cell r="B864">
            <v>3.8</v>
          </cell>
        </row>
        <row r="865">
          <cell r="A865">
            <v>61204</v>
          </cell>
          <cell r="B865">
            <v>3.8</v>
          </cell>
        </row>
        <row r="866">
          <cell r="A866">
            <v>61204</v>
          </cell>
          <cell r="B866">
            <v>4.9000000000000004</v>
          </cell>
        </row>
        <row r="867">
          <cell r="A867">
            <v>61304</v>
          </cell>
          <cell r="B867">
            <v>4.9000000000000004</v>
          </cell>
        </row>
        <row r="868">
          <cell r="A868">
            <v>61304</v>
          </cell>
          <cell r="B868">
            <v>4.4000000000000004</v>
          </cell>
        </row>
        <row r="869">
          <cell r="A869">
            <v>61404</v>
          </cell>
          <cell r="B869">
            <v>4.4000000000000004</v>
          </cell>
        </row>
        <row r="870">
          <cell r="A870">
            <v>61404</v>
          </cell>
          <cell r="B870">
            <v>4.0999999999999996</v>
          </cell>
        </row>
        <row r="871">
          <cell r="A871">
            <v>61504</v>
          </cell>
          <cell r="B871">
            <v>4.0999999999999996</v>
          </cell>
        </row>
        <row r="872">
          <cell r="A872">
            <v>61504</v>
          </cell>
          <cell r="B872">
            <v>3.4</v>
          </cell>
        </row>
        <row r="873">
          <cell r="A873">
            <v>61604</v>
          </cell>
          <cell r="B873">
            <v>3.4</v>
          </cell>
        </row>
        <row r="874">
          <cell r="A874">
            <v>61604</v>
          </cell>
          <cell r="B874">
            <v>3.9</v>
          </cell>
        </row>
        <row r="875">
          <cell r="A875">
            <v>61704</v>
          </cell>
          <cell r="B875">
            <v>3.9</v>
          </cell>
        </row>
        <row r="876">
          <cell r="A876">
            <v>61704</v>
          </cell>
          <cell r="B876">
            <v>5.5</v>
          </cell>
        </row>
        <row r="877">
          <cell r="A877">
            <v>61904</v>
          </cell>
          <cell r="B877">
            <v>5.5</v>
          </cell>
        </row>
        <row r="878">
          <cell r="A878">
            <v>61904</v>
          </cell>
          <cell r="B878">
            <v>7.2</v>
          </cell>
        </row>
        <row r="879">
          <cell r="A879">
            <v>62050</v>
          </cell>
          <cell r="B879">
            <v>7.2</v>
          </cell>
        </row>
        <row r="880">
          <cell r="A880">
            <v>62050</v>
          </cell>
          <cell r="B880">
            <v>5.8</v>
          </cell>
        </row>
        <row r="881">
          <cell r="A881">
            <v>62150</v>
          </cell>
          <cell r="B881">
            <v>5.8</v>
          </cell>
        </row>
        <row r="882">
          <cell r="A882">
            <v>62150</v>
          </cell>
          <cell r="B882">
            <v>4.5</v>
          </cell>
        </row>
        <row r="883">
          <cell r="A883">
            <v>62250</v>
          </cell>
          <cell r="B883">
            <v>4.5</v>
          </cell>
        </row>
        <row r="884">
          <cell r="A884">
            <v>62250</v>
          </cell>
          <cell r="B884">
            <v>3.3</v>
          </cell>
        </row>
        <row r="885">
          <cell r="A885">
            <v>62350</v>
          </cell>
          <cell r="B885">
            <v>3.3</v>
          </cell>
        </row>
        <row r="886">
          <cell r="A886">
            <v>62350</v>
          </cell>
          <cell r="B886">
            <v>3.6</v>
          </cell>
        </row>
        <row r="887">
          <cell r="A887">
            <v>62450</v>
          </cell>
          <cell r="B887">
            <v>3.6</v>
          </cell>
        </row>
        <row r="888">
          <cell r="A888">
            <v>62450</v>
          </cell>
          <cell r="B888">
            <v>2</v>
          </cell>
        </row>
        <row r="889">
          <cell r="A889">
            <v>62550</v>
          </cell>
          <cell r="B889">
            <v>2</v>
          </cell>
        </row>
        <row r="890">
          <cell r="A890">
            <v>62550</v>
          </cell>
          <cell r="B890">
            <v>2.5</v>
          </cell>
        </row>
        <row r="891">
          <cell r="A891">
            <v>62650</v>
          </cell>
          <cell r="B891">
            <v>2.5</v>
          </cell>
        </row>
        <row r="892">
          <cell r="A892">
            <v>62650</v>
          </cell>
          <cell r="B892">
            <v>2.9</v>
          </cell>
        </row>
        <row r="893">
          <cell r="A893">
            <v>62850</v>
          </cell>
          <cell r="B893">
            <v>2.9</v>
          </cell>
        </row>
        <row r="894">
          <cell r="A894">
            <v>62850</v>
          </cell>
          <cell r="B894">
            <v>2.2999999999999998</v>
          </cell>
        </row>
        <row r="895">
          <cell r="A895">
            <v>62950</v>
          </cell>
          <cell r="B895">
            <v>2.2999999999999998</v>
          </cell>
        </row>
        <row r="896">
          <cell r="A896">
            <v>62950</v>
          </cell>
          <cell r="B896">
            <v>3.8</v>
          </cell>
        </row>
        <row r="897">
          <cell r="A897">
            <v>63050</v>
          </cell>
          <cell r="B897">
            <v>3.8</v>
          </cell>
        </row>
        <row r="898">
          <cell r="A898">
            <v>63050</v>
          </cell>
          <cell r="B898">
            <v>3</v>
          </cell>
        </row>
        <row r="899">
          <cell r="A899">
            <v>63121</v>
          </cell>
          <cell r="B899">
            <v>3</v>
          </cell>
        </row>
        <row r="900">
          <cell r="A900">
            <v>63121</v>
          </cell>
          <cell r="B900">
            <v>3.5</v>
          </cell>
        </row>
        <row r="901">
          <cell r="A901">
            <v>63221</v>
          </cell>
          <cell r="B901">
            <v>3.5</v>
          </cell>
        </row>
        <row r="902">
          <cell r="A902">
            <v>63221</v>
          </cell>
          <cell r="B902">
            <v>3.9</v>
          </cell>
        </row>
        <row r="903">
          <cell r="A903">
            <v>63321</v>
          </cell>
          <cell r="B903">
            <v>3.9</v>
          </cell>
        </row>
        <row r="904">
          <cell r="A904">
            <v>63321</v>
          </cell>
          <cell r="B904">
            <v>4.9000000000000004</v>
          </cell>
        </row>
        <row r="905">
          <cell r="A905">
            <v>63421</v>
          </cell>
          <cell r="B905">
            <v>4.9000000000000004</v>
          </cell>
        </row>
        <row r="906">
          <cell r="A906">
            <v>63421</v>
          </cell>
          <cell r="B906">
            <v>5.2</v>
          </cell>
        </row>
        <row r="907">
          <cell r="A907">
            <v>63621</v>
          </cell>
          <cell r="B907">
            <v>5.2</v>
          </cell>
        </row>
        <row r="908">
          <cell r="A908">
            <v>63621</v>
          </cell>
          <cell r="B908">
            <v>4.8</v>
          </cell>
        </row>
        <row r="909">
          <cell r="A909">
            <v>63721</v>
          </cell>
          <cell r="B909">
            <v>4.8</v>
          </cell>
        </row>
        <row r="910">
          <cell r="A910">
            <v>63721</v>
          </cell>
          <cell r="B910">
            <v>4.3</v>
          </cell>
        </row>
        <row r="911">
          <cell r="A911">
            <v>63821</v>
          </cell>
          <cell r="B911">
            <v>4.3</v>
          </cell>
        </row>
        <row r="912">
          <cell r="A912">
            <v>63821</v>
          </cell>
          <cell r="B912">
            <v>3.9</v>
          </cell>
        </row>
        <row r="913">
          <cell r="A913">
            <v>64030</v>
          </cell>
          <cell r="B913">
            <v>3.9</v>
          </cell>
        </row>
        <row r="914">
          <cell r="A914">
            <v>64030</v>
          </cell>
          <cell r="B914">
            <v>3.4</v>
          </cell>
        </row>
        <row r="915">
          <cell r="A915">
            <v>64130</v>
          </cell>
          <cell r="B915">
            <v>3.4</v>
          </cell>
        </row>
        <row r="916">
          <cell r="A916">
            <v>64130</v>
          </cell>
          <cell r="B916">
            <v>3.2</v>
          </cell>
        </row>
        <row r="917">
          <cell r="A917">
            <v>64330</v>
          </cell>
          <cell r="B917">
            <v>3.2</v>
          </cell>
        </row>
        <row r="918">
          <cell r="A918">
            <v>64330</v>
          </cell>
          <cell r="B918">
            <v>3.4</v>
          </cell>
        </row>
        <row r="919">
          <cell r="A919">
            <v>64430</v>
          </cell>
          <cell r="B919">
            <v>3.4</v>
          </cell>
        </row>
        <row r="920">
          <cell r="A920">
            <v>64430</v>
          </cell>
          <cell r="B920">
            <v>3.7</v>
          </cell>
        </row>
        <row r="921">
          <cell r="A921">
            <v>64530</v>
          </cell>
          <cell r="B921">
            <v>3.7</v>
          </cell>
        </row>
        <row r="922">
          <cell r="A922">
            <v>64530</v>
          </cell>
          <cell r="B922">
            <v>2.9</v>
          </cell>
        </row>
        <row r="923">
          <cell r="A923">
            <v>64630</v>
          </cell>
          <cell r="B923">
            <v>2.9</v>
          </cell>
        </row>
        <row r="924">
          <cell r="A924">
            <v>64630</v>
          </cell>
          <cell r="B924">
            <v>2.2999999999999998</v>
          </cell>
        </row>
        <row r="925">
          <cell r="A925">
            <v>64730</v>
          </cell>
          <cell r="B925">
            <v>2.2999999999999998</v>
          </cell>
        </row>
        <row r="926">
          <cell r="A926">
            <v>64730</v>
          </cell>
          <cell r="B926">
            <v>2.2000000000000002</v>
          </cell>
        </row>
        <row r="927">
          <cell r="A927">
            <v>64830</v>
          </cell>
          <cell r="B927">
            <v>2.2000000000000002</v>
          </cell>
        </row>
        <row r="928">
          <cell r="A928">
            <v>64830</v>
          </cell>
          <cell r="B928">
            <v>3</v>
          </cell>
        </row>
        <row r="929">
          <cell r="A929">
            <v>65036</v>
          </cell>
          <cell r="B929">
            <v>3</v>
          </cell>
        </row>
        <row r="930">
          <cell r="A930">
            <v>65036</v>
          </cell>
          <cell r="B930">
            <v>3.1</v>
          </cell>
        </row>
        <row r="931">
          <cell r="A931">
            <v>65136</v>
          </cell>
          <cell r="B931">
            <v>3.1</v>
          </cell>
        </row>
        <row r="932">
          <cell r="A932">
            <v>65136</v>
          </cell>
          <cell r="B932">
            <v>4</v>
          </cell>
        </row>
        <row r="933">
          <cell r="A933">
            <v>65236</v>
          </cell>
          <cell r="B933">
            <v>4</v>
          </cell>
        </row>
        <row r="934">
          <cell r="A934">
            <v>65236</v>
          </cell>
          <cell r="B934">
            <v>4.0999999999999996</v>
          </cell>
        </row>
        <row r="935">
          <cell r="A935">
            <v>65336</v>
          </cell>
          <cell r="B935">
            <v>4.0999999999999996</v>
          </cell>
        </row>
        <row r="936">
          <cell r="A936">
            <v>65336</v>
          </cell>
          <cell r="B936">
            <v>4.3</v>
          </cell>
        </row>
        <row r="937">
          <cell r="A937">
            <v>65427</v>
          </cell>
          <cell r="B937">
            <v>4.3</v>
          </cell>
        </row>
        <row r="938">
          <cell r="A938">
            <v>65427</v>
          </cell>
          <cell r="B938">
            <v>2.4</v>
          </cell>
        </row>
        <row r="939">
          <cell r="A939">
            <v>65527</v>
          </cell>
          <cell r="B939">
            <v>2.4</v>
          </cell>
        </row>
        <row r="940">
          <cell r="A940">
            <v>65527</v>
          </cell>
          <cell r="B940">
            <v>2.8</v>
          </cell>
        </row>
        <row r="941">
          <cell r="A941">
            <v>65611</v>
          </cell>
          <cell r="B941">
            <v>2.8</v>
          </cell>
        </row>
        <row r="942">
          <cell r="A942">
            <v>65611</v>
          </cell>
          <cell r="B942">
            <v>2</v>
          </cell>
        </row>
        <row r="943">
          <cell r="A943">
            <v>65711</v>
          </cell>
          <cell r="B943">
            <v>2</v>
          </cell>
        </row>
        <row r="944">
          <cell r="A944">
            <v>65711</v>
          </cell>
          <cell r="B944">
            <v>1.2</v>
          </cell>
        </row>
        <row r="945">
          <cell r="A945">
            <v>65811</v>
          </cell>
          <cell r="B945">
            <v>1.2</v>
          </cell>
        </row>
        <row r="946">
          <cell r="A946">
            <v>65811</v>
          </cell>
          <cell r="B946">
            <v>3.3</v>
          </cell>
        </row>
        <row r="947">
          <cell r="A947">
            <v>65911</v>
          </cell>
          <cell r="B947">
            <v>3.3</v>
          </cell>
        </row>
        <row r="948">
          <cell r="A948">
            <v>65911</v>
          </cell>
          <cell r="B948">
            <v>23.1</v>
          </cell>
        </row>
        <row r="949">
          <cell r="A949">
            <v>66009</v>
          </cell>
          <cell r="B949">
            <v>23.1</v>
          </cell>
        </row>
        <row r="950">
          <cell r="A950">
            <v>66009</v>
          </cell>
          <cell r="B950">
            <v>25.3</v>
          </cell>
        </row>
        <row r="951">
          <cell r="A951">
            <v>66209</v>
          </cell>
          <cell r="B951">
            <v>25.3</v>
          </cell>
        </row>
        <row r="952">
          <cell r="A952">
            <v>66209</v>
          </cell>
          <cell r="B952">
            <v>25.6</v>
          </cell>
        </row>
        <row r="953">
          <cell r="A953">
            <v>66309</v>
          </cell>
          <cell r="B953">
            <v>25.6</v>
          </cell>
        </row>
        <row r="954">
          <cell r="A954">
            <v>66309</v>
          </cell>
          <cell r="B954">
            <v>18.8</v>
          </cell>
        </row>
        <row r="955">
          <cell r="A955">
            <v>66409</v>
          </cell>
          <cell r="B955">
            <v>18.8</v>
          </cell>
        </row>
        <row r="956">
          <cell r="A956">
            <v>66409</v>
          </cell>
          <cell r="B956">
            <v>15.9</v>
          </cell>
        </row>
        <row r="957">
          <cell r="A957">
            <v>66509</v>
          </cell>
          <cell r="B957">
            <v>15.9</v>
          </cell>
        </row>
        <row r="958">
          <cell r="A958">
            <v>66509</v>
          </cell>
          <cell r="B958">
            <v>18.3</v>
          </cell>
        </row>
        <row r="959">
          <cell r="A959">
            <v>68025</v>
          </cell>
          <cell r="B959">
            <v>18.3</v>
          </cell>
        </row>
        <row r="960">
          <cell r="A960">
            <v>68025</v>
          </cell>
          <cell r="B960">
            <v>6.2</v>
          </cell>
        </row>
        <row r="961">
          <cell r="A961">
            <v>68068</v>
          </cell>
          <cell r="B961">
            <v>6.2</v>
          </cell>
        </row>
        <row r="962">
          <cell r="A962">
            <v>68068</v>
          </cell>
          <cell r="B962">
            <v>3.3</v>
          </cell>
        </row>
        <row r="963">
          <cell r="A963">
            <v>68168</v>
          </cell>
          <cell r="B963">
            <v>3.3</v>
          </cell>
        </row>
        <row r="964">
          <cell r="A964">
            <v>68168</v>
          </cell>
          <cell r="B964">
            <v>6.1</v>
          </cell>
        </row>
        <row r="965">
          <cell r="A965">
            <v>68268</v>
          </cell>
          <cell r="B965">
            <v>6.1</v>
          </cell>
        </row>
        <row r="966">
          <cell r="A966">
            <v>68268</v>
          </cell>
          <cell r="B966">
            <v>17.2</v>
          </cell>
        </row>
        <row r="967">
          <cell r="A967">
            <v>68368</v>
          </cell>
          <cell r="B967">
            <v>17.2</v>
          </cell>
        </row>
        <row r="968">
          <cell r="A968">
            <v>68368</v>
          </cell>
          <cell r="B968">
            <v>24</v>
          </cell>
        </row>
        <row r="969">
          <cell r="A969">
            <v>68468</v>
          </cell>
          <cell r="B969">
            <v>24</v>
          </cell>
        </row>
        <row r="970">
          <cell r="A970">
            <v>68468</v>
          </cell>
          <cell r="B970">
            <v>25.8</v>
          </cell>
        </row>
        <row r="971">
          <cell r="A971">
            <v>68568</v>
          </cell>
          <cell r="B971">
            <v>25.8</v>
          </cell>
        </row>
        <row r="972">
          <cell r="A972">
            <v>68568</v>
          </cell>
          <cell r="B972">
            <v>28.3</v>
          </cell>
        </row>
        <row r="973">
          <cell r="A973">
            <v>68668</v>
          </cell>
          <cell r="B973">
            <v>28.3</v>
          </cell>
        </row>
        <row r="974">
          <cell r="A974">
            <v>68668</v>
          </cell>
          <cell r="B974">
            <v>23.3</v>
          </cell>
        </row>
        <row r="975">
          <cell r="A975">
            <v>68768</v>
          </cell>
          <cell r="B975">
            <v>23.3</v>
          </cell>
        </row>
        <row r="976">
          <cell r="A976">
            <v>68768</v>
          </cell>
          <cell r="B976">
            <v>21.1</v>
          </cell>
        </row>
        <row r="977">
          <cell r="A977">
            <v>68868</v>
          </cell>
          <cell r="B977">
            <v>21.1</v>
          </cell>
        </row>
        <row r="978">
          <cell r="A978">
            <v>68868</v>
          </cell>
          <cell r="B978">
            <v>14.2</v>
          </cell>
        </row>
        <row r="979">
          <cell r="A979">
            <v>68968</v>
          </cell>
          <cell r="B979">
            <v>14.2</v>
          </cell>
        </row>
        <row r="980">
          <cell r="A980">
            <v>68968</v>
          </cell>
          <cell r="B980">
            <v>20.2</v>
          </cell>
        </row>
        <row r="981">
          <cell r="A981">
            <v>68989</v>
          </cell>
          <cell r="B981">
            <v>20.2</v>
          </cell>
        </row>
        <row r="982">
          <cell r="A982">
            <v>68989</v>
          </cell>
          <cell r="B982">
            <v>9.6999999999999993</v>
          </cell>
        </row>
        <row r="983">
          <cell r="A983">
            <v>69078</v>
          </cell>
          <cell r="B983">
            <v>9.6999999999999993</v>
          </cell>
        </row>
        <row r="984">
          <cell r="A984">
            <v>69078</v>
          </cell>
          <cell r="B984">
            <v>11.6</v>
          </cell>
        </row>
        <row r="985">
          <cell r="A985">
            <v>69178</v>
          </cell>
          <cell r="B985">
            <v>11.6</v>
          </cell>
        </row>
        <row r="986">
          <cell r="A986">
            <v>69178</v>
          </cell>
          <cell r="B986">
            <v>9.9</v>
          </cell>
        </row>
        <row r="987">
          <cell r="A987">
            <v>69278</v>
          </cell>
          <cell r="B987">
            <v>9.9</v>
          </cell>
        </row>
        <row r="988">
          <cell r="A988">
            <v>69278</v>
          </cell>
          <cell r="B988">
            <v>7.7</v>
          </cell>
        </row>
        <row r="989">
          <cell r="A989">
            <v>69378</v>
          </cell>
          <cell r="B989">
            <v>7.7</v>
          </cell>
        </row>
        <row r="990">
          <cell r="A990">
            <v>69378</v>
          </cell>
          <cell r="B990">
            <v>15.2</v>
          </cell>
        </row>
        <row r="991">
          <cell r="A991">
            <v>69478</v>
          </cell>
          <cell r="B991">
            <v>15.2</v>
          </cell>
        </row>
        <row r="992">
          <cell r="A992">
            <v>69478</v>
          </cell>
          <cell r="B992">
            <v>14.6</v>
          </cell>
        </row>
        <row r="993">
          <cell r="A993">
            <v>69578</v>
          </cell>
          <cell r="B993">
            <v>14.6</v>
          </cell>
        </row>
        <row r="994">
          <cell r="A994">
            <v>69578</v>
          </cell>
          <cell r="B994">
            <v>8.6999999999999993</v>
          </cell>
        </row>
        <row r="995">
          <cell r="A995">
            <v>69678</v>
          </cell>
          <cell r="B995">
            <v>8.6999999999999993</v>
          </cell>
        </row>
        <row r="996">
          <cell r="A996">
            <v>69678</v>
          </cell>
          <cell r="B996">
            <v>5.7</v>
          </cell>
        </row>
        <row r="997">
          <cell r="A997">
            <v>69778</v>
          </cell>
          <cell r="B997">
            <v>5.7</v>
          </cell>
        </row>
        <row r="998">
          <cell r="A998">
            <v>69778</v>
          </cell>
          <cell r="B998">
            <v>5.9</v>
          </cell>
        </row>
        <row r="999">
          <cell r="A999">
            <v>69878</v>
          </cell>
          <cell r="B999">
            <v>5.9</v>
          </cell>
        </row>
        <row r="1000">
          <cell r="A1000">
            <v>69878</v>
          </cell>
          <cell r="B1000">
            <v>6</v>
          </cell>
        </row>
        <row r="1001">
          <cell r="A1001">
            <v>70008</v>
          </cell>
          <cell r="B1001">
            <v>6</v>
          </cell>
        </row>
        <row r="1002">
          <cell r="A1002">
            <v>70008</v>
          </cell>
          <cell r="B1002">
            <v>5.8</v>
          </cell>
        </row>
        <row r="1003">
          <cell r="A1003">
            <v>70108</v>
          </cell>
          <cell r="B1003">
            <v>5.8</v>
          </cell>
        </row>
        <row r="1004">
          <cell r="A1004">
            <v>70108</v>
          </cell>
          <cell r="B1004">
            <v>12.3</v>
          </cell>
        </row>
        <row r="1005">
          <cell r="A1005">
            <v>70208</v>
          </cell>
          <cell r="B1005">
            <v>12.3</v>
          </cell>
        </row>
        <row r="1006">
          <cell r="A1006">
            <v>70208</v>
          </cell>
          <cell r="B1006">
            <v>15.6</v>
          </cell>
        </row>
        <row r="1007">
          <cell r="A1007">
            <v>70308</v>
          </cell>
          <cell r="B1007">
            <v>15.6</v>
          </cell>
        </row>
        <row r="1008">
          <cell r="A1008">
            <v>70308</v>
          </cell>
          <cell r="B1008">
            <v>9</v>
          </cell>
        </row>
        <row r="1009">
          <cell r="A1009">
            <v>70408</v>
          </cell>
          <cell r="B1009">
            <v>9</v>
          </cell>
        </row>
        <row r="1010">
          <cell r="A1010">
            <v>70408</v>
          </cell>
          <cell r="B1010">
            <v>10.5</v>
          </cell>
        </row>
        <row r="1011">
          <cell r="A1011">
            <v>70450</v>
          </cell>
          <cell r="B1011">
            <v>10.5</v>
          </cell>
        </row>
        <row r="1012">
          <cell r="A1012">
            <v>70450</v>
          </cell>
          <cell r="B1012">
            <v>12.4</v>
          </cell>
        </row>
        <row r="1013">
          <cell r="A1013">
            <v>70550</v>
          </cell>
          <cell r="B1013">
            <v>12.4</v>
          </cell>
        </row>
        <row r="1014">
          <cell r="A1014">
            <v>70550</v>
          </cell>
          <cell r="B1014">
            <v>22.3</v>
          </cell>
        </row>
        <row r="1015">
          <cell r="A1015">
            <v>70650</v>
          </cell>
          <cell r="B1015">
            <v>22.3</v>
          </cell>
        </row>
        <row r="1016">
          <cell r="A1016">
            <v>70650</v>
          </cell>
          <cell r="B1016">
            <v>22.4</v>
          </cell>
        </row>
        <row r="1017">
          <cell r="A1017">
            <v>70750</v>
          </cell>
          <cell r="B1017">
            <v>22.4</v>
          </cell>
        </row>
        <row r="1018">
          <cell r="A1018">
            <v>70750</v>
          </cell>
          <cell r="B1018">
            <v>21.8</v>
          </cell>
        </row>
        <row r="1019">
          <cell r="A1019">
            <v>70850</v>
          </cell>
          <cell r="B1019">
            <v>21.8</v>
          </cell>
        </row>
        <row r="1020">
          <cell r="A1020">
            <v>70850</v>
          </cell>
          <cell r="B1020">
            <v>17.600000000000001</v>
          </cell>
        </row>
        <row r="1021">
          <cell r="A1021">
            <v>70950</v>
          </cell>
          <cell r="B1021">
            <v>17.600000000000001</v>
          </cell>
        </row>
        <row r="1022">
          <cell r="A1022">
            <v>70950</v>
          </cell>
          <cell r="B1022">
            <v>14.8</v>
          </cell>
        </row>
        <row r="1023">
          <cell r="A1023">
            <v>71034</v>
          </cell>
          <cell r="B1023">
            <v>14.8</v>
          </cell>
        </row>
        <row r="1024">
          <cell r="A1024">
            <v>71034</v>
          </cell>
          <cell r="B1024">
            <v>13.6</v>
          </cell>
        </row>
        <row r="1025">
          <cell r="A1025">
            <v>71134</v>
          </cell>
          <cell r="B1025">
            <v>13.6</v>
          </cell>
        </row>
        <row r="1026">
          <cell r="A1026">
            <v>71134</v>
          </cell>
          <cell r="B1026">
            <v>12.6</v>
          </cell>
        </row>
        <row r="1027">
          <cell r="A1027">
            <v>71234</v>
          </cell>
          <cell r="B1027">
            <v>12.6</v>
          </cell>
        </row>
        <row r="1028">
          <cell r="A1028">
            <v>71234</v>
          </cell>
          <cell r="B1028">
            <v>17</v>
          </cell>
        </row>
        <row r="1029">
          <cell r="A1029">
            <v>71334</v>
          </cell>
          <cell r="B1029">
            <v>17</v>
          </cell>
        </row>
        <row r="1030">
          <cell r="A1030">
            <v>71334</v>
          </cell>
          <cell r="B1030">
            <v>17.100000000000001</v>
          </cell>
        </row>
        <row r="1031">
          <cell r="A1031">
            <v>71434</v>
          </cell>
          <cell r="B1031">
            <v>17.100000000000001</v>
          </cell>
        </row>
        <row r="1032">
          <cell r="A1032">
            <v>71434</v>
          </cell>
          <cell r="B1032">
            <v>16.399999999999999</v>
          </cell>
        </row>
        <row r="1033">
          <cell r="A1033">
            <v>71534</v>
          </cell>
          <cell r="B1033">
            <v>16.399999999999999</v>
          </cell>
        </row>
        <row r="1034">
          <cell r="A1034">
            <v>71534</v>
          </cell>
          <cell r="B1034">
            <v>16.600000000000001</v>
          </cell>
        </row>
        <row r="1035">
          <cell r="A1035">
            <v>71634</v>
          </cell>
          <cell r="B1035">
            <v>16.600000000000001</v>
          </cell>
        </row>
        <row r="1036">
          <cell r="A1036">
            <v>71634</v>
          </cell>
          <cell r="B1036">
            <v>19.8</v>
          </cell>
        </row>
        <row r="1037">
          <cell r="A1037">
            <v>71734</v>
          </cell>
          <cell r="B1037">
            <v>19.8</v>
          </cell>
        </row>
        <row r="1038">
          <cell r="A1038">
            <v>71734</v>
          </cell>
          <cell r="B1038">
            <v>21.7</v>
          </cell>
        </row>
        <row r="1039">
          <cell r="A1039">
            <v>72083</v>
          </cell>
          <cell r="B1039">
            <v>21.7</v>
          </cell>
        </row>
        <row r="1040">
          <cell r="A1040">
            <v>72083</v>
          </cell>
          <cell r="B1040">
            <v>16.2</v>
          </cell>
        </row>
        <row r="1041">
          <cell r="A1041">
            <v>72183</v>
          </cell>
          <cell r="B1041">
            <v>16.2</v>
          </cell>
        </row>
        <row r="1042">
          <cell r="A1042">
            <v>72183</v>
          </cell>
          <cell r="B1042">
            <v>18.600000000000001</v>
          </cell>
        </row>
        <row r="1043">
          <cell r="A1043">
            <v>72283</v>
          </cell>
          <cell r="B1043">
            <v>18.600000000000001</v>
          </cell>
        </row>
        <row r="1044">
          <cell r="A1044">
            <v>72283</v>
          </cell>
          <cell r="B1044">
            <v>23.7</v>
          </cell>
        </row>
        <row r="1045">
          <cell r="A1045">
            <v>72383</v>
          </cell>
          <cell r="B1045">
            <v>23.7</v>
          </cell>
        </row>
        <row r="1046">
          <cell r="A1046">
            <v>72383</v>
          </cell>
          <cell r="B1046">
            <v>21</v>
          </cell>
        </row>
        <row r="1047">
          <cell r="A1047">
            <v>72483</v>
          </cell>
          <cell r="B1047">
            <v>21</v>
          </cell>
        </row>
        <row r="1048">
          <cell r="A1048">
            <v>72483</v>
          </cell>
          <cell r="B1048">
            <v>21.5</v>
          </cell>
        </row>
        <row r="1049">
          <cell r="A1049">
            <v>72583</v>
          </cell>
          <cell r="B1049">
            <v>21.5</v>
          </cell>
        </row>
        <row r="1050">
          <cell r="A1050">
            <v>72583</v>
          </cell>
          <cell r="B1050">
            <v>24.3</v>
          </cell>
        </row>
        <row r="1051">
          <cell r="A1051">
            <v>72683</v>
          </cell>
          <cell r="B1051">
            <v>24.3</v>
          </cell>
        </row>
        <row r="1052">
          <cell r="A1052">
            <v>72683</v>
          </cell>
          <cell r="B1052">
            <v>14.7</v>
          </cell>
        </row>
        <row r="1053">
          <cell r="A1053">
            <v>72783</v>
          </cell>
          <cell r="B1053">
            <v>14.7</v>
          </cell>
        </row>
        <row r="1054">
          <cell r="A1054">
            <v>72783</v>
          </cell>
          <cell r="B1054">
            <v>12.9</v>
          </cell>
        </row>
        <row r="1055">
          <cell r="A1055">
            <v>72883</v>
          </cell>
          <cell r="B1055">
            <v>12.9</v>
          </cell>
        </row>
        <row r="1056">
          <cell r="A1056">
            <v>72883</v>
          </cell>
          <cell r="B1056">
            <v>12.2</v>
          </cell>
        </row>
        <row r="1057">
          <cell r="A1057">
            <v>72983</v>
          </cell>
          <cell r="B1057">
            <v>12.2</v>
          </cell>
        </row>
        <row r="1058">
          <cell r="A1058">
            <v>72983</v>
          </cell>
          <cell r="B1058">
            <v>14.8</v>
          </cell>
        </row>
        <row r="1059">
          <cell r="A1059">
            <v>73060</v>
          </cell>
          <cell r="B1059">
            <v>14.8</v>
          </cell>
        </row>
        <row r="1060">
          <cell r="A1060">
            <v>73060</v>
          </cell>
          <cell r="B1060">
            <v>10.199999999999999</v>
          </cell>
        </row>
        <row r="1061">
          <cell r="A1061">
            <v>73082</v>
          </cell>
          <cell r="B1061">
            <v>10.199999999999999</v>
          </cell>
        </row>
        <row r="1062">
          <cell r="A1062">
            <v>73082</v>
          </cell>
          <cell r="B1062">
            <v>7.9</v>
          </cell>
        </row>
        <row r="1063">
          <cell r="A1063">
            <v>73182</v>
          </cell>
          <cell r="B1063">
            <v>7.9</v>
          </cell>
        </row>
        <row r="1064">
          <cell r="A1064">
            <v>73182</v>
          </cell>
          <cell r="B1064">
            <v>10.3</v>
          </cell>
        </row>
        <row r="1065">
          <cell r="A1065">
            <v>73282</v>
          </cell>
          <cell r="B1065">
            <v>10.3</v>
          </cell>
        </row>
        <row r="1066">
          <cell r="A1066">
            <v>73282</v>
          </cell>
          <cell r="B1066">
            <v>17.2</v>
          </cell>
        </row>
        <row r="1067">
          <cell r="A1067">
            <v>73382</v>
          </cell>
          <cell r="B1067">
            <v>17.2</v>
          </cell>
        </row>
        <row r="1068">
          <cell r="A1068">
            <v>73382</v>
          </cell>
          <cell r="B1068">
            <v>20.7</v>
          </cell>
        </row>
        <row r="1069">
          <cell r="A1069">
            <v>73482</v>
          </cell>
          <cell r="B1069">
            <v>20.7</v>
          </cell>
        </row>
        <row r="1070">
          <cell r="A1070">
            <v>73482</v>
          </cell>
          <cell r="B1070">
            <v>22.7</v>
          </cell>
        </row>
        <row r="1071">
          <cell r="A1071">
            <v>73582</v>
          </cell>
          <cell r="B1071">
            <v>22.7</v>
          </cell>
        </row>
        <row r="1072">
          <cell r="A1072">
            <v>73582</v>
          </cell>
          <cell r="B1072">
            <v>16.7</v>
          </cell>
        </row>
        <row r="1073">
          <cell r="A1073">
            <v>73682</v>
          </cell>
          <cell r="B1073">
            <v>16.7</v>
          </cell>
        </row>
        <row r="1074">
          <cell r="A1074">
            <v>73682</v>
          </cell>
          <cell r="B1074">
            <v>19.3</v>
          </cell>
        </row>
        <row r="1075">
          <cell r="A1075">
            <v>73782</v>
          </cell>
          <cell r="B1075">
            <v>19.3</v>
          </cell>
        </row>
        <row r="1076">
          <cell r="A1076">
            <v>73782</v>
          </cell>
          <cell r="B1076">
            <v>18</v>
          </cell>
        </row>
        <row r="1077">
          <cell r="A1077">
            <v>73882</v>
          </cell>
          <cell r="B1077">
            <v>18</v>
          </cell>
        </row>
        <row r="1078">
          <cell r="A1078">
            <v>73882</v>
          </cell>
          <cell r="B1078">
            <v>13.5</v>
          </cell>
        </row>
        <row r="1079">
          <cell r="A1079">
            <v>73982</v>
          </cell>
          <cell r="B1079">
            <v>13.5</v>
          </cell>
        </row>
        <row r="1080">
          <cell r="A1080">
            <v>73982</v>
          </cell>
          <cell r="B1080">
            <v>20.8</v>
          </cell>
        </row>
        <row r="1081">
          <cell r="A1081">
            <v>74065</v>
          </cell>
          <cell r="B1081">
            <v>20.8</v>
          </cell>
        </row>
        <row r="1082">
          <cell r="A1082">
            <v>74065</v>
          </cell>
          <cell r="B1082">
            <v>25.6</v>
          </cell>
        </row>
        <row r="1083">
          <cell r="A1083">
            <v>74082</v>
          </cell>
          <cell r="B1083">
            <v>25.6</v>
          </cell>
        </row>
        <row r="1084">
          <cell r="A1084">
            <v>74082</v>
          </cell>
          <cell r="B1084">
            <v>15.3</v>
          </cell>
        </row>
        <row r="1085">
          <cell r="A1085">
            <v>74165</v>
          </cell>
          <cell r="B1085">
            <v>15.3</v>
          </cell>
        </row>
        <row r="1086">
          <cell r="A1086">
            <v>74165</v>
          </cell>
          <cell r="B1086">
            <v>26</v>
          </cell>
        </row>
        <row r="1087">
          <cell r="A1087">
            <v>74265</v>
          </cell>
          <cell r="B1087">
            <v>26</v>
          </cell>
        </row>
        <row r="1088">
          <cell r="A1088">
            <v>74265</v>
          </cell>
          <cell r="B1088">
            <v>21.8</v>
          </cell>
        </row>
        <row r="1089">
          <cell r="A1089">
            <v>74365</v>
          </cell>
          <cell r="B1089">
            <v>21.8</v>
          </cell>
        </row>
        <row r="1090">
          <cell r="A1090">
            <v>74365</v>
          </cell>
          <cell r="B1090">
            <v>16.399999999999999</v>
          </cell>
        </row>
        <row r="1091">
          <cell r="A1091">
            <v>74465</v>
          </cell>
          <cell r="B1091">
            <v>16.399999999999999</v>
          </cell>
        </row>
        <row r="1092">
          <cell r="A1092">
            <v>74465</v>
          </cell>
          <cell r="B1092">
            <v>3.9</v>
          </cell>
        </row>
        <row r="1093">
          <cell r="A1093">
            <v>74565</v>
          </cell>
          <cell r="B1093">
            <v>3.9</v>
          </cell>
        </row>
        <row r="1094">
          <cell r="A1094">
            <v>74565</v>
          </cell>
          <cell r="B1094">
            <v>5.7</v>
          </cell>
        </row>
        <row r="1095">
          <cell r="A1095">
            <v>74665</v>
          </cell>
          <cell r="B1095">
            <v>5.7</v>
          </cell>
        </row>
        <row r="1096">
          <cell r="A1096">
            <v>74665</v>
          </cell>
          <cell r="B1096">
            <v>8.1999999999999993</v>
          </cell>
        </row>
        <row r="1097">
          <cell r="A1097">
            <v>74765</v>
          </cell>
          <cell r="B1097">
            <v>8.1999999999999993</v>
          </cell>
        </row>
        <row r="1098">
          <cell r="A1098">
            <v>74765</v>
          </cell>
          <cell r="B1098">
            <v>13.5</v>
          </cell>
        </row>
        <row r="1099">
          <cell r="A1099">
            <v>74965</v>
          </cell>
          <cell r="B1099">
            <v>13.5</v>
          </cell>
        </row>
        <row r="1100">
          <cell r="A1100">
            <v>74965</v>
          </cell>
          <cell r="B1100">
            <v>20.8</v>
          </cell>
        </row>
        <row r="1101">
          <cell r="A1101">
            <v>75078</v>
          </cell>
          <cell r="B1101">
            <v>20.8</v>
          </cell>
        </row>
        <row r="1102">
          <cell r="A1102">
            <v>75078</v>
          </cell>
          <cell r="B1102">
            <v>20.3</v>
          </cell>
        </row>
        <row r="1103">
          <cell r="A1103">
            <v>75178</v>
          </cell>
          <cell r="B1103">
            <v>20.3</v>
          </cell>
        </row>
        <row r="1104">
          <cell r="A1104">
            <v>75178</v>
          </cell>
          <cell r="B1104">
            <v>24.3</v>
          </cell>
        </row>
        <row r="1105">
          <cell r="A1105">
            <v>75278</v>
          </cell>
          <cell r="B1105">
            <v>24.3</v>
          </cell>
        </row>
        <row r="1106">
          <cell r="A1106">
            <v>75278</v>
          </cell>
          <cell r="B1106">
            <v>22.3</v>
          </cell>
        </row>
        <row r="1107">
          <cell r="A1107">
            <v>75378</v>
          </cell>
          <cell r="B1107">
            <v>22.3</v>
          </cell>
        </row>
        <row r="1108">
          <cell r="A1108">
            <v>75378</v>
          </cell>
          <cell r="B1108">
            <v>16.3</v>
          </cell>
        </row>
        <row r="1109">
          <cell r="A1109">
            <v>75478</v>
          </cell>
          <cell r="B1109">
            <v>16.3</v>
          </cell>
        </row>
        <row r="1110">
          <cell r="A1110">
            <v>75478</v>
          </cell>
          <cell r="B1110">
            <v>15.7</v>
          </cell>
        </row>
        <row r="1111">
          <cell r="A1111">
            <v>75578</v>
          </cell>
          <cell r="B1111">
            <v>15.7</v>
          </cell>
        </row>
        <row r="1112">
          <cell r="A1112">
            <v>75578</v>
          </cell>
          <cell r="B1112">
            <v>11.9</v>
          </cell>
        </row>
        <row r="1113">
          <cell r="A1113">
            <v>75678</v>
          </cell>
          <cell r="B1113">
            <v>11.9</v>
          </cell>
        </row>
        <row r="1114">
          <cell r="A1114">
            <v>75678</v>
          </cell>
          <cell r="B1114">
            <v>17.600000000000001</v>
          </cell>
        </row>
        <row r="1115">
          <cell r="A1115">
            <v>75778</v>
          </cell>
          <cell r="B1115">
            <v>17.600000000000001</v>
          </cell>
        </row>
        <row r="1116">
          <cell r="A1116">
            <v>75778</v>
          </cell>
          <cell r="B1116">
            <v>13.2</v>
          </cell>
        </row>
        <row r="1117">
          <cell r="A1117">
            <v>75878</v>
          </cell>
          <cell r="B1117">
            <v>13.2</v>
          </cell>
        </row>
        <row r="1118">
          <cell r="A1118">
            <v>75878</v>
          </cell>
          <cell r="B1118">
            <v>10</v>
          </cell>
        </row>
        <row r="1119">
          <cell r="A1119">
            <v>75978</v>
          </cell>
          <cell r="B1119">
            <v>10</v>
          </cell>
        </row>
        <row r="1120">
          <cell r="A1120">
            <v>75978</v>
          </cell>
          <cell r="B1120">
            <v>9.6999999999999993</v>
          </cell>
        </row>
        <row r="1121">
          <cell r="A1121">
            <v>76078</v>
          </cell>
          <cell r="B1121">
            <v>9.6999999999999993</v>
          </cell>
        </row>
        <row r="1122">
          <cell r="A1122">
            <v>76078</v>
          </cell>
          <cell r="B1122">
            <v>8.9</v>
          </cell>
        </row>
        <row r="1123">
          <cell r="A1123">
            <v>76090</v>
          </cell>
          <cell r="B1123">
            <v>8.9</v>
          </cell>
        </row>
        <row r="1124">
          <cell r="A1124">
            <v>76090</v>
          </cell>
          <cell r="B1124">
            <v>19.2</v>
          </cell>
        </row>
        <row r="1125">
          <cell r="A1125">
            <v>76190</v>
          </cell>
          <cell r="B1125">
            <v>19.2</v>
          </cell>
        </row>
        <row r="1126">
          <cell r="A1126">
            <v>76190</v>
          </cell>
          <cell r="B1126">
            <v>10.6</v>
          </cell>
        </row>
        <row r="1127">
          <cell r="A1127">
            <v>76290</v>
          </cell>
          <cell r="B1127">
            <v>10.6</v>
          </cell>
        </row>
        <row r="1128">
          <cell r="A1128">
            <v>76290</v>
          </cell>
          <cell r="B1128">
            <v>10.7</v>
          </cell>
        </row>
        <row r="1129">
          <cell r="A1129">
            <v>76390</v>
          </cell>
          <cell r="B1129">
            <v>10.7</v>
          </cell>
        </row>
        <row r="1130">
          <cell r="A1130">
            <v>76390</v>
          </cell>
          <cell r="B1130">
            <v>8.3000000000000007</v>
          </cell>
        </row>
        <row r="1131">
          <cell r="A1131">
            <v>76490</v>
          </cell>
          <cell r="B1131">
            <v>8.3000000000000007</v>
          </cell>
        </row>
        <row r="1132">
          <cell r="A1132">
            <v>76490</v>
          </cell>
          <cell r="B1132">
            <v>19.899999999999999</v>
          </cell>
        </row>
        <row r="1133">
          <cell r="A1133">
            <v>76590</v>
          </cell>
          <cell r="B1133">
            <v>19.899999999999999</v>
          </cell>
        </row>
        <row r="1134">
          <cell r="A1134">
            <v>76590</v>
          </cell>
          <cell r="B1134">
            <v>20.6</v>
          </cell>
        </row>
        <row r="1135">
          <cell r="A1135">
            <v>76690</v>
          </cell>
          <cell r="B1135">
            <v>20.6</v>
          </cell>
        </row>
        <row r="1136">
          <cell r="A1136">
            <v>76690</v>
          </cell>
          <cell r="B1136">
            <v>16.5</v>
          </cell>
        </row>
        <row r="1137">
          <cell r="A1137">
            <v>76790</v>
          </cell>
          <cell r="B1137">
            <v>16.5</v>
          </cell>
        </row>
        <row r="1138">
          <cell r="A1138">
            <v>76790</v>
          </cell>
          <cell r="B1138">
            <v>18.7</v>
          </cell>
        </row>
        <row r="1139">
          <cell r="A1139">
            <v>76890</v>
          </cell>
          <cell r="B1139">
            <v>18.7</v>
          </cell>
        </row>
        <row r="1140">
          <cell r="A1140">
            <v>76890</v>
          </cell>
          <cell r="B1140">
            <v>15.1</v>
          </cell>
        </row>
        <row r="1141">
          <cell r="A1141">
            <v>76990</v>
          </cell>
          <cell r="B1141">
            <v>15.1</v>
          </cell>
        </row>
        <row r="1142">
          <cell r="A1142">
            <v>76990</v>
          </cell>
          <cell r="B1142">
            <v>17.5</v>
          </cell>
        </row>
        <row r="1143">
          <cell r="A1143">
            <v>77081</v>
          </cell>
          <cell r="B1143">
            <v>17.5</v>
          </cell>
        </row>
        <row r="1144">
          <cell r="A1144">
            <v>77081</v>
          </cell>
          <cell r="B1144">
            <v>12.8</v>
          </cell>
        </row>
        <row r="1145">
          <cell r="A1145">
            <v>77181</v>
          </cell>
          <cell r="B1145">
            <v>12.8</v>
          </cell>
        </row>
        <row r="1146">
          <cell r="A1146">
            <v>77181</v>
          </cell>
          <cell r="B1146">
            <v>12.2</v>
          </cell>
        </row>
        <row r="1147">
          <cell r="A1147">
            <v>77281</v>
          </cell>
          <cell r="B1147">
            <v>12.2</v>
          </cell>
        </row>
        <row r="1148">
          <cell r="A1148">
            <v>77281</v>
          </cell>
          <cell r="B1148">
            <v>10.8</v>
          </cell>
        </row>
        <row r="1149">
          <cell r="A1149">
            <v>77324</v>
          </cell>
          <cell r="B1149">
            <v>10.8</v>
          </cell>
        </row>
        <row r="1150">
          <cell r="A1150">
            <v>77324</v>
          </cell>
          <cell r="B1150">
            <v>14.1</v>
          </cell>
        </row>
        <row r="1151">
          <cell r="A1151">
            <v>77424</v>
          </cell>
          <cell r="B1151">
            <v>14.1</v>
          </cell>
        </row>
        <row r="1152">
          <cell r="A1152">
            <v>77424</v>
          </cell>
          <cell r="B1152">
            <v>23.1</v>
          </cell>
        </row>
        <row r="1153">
          <cell r="A1153">
            <v>77524</v>
          </cell>
          <cell r="B1153">
            <v>23.1</v>
          </cell>
        </row>
        <row r="1154">
          <cell r="A1154">
            <v>77524</v>
          </cell>
          <cell r="B1154">
            <v>20.6</v>
          </cell>
        </row>
        <row r="1155">
          <cell r="A1155">
            <v>77624</v>
          </cell>
          <cell r="B1155">
            <v>20.6</v>
          </cell>
        </row>
        <row r="1156">
          <cell r="A1156">
            <v>77624</v>
          </cell>
          <cell r="B1156">
            <v>17.5</v>
          </cell>
        </row>
        <row r="1157">
          <cell r="A1157">
            <v>77724</v>
          </cell>
          <cell r="B1157">
            <v>17.5</v>
          </cell>
        </row>
        <row r="1158">
          <cell r="A1158">
            <v>77724</v>
          </cell>
          <cell r="B1158">
            <v>19.899999999999999</v>
          </cell>
        </row>
        <row r="1159">
          <cell r="A1159">
            <v>77824</v>
          </cell>
          <cell r="B1159">
            <v>19.899999999999999</v>
          </cell>
        </row>
        <row r="1160">
          <cell r="A1160">
            <v>77824</v>
          </cell>
          <cell r="B1160">
            <v>15.6</v>
          </cell>
        </row>
        <row r="1161">
          <cell r="A1161">
            <v>77924</v>
          </cell>
          <cell r="B1161">
            <v>15.6</v>
          </cell>
        </row>
        <row r="1162">
          <cell r="A1162">
            <v>77924</v>
          </cell>
          <cell r="B1162">
            <v>14.7</v>
          </cell>
        </row>
        <row r="1163">
          <cell r="A1163">
            <v>78010</v>
          </cell>
          <cell r="B1163">
            <v>14.7</v>
          </cell>
        </row>
        <row r="1164">
          <cell r="A1164">
            <v>78010</v>
          </cell>
          <cell r="B1164">
            <v>12.8</v>
          </cell>
        </row>
        <row r="1165">
          <cell r="A1165">
            <v>78110</v>
          </cell>
          <cell r="B1165">
            <v>12.8</v>
          </cell>
        </row>
        <row r="1166">
          <cell r="A1166">
            <v>78110</v>
          </cell>
          <cell r="B1166">
            <v>13.5</v>
          </cell>
        </row>
        <row r="1167">
          <cell r="A1167">
            <v>78210</v>
          </cell>
          <cell r="B1167">
            <v>13.5</v>
          </cell>
        </row>
        <row r="1168">
          <cell r="A1168">
            <v>78210</v>
          </cell>
          <cell r="B1168">
            <v>13.2</v>
          </cell>
        </row>
        <row r="1169">
          <cell r="A1169">
            <v>78310</v>
          </cell>
          <cell r="B1169">
            <v>13.2</v>
          </cell>
        </row>
        <row r="1170">
          <cell r="A1170">
            <v>78310</v>
          </cell>
          <cell r="B1170">
            <v>19.2</v>
          </cell>
        </row>
        <row r="1171">
          <cell r="A1171">
            <v>78410</v>
          </cell>
          <cell r="B1171">
            <v>19.2</v>
          </cell>
        </row>
        <row r="1172">
          <cell r="A1172">
            <v>78410</v>
          </cell>
          <cell r="B1172">
            <v>14.9</v>
          </cell>
        </row>
        <row r="1173">
          <cell r="A1173">
            <v>78510</v>
          </cell>
          <cell r="B1173">
            <v>14.9</v>
          </cell>
        </row>
        <row r="1174">
          <cell r="A1174">
            <v>78510</v>
          </cell>
          <cell r="B1174">
            <v>15.1</v>
          </cell>
        </row>
        <row r="1175">
          <cell r="A1175">
            <v>78610</v>
          </cell>
          <cell r="B1175">
            <v>15.1</v>
          </cell>
        </row>
        <row r="1176">
          <cell r="A1176">
            <v>78610</v>
          </cell>
          <cell r="B1176">
            <v>16</v>
          </cell>
        </row>
        <row r="1177">
          <cell r="A1177">
            <v>78710</v>
          </cell>
          <cell r="B1177">
            <v>16</v>
          </cell>
        </row>
        <row r="1178">
          <cell r="A1178">
            <v>78710</v>
          </cell>
          <cell r="B1178">
            <v>11.8</v>
          </cell>
        </row>
        <row r="1179">
          <cell r="A1179">
            <v>78810</v>
          </cell>
          <cell r="B1179">
            <v>11.8</v>
          </cell>
        </row>
        <row r="1180">
          <cell r="A1180">
            <v>78810</v>
          </cell>
          <cell r="B1180">
            <v>13.2</v>
          </cell>
        </row>
        <row r="1181">
          <cell r="A1181">
            <v>78910</v>
          </cell>
          <cell r="B1181">
            <v>13.2</v>
          </cell>
        </row>
        <row r="1182">
          <cell r="A1182">
            <v>78910</v>
          </cell>
          <cell r="B1182">
            <v>10.6</v>
          </cell>
        </row>
        <row r="1183">
          <cell r="A1183">
            <v>79010</v>
          </cell>
          <cell r="B1183">
            <v>10.6</v>
          </cell>
        </row>
        <row r="1184">
          <cell r="A1184">
            <v>79010</v>
          </cell>
          <cell r="B1184">
            <v>10.4</v>
          </cell>
        </row>
        <row r="1185">
          <cell r="A1185">
            <v>79047</v>
          </cell>
          <cell r="B1185">
            <v>10.4</v>
          </cell>
        </row>
        <row r="1186">
          <cell r="A1186">
            <v>79047</v>
          </cell>
          <cell r="B1186">
            <v>9.6999999999999993</v>
          </cell>
        </row>
        <row r="1187">
          <cell r="A1187">
            <v>79147</v>
          </cell>
          <cell r="B1187">
            <v>9.6999999999999993</v>
          </cell>
        </row>
        <row r="1188">
          <cell r="A1188">
            <v>79147</v>
          </cell>
          <cell r="B1188">
            <v>10.7</v>
          </cell>
        </row>
        <row r="1189">
          <cell r="A1189">
            <v>79247</v>
          </cell>
          <cell r="B1189">
            <v>10.7</v>
          </cell>
        </row>
        <row r="1190">
          <cell r="A1190">
            <v>79247</v>
          </cell>
          <cell r="B1190">
            <v>9.6999999999999993</v>
          </cell>
        </row>
        <row r="1191">
          <cell r="A1191">
            <v>79347</v>
          </cell>
          <cell r="B1191">
            <v>9.6999999999999993</v>
          </cell>
        </row>
        <row r="1192">
          <cell r="A1192">
            <v>79347</v>
          </cell>
          <cell r="B1192">
            <v>9.1</v>
          </cell>
        </row>
        <row r="1193">
          <cell r="A1193">
            <v>79447</v>
          </cell>
          <cell r="B1193">
            <v>9.1</v>
          </cell>
        </row>
        <row r="1194">
          <cell r="A1194">
            <v>79447</v>
          </cell>
          <cell r="B1194">
            <v>10.4</v>
          </cell>
        </row>
        <row r="1195">
          <cell r="A1195">
            <v>79547</v>
          </cell>
          <cell r="B1195">
            <v>10.4</v>
          </cell>
        </row>
        <row r="1196">
          <cell r="A1196">
            <v>79547</v>
          </cell>
          <cell r="B1196">
            <v>8.1</v>
          </cell>
        </row>
        <row r="1197">
          <cell r="A1197">
            <v>79647</v>
          </cell>
          <cell r="B1197">
            <v>8.1</v>
          </cell>
        </row>
        <row r="1198">
          <cell r="A1198">
            <v>79647</v>
          </cell>
          <cell r="B1198">
            <v>9.4</v>
          </cell>
        </row>
        <row r="1199">
          <cell r="A1199">
            <v>79747</v>
          </cell>
          <cell r="B1199">
            <v>9.4</v>
          </cell>
        </row>
        <row r="1200">
          <cell r="A1200">
            <v>79747</v>
          </cell>
          <cell r="B1200">
            <v>11.1</v>
          </cell>
        </row>
        <row r="1201">
          <cell r="A1201">
            <v>79847</v>
          </cell>
          <cell r="B1201">
            <v>11.1</v>
          </cell>
        </row>
        <row r="1202">
          <cell r="A1202">
            <v>79847</v>
          </cell>
          <cell r="B1202">
            <v>7.6</v>
          </cell>
        </row>
        <row r="1203">
          <cell r="A1203">
            <v>79947</v>
          </cell>
          <cell r="B1203">
            <v>7.6</v>
          </cell>
        </row>
        <row r="1204">
          <cell r="A1204">
            <v>79947</v>
          </cell>
          <cell r="B1204">
            <v>8.8000000000000007</v>
          </cell>
        </row>
        <row r="1205">
          <cell r="A1205">
            <v>80038</v>
          </cell>
          <cell r="B1205">
            <v>8.8000000000000007</v>
          </cell>
        </row>
        <row r="1206">
          <cell r="A1206">
            <v>80038</v>
          </cell>
          <cell r="B1206">
            <v>11.9</v>
          </cell>
        </row>
        <row r="1207">
          <cell r="A1207">
            <v>80138</v>
          </cell>
          <cell r="B1207">
            <v>11.9</v>
          </cell>
        </row>
        <row r="1208">
          <cell r="A1208">
            <v>80138</v>
          </cell>
          <cell r="B1208">
            <v>20.7</v>
          </cell>
        </row>
        <row r="1209">
          <cell r="A1209">
            <v>80238</v>
          </cell>
          <cell r="B1209">
            <v>20.7</v>
          </cell>
        </row>
        <row r="1210">
          <cell r="A1210">
            <v>80238</v>
          </cell>
          <cell r="B1210">
            <v>14.2</v>
          </cell>
        </row>
        <row r="1211">
          <cell r="A1211">
            <v>80338</v>
          </cell>
          <cell r="B1211">
            <v>14.2</v>
          </cell>
        </row>
        <row r="1212">
          <cell r="A1212">
            <v>80338</v>
          </cell>
          <cell r="B1212">
            <v>17.399999999999999</v>
          </cell>
        </row>
        <row r="1213">
          <cell r="A1213">
            <v>80438</v>
          </cell>
          <cell r="B1213">
            <v>17.399999999999999</v>
          </cell>
        </row>
        <row r="1214">
          <cell r="A1214">
            <v>80438</v>
          </cell>
          <cell r="B1214">
            <v>16.8</v>
          </cell>
        </row>
        <row r="1215">
          <cell r="A1215">
            <v>80538</v>
          </cell>
          <cell r="B1215">
            <v>16.8</v>
          </cell>
        </row>
        <row r="1216">
          <cell r="A1216">
            <v>80538</v>
          </cell>
          <cell r="B1216">
            <v>11.4</v>
          </cell>
        </row>
        <row r="1217">
          <cell r="A1217">
            <v>80638</v>
          </cell>
          <cell r="B1217">
            <v>11.4</v>
          </cell>
        </row>
        <row r="1218">
          <cell r="A1218">
            <v>80638</v>
          </cell>
          <cell r="B1218">
            <v>12</v>
          </cell>
        </row>
        <row r="1219">
          <cell r="A1219">
            <v>80738</v>
          </cell>
          <cell r="B1219">
            <v>12</v>
          </cell>
        </row>
        <row r="1220">
          <cell r="A1220">
            <v>80738</v>
          </cell>
          <cell r="B1220">
            <v>10.5</v>
          </cell>
        </row>
        <row r="1221">
          <cell r="A1221">
            <v>80838</v>
          </cell>
          <cell r="B1221">
            <v>10.5</v>
          </cell>
        </row>
        <row r="1222">
          <cell r="A1222">
            <v>80838</v>
          </cell>
          <cell r="B1222">
            <v>8.6999999999999993</v>
          </cell>
        </row>
        <row r="1223">
          <cell r="A1223">
            <v>80938</v>
          </cell>
          <cell r="B1223">
            <v>8.6999999999999993</v>
          </cell>
        </row>
        <row r="1224">
          <cell r="A1224">
            <v>80938</v>
          </cell>
          <cell r="B1224">
            <v>8.4</v>
          </cell>
        </row>
        <row r="1225">
          <cell r="A1225">
            <v>81031</v>
          </cell>
          <cell r="B1225">
            <v>8.4</v>
          </cell>
        </row>
        <row r="1226">
          <cell r="A1226">
            <v>81031</v>
          </cell>
          <cell r="B1226">
            <v>7.4</v>
          </cell>
        </row>
        <row r="1227">
          <cell r="A1227">
            <v>81131</v>
          </cell>
          <cell r="B1227">
            <v>7.4</v>
          </cell>
        </row>
        <row r="1228">
          <cell r="A1228">
            <v>81131</v>
          </cell>
          <cell r="B1228">
            <v>7.5</v>
          </cell>
        </row>
        <row r="1229">
          <cell r="A1229">
            <v>81231</v>
          </cell>
          <cell r="B1229">
            <v>7.5</v>
          </cell>
        </row>
        <row r="1230">
          <cell r="A1230">
            <v>81231</v>
          </cell>
          <cell r="B1230">
            <v>9.1</v>
          </cell>
        </row>
        <row r="1231">
          <cell r="A1231">
            <v>81302</v>
          </cell>
          <cell r="B1231">
            <v>9.1</v>
          </cell>
        </row>
        <row r="1232">
          <cell r="A1232">
            <v>81302</v>
          </cell>
          <cell r="B1232">
            <v>8.6</v>
          </cell>
        </row>
        <row r="1233">
          <cell r="A1233">
            <v>81402</v>
          </cell>
          <cell r="B1233">
            <v>8.6</v>
          </cell>
        </row>
        <row r="1234">
          <cell r="A1234">
            <v>81402</v>
          </cell>
          <cell r="B1234">
            <v>4.9000000000000004</v>
          </cell>
        </row>
        <row r="1235">
          <cell r="A1235">
            <v>81502</v>
          </cell>
          <cell r="B1235">
            <v>4.9000000000000004</v>
          </cell>
        </row>
        <row r="1236">
          <cell r="A1236">
            <v>81502</v>
          </cell>
          <cell r="B1236">
            <v>5.7</v>
          </cell>
        </row>
        <row r="1237">
          <cell r="A1237">
            <v>81602</v>
          </cell>
          <cell r="B1237">
            <v>5.7</v>
          </cell>
        </row>
        <row r="1238">
          <cell r="A1238">
            <v>81602</v>
          </cell>
          <cell r="B1238">
            <v>9.5</v>
          </cell>
        </row>
        <row r="1239">
          <cell r="A1239">
            <v>81702</v>
          </cell>
          <cell r="B1239">
            <v>9.5</v>
          </cell>
        </row>
        <row r="1240">
          <cell r="A1240">
            <v>81702</v>
          </cell>
          <cell r="B1240">
            <v>8.9</v>
          </cell>
        </row>
        <row r="1241">
          <cell r="A1241">
            <v>81802</v>
          </cell>
          <cell r="B1241">
            <v>8.9</v>
          </cell>
        </row>
        <row r="1242">
          <cell r="A1242">
            <v>81802</v>
          </cell>
          <cell r="B1242">
            <v>15.6</v>
          </cell>
        </row>
        <row r="1243">
          <cell r="A1243">
            <v>81902</v>
          </cell>
          <cell r="B1243">
            <v>15.6</v>
          </cell>
        </row>
        <row r="1244">
          <cell r="A1244">
            <v>81902</v>
          </cell>
          <cell r="B1244">
            <v>8.6</v>
          </cell>
        </row>
        <row r="1245">
          <cell r="A1245">
            <v>81973</v>
          </cell>
          <cell r="B1245">
            <v>8.6</v>
          </cell>
        </row>
        <row r="1246">
          <cell r="A1246">
            <v>81973</v>
          </cell>
          <cell r="B1246">
            <v>11.9</v>
          </cell>
        </row>
        <row r="1247">
          <cell r="A1247">
            <v>82058</v>
          </cell>
          <cell r="B1247">
            <v>11.9</v>
          </cell>
        </row>
        <row r="1248">
          <cell r="A1248">
            <v>82058</v>
          </cell>
          <cell r="B1248">
            <v>14.1</v>
          </cell>
        </row>
        <row r="1249">
          <cell r="A1249">
            <v>82258</v>
          </cell>
          <cell r="B1249">
            <v>14.1</v>
          </cell>
        </row>
        <row r="1250">
          <cell r="A1250">
            <v>82258</v>
          </cell>
          <cell r="B1250">
            <v>9.8000000000000007</v>
          </cell>
        </row>
        <row r="1251">
          <cell r="A1251">
            <v>82358</v>
          </cell>
          <cell r="B1251">
            <v>9.8000000000000007</v>
          </cell>
        </row>
        <row r="1252">
          <cell r="A1252">
            <v>82358</v>
          </cell>
          <cell r="B1252">
            <v>14.4</v>
          </cell>
        </row>
        <row r="1253">
          <cell r="A1253">
            <v>82458</v>
          </cell>
          <cell r="B1253">
            <v>14.4</v>
          </cell>
        </row>
        <row r="1254">
          <cell r="A1254">
            <v>82458</v>
          </cell>
          <cell r="B1254">
            <v>15.2</v>
          </cell>
        </row>
        <row r="1255">
          <cell r="A1255">
            <v>82558</v>
          </cell>
          <cell r="B1255">
            <v>15.2</v>
          </cell>
        </row>
        <row r="1256">
          <cell r="A1256">
            <v>82558</v>
          </cell>
          <cell r="B1256">
            <v>5.8</v>
          </cell>
        </row>
        <row r="1257">
          <cell r="A1257">
            <v>82658</v>
          </cell>
          <cell r="B1257">
            <v>5.8</v>
          </cell>
        </row>
        <row r="1258">
          <cell r="A1258">
            <v>82658</v>
          </cell>
          <cell r="B1258">
            <v>13.1</v>
          </cell>
        </row>
        <row r="1259">
          <cell r="A1259">
            <v>82758</v>
          </cell>
          <cell r="B1259">
            <v>13.1</v>
          </cell>
        </row>
        <row r="1260">
          <cell r="A1260">
            <v>82758</v>
          </cell>
          <cell r="B1260">
            <v>11.5</v>
          </cell>
        </row>
        <row r="1261">
          <cell r="A1261">
            <v>82858</v>
          </cell>
          <cell r="B1261">
            <v>11.5</v>
          </cell>
        </row>
        <row r="1262">
          <cell r="A1262">
            <v>82858</v>
          </cell>
          <cell r="B1262">
            <v>13.2</v>
          </cell>
        </row>
        <row r="1263">
          <cell r="A1263">
            <v>82958</v>
          </cell>
          <cell r="B1263">
            <v>13.2</v>
          </cell>
        </row>
        <row r="1264">
          <cell r="A1264">
            <v>82958</v>
          </cell>
          <cell r="B1264">
            <v>16.2</v>
          </cell>
        </row>
        <row r="1265">
          <cell r="A1265">
            <v>83053</v>
          </cell>
          <cell r="B1265">
            <v>16.2</v>
          </cell>
        </row>
        <row r="1266">
          <cell r="A1266">
            <v>83053</v>
          </cell>
          <cell r="B1266">
            <v>13</v>
          </cell>
        </row>
        <row r="1267">
          <cell r="A1267">
            <v>83153</v>
          </cell>
          <cell r="B1267">
            <v>13</v>
          </cell>
        </row>
        <row r="1268">
          <cell r="A1268">
            <v>83153</v>
          </cell>
          <cell r="B1268">
            <v>12.9</v>
          </cell>
        </row>
        <row r="1269">
          <cell r="A1269">
            <v>83253</v>
          </cell>
          <cell r="B1269">
            <v>12.9</v>
          </cell>
        </row>
        <row r="1270">
          <cell r="A1270">
            <v>83253</v>
          </cell>
          <cell r="B1270">
            <v>14.8</v>
          </cell>
        </row>
        <row r="1271">
          <cell r="A1271">
            <v>83353</v>
          </cell>
          <cell r="B1271">
            <v>14.8</v>
          </cell>
        </row>
        <row r="1272">
          <cell r="A1272">
            <v>83353</v>
          </cell>
          <cell r="B1272">
            <v>19.600000000000001</v>
          </cell>
        </row>
        <row r="1273">
          <cell r="A1273">
            <v>83453</v>
          </cell>
          <cell r="B1273">
            <v>19.600000000000001</v>
          </cell>
        </row>
        <row r="1274">
          <cell r="A1274">
            <v>83453</v>
          </cell>
          <cell r="B1274">
            <v>12.3</v>
          </cell>
        </row>
        <row r="1275">
          <cell r="A1275">
            <v>83553</v>
          </cell>
          <cell r="B1275">
            <v>12.3</v>
          </cell>
        </row>
        <row r="1276">
          <cell r="A1276">
            <v>83553</v>
          </cell>
          <cell r="B1276">
            <v>13.5</v>
          </cell>
        </row>
        <row r="1277">
          <cell r="A1277">
            <v>83653</v>
          </cell>
          <cell r="B1277">
            <v>13.5</v>
          </cell>
        </row>
        <row r="1278">
          <cell r="A1278">
            <v>83653</v>
          </cell>
          <cell r="B1278">
            <v>5.9</v>
          </cell>
        </row>
        <row r="1279">
          <cell r="A1279">
            <v>83753</v>
          </cell>
          <cell r="B1279">
            <v>5.9</v>
          </cell>
        </row>
        <row r="1280">
          <cell r="A1280">
            <v>83753</v>
          </cell>
          <cell r="B1280">
            <v>4.8</v>
          </cell>
        </row>
        <row r="1281">
          <cell r="A1281">
            <v>83853</v>
          </cell>
          <cell r="B1281">
            <v>4.8</v>
          </cell>
        </row>
        <row r="1282">
          <cell r="A1282">
            <v>83853</v>
          </cell>
          <cell r="B1282">
            <v>4.4000000000000004</v>
          </cell>
        </row>
        <row r="1283">
          <cell r="A1283">
            <v>83953</v>
          </cell>
          <cell r="B1283">
            <v>4.4000000000000004</v>
          </cell>
        </row>
        <row r="1284">
          <cell r="A1284">
            <v>83953</v>
          </cell>
          <cell r="B1284">
            <v>7.8</v>
          </cell>
        </row>
        <row r="1285">
          <cell r="A1285">
            <v>84035</v>
          </cell>
          <cell r="B1285">
            <v>7.8</v>
          </cell>
        </row>
        <row r="1286">
          <cell r="A1286">
            <v>84035</v>
          </cell>
          <cell r="B1286">
            <v>5.7</v>
          </cell>
        </row>
        <row r="1287">
          <cell r="A1287">
            <v>84135</v>
          </cell>
          <cell r="B1287">
            <v>5.7</v>
          </cell>
        </row>
        <row r="1288">
          <cell r="A1288">
            <v>84135</v>
          </cell>
          <cell r="B1288">
            <v>5.3</v>
          </cell>
        </row>
        <row r="1289">
          <cell r="A1289">
            <v>84235</v>
          </cell>
          <cell r="B1289">
            <v>5.3</v>
          </cell>
        </row>
        <row r="1290">
          <cell r="A1290">
            <v>84235</v>
          </cell>
          <cell r="B1290">
            <v>7.9</v>
          </cell>
        </row>
        <row r="1291">
          <cell r="A1291">
            <v>84335</v>
          </cell>
          <cell r="B1291">
            <v>7.9</v>
          </cell>
        </row>
        <row r="1292">
          <cell r="A1292">
            <v>84335</v>
          </cell>
          <cell r="B1292">
            <v>5.5</v>
          </cell>
        </row>
        <row r="1293">
          <cell r="A1293">
            <v>84435</v>
          </cell>
          <cell r="B1293">
            <v>5.5</v>
          </cell>
        </row>
        <row r="1294">
          <cell r="A1294">
            <v>84435</v>
          </cell>
          <cell r="B1294">
            <v>14.8</v>
          </cell>
        </row>
        <row r="1295">
          <cell r="A1295">
            <v>84535</v>
          </cell>
          <cell r="B1295">
            <v>14.8</v>
          </cell>
        </row>
        <row r="1296">
          <cell r="A1296">
            <v>84535</v>
          </cell>
          <cell r="B1296">
            <v>10.5</v>
          </cell>
        </row>
        <row r="1297">
          <cell r="A1297">
            <v>84635</v>
          </cell>
          <cell r="B1297">
            <v>10.5</v>
          </cell>
        </row>
        <row r="1298">
          <cell r="A1298">
            <v>84635</v>
          </cell>
          <cell r="B1298">
            <v>19</v>
          </cell>
        </row>
        <row r="1299">
          <cell r="A1299">
            <v>84735</v>
          </cell>
          <cell r="B1299">
            <v>19</v>
          </cell>
        </row>
        <row r="1300">
          <cell r="A1300">
            <v>84735</v>
          </cell>
          <cell r="B1300">
            <v>14.8</v>
          </cell>
        </row>
        <row r="1301">
          <cell r="A1301">
            <v>84835</v>
          </cell>
          <cell r="B1301">
            <v>14.8</v>
          </cell>
        </row>
        <row r="1302">
          <cell r="A1302">
            <v>84835</v>
          </cell>
          <cell r="B1302">
            <v>19.600000000000001</v>
          </cell>
        </row>
        <row r="1303">
          <cell r="A1303">
            <v>84935</v>
          </cell>
          <cell r="B1303">
            <v>19.600000000000001</v>
          </cell>
        </row>
        <row r="1304">
          <cell r="A1304">
            <v>84935</v>
          </cell>
          <cell r="B1304">
            <v>15.9</v>
          </cell>
        </row>
        <row r="1305">
          <cell r="A1305">
            <v>85044</v>
          </cell>
          <cell r="B1305">
            <v>15.9</v>
          </cell>
        </row>
        <row r="1306">
          <cell r="A1306">
            <v>85044</v>
          </cell>
          <cell r="B1306">
            <v>10.6</v>
          </cell>
        </row>
        <row r="1307">
          <cell r="A1307">
            <v>85130</v>
          </cell>
          <cell r="B1307">
            <v>10.6</v>
          </cell>
        </row>
        <row r="1308">
          <cell r="A1308">
            <v>85130</v>
          </cell>
          <cell r="B1308">
            <v>5.5</v>
          </cell>
        </row>
        <row r="1309">
          <cell r="A1309">
            <v>85230</v>
          </cell>
          <cell r="B1309">
            <v>5.5</v>
          </cell>
        </row>
        <row r="1310">
          <cell r="A1310">
            <v>85230</v>
          </cell>
          <cell r="B1310">
            <v>17.3</v>
          </cell>
        </row>
        <row r="1311">
          <cell r="A1311">
            <v>85330</v>
          </cell>
          <cell r="B1311">
            <v>17.3</v>
          </cell>
        </row>
        <row r="1312">
          <cell r="A1312">
            <v>85330</v>
          </cell>
          <cell r="B1312">
            <v>19.600000000000001</v>
          </cell>
        </row>
        <row r="1313">
          <cell r="A1313">
            <v>85430</v>
          </cell>
          <cell r="B1313">
            <v>19.600000000000001</v>
          </cell>
        </row>
        <row r="1314">
          <cell r="A1314">
            <v>85430</v>
          </cell>
          <cell r="B1314">
            <v>18.3</v>
          </cell>
        </row>
        <row r="1315">
          <cell r="A1315">
            <v>85530</v>
          </cell>
          <cell r="B1315">
            <v>18.3</v>
          </cell>
        </row>
        <row r="1316">
          <cell r="A1316">
            <v>85530</v>
          </cell>
          <cell r="B1316">
            <v>23.7</v>
          </cell>
        </row>
        <row r="1317">
          <cell r="A1317">
            <v>85630</v>
          </cell>
          <cell r="B1317">
            <v>23.7</v>
          </cell>
        </row>
        <row r="1318">
          <cell r="A1318">
            <v>85630</v>
          </cell>
          <cell r="B1318">
            <v>9.6</v>
          </cell>
        </row>
        <row r="1319">
          <cell r="A1319">
            <v>85730</v>
          </cell>
          <cell r="B1319">
            <v>9.6</v>
          </cell>
        </row>
        <row r="1320">
          <cell r="A1320">
            <v>85730</v>
          </cell>
          <cell r="B1320">
            <v>4.4000000000000004</v>
          </cell>
        </row>
        <row r="1321">
          <cell r="A1321">
            <v>85830</v>
          </cell>
          <cell r="B1321">
            <v>4.4000000000000004</v>
          </cell>
        </row>
        <row r="1322">
          <cell r="A1322">
            <v>85830</v>
          </cell>
          <cell r="B1322">
            <v>5.7</v>
          </cell>
        </row>
        <row r="1323">
          <cell r="A1323">
            <v>85930</v>
          </cell>
          <cell r="B1323">
            <v>5.7</v>
          </cell>
        </row>
        <row r="1324">
          <cell r="A1324">
            <v>85930</v>
          </cell>
          <cell r="B1324">
            <v>4.9000000000000004</v>
          </cell>
        </row>
        <row r="1325">
          <cell r="A1325">
            <v>86000</v>
          </cell>
          <cell r="B1325">
            <v>4.9000000000000004</v>
          </cell>
        </row>
        <row r="1326">
          <cell r="A1326">
            <v>86000</v>
          </cell>
          <cell r="B1326">
            <v>4.2</v>
          </cell>
        </row>
        <row r="1327">
          <cell r="A1327">
            <v>86100</v>
          </cell>
          <cell r="B1327">
            <v>4.2</v>
          </cell>
        </row>
        <row r="1328">
          <cell r="A1328">
            <v>86100</v>
          </cell>
          <cell r="B1328">
            <v>4.4000000000000004</v>
          </cell>
        </row>
        <row r="1329">
          <cell r="A1329">
            <v>86200</v>
          </cell>
          <cell r="B1329">
            <v>4.4000000000000004</v>
          </cell>
        </row>
        <row r="1330">
          <cell r="A1330">
            <v>86200</v>
          </cell>
          <cell r="B1330">
            <v>4.8</v>
          </cell>
        </row>
        <row r="1331">
          <cell r="A1331">
            <v>86300</v>
          </cell>
          <cell r="B1331">
            <v>4.8</v>
          </cell>
        </row>
        <row r="1332">
          <cell r="A1332">
            <v>86300</v>
          </cell>
          <cell r="B1332">
            <v>6.4</v>
          </cell>
        </row>
        <row r="1333">
          <cell r="A1333">
            <v>86400</v>
          </cell>
          <cell r="B1333">
            <v>6.4</v>
          </cell>
        </row>
        <row r="1334">
          <cell r="A1334">
            <v>86400</v>
          </cell>
          <cell r="B1334">
            <v>5.5</v>
          </cell>
        </row>
        <row r="1335">
          <cell r="A1335">
            <v>86500</v>
          </cell>
          <cell r="B1335">
            <v>5.5</v>
          </cell>
        </row>
        <row r="1336">
          <cell r="A1336">
            <v>86500</v>
          </cell>
          <cell r="B1336">
            <v>5.3</v>
          </cell>
        </row>
        <row r="1337">
          <cell r="A1337">
            <v>86600</v>
          </cell>
          <cell r="B1337">
            <v>5.3</v>
          </cell>
        </row>
        <row r="1338">
          <cell r="A1338">
            <v>86600</v>
          </cell>
          <cell r="B1338">
            <v>5.7</v>
          </cell>
        </row>
        <row r="1339">
          <cell r="A1339">
            <v>86700</v>
          </cell>
          <cell r="B1339">
            <v>5.7</v>
          </cell>
        </row>
        <row r="1340">
          <cell r="A1340">
            <v>86700</v>
          </cell>
          <cell r="B1340">
            <v>4.5999999999999996</v>
          </cell>
        </row>
        <row r="1341">
          <cell r="A1341">
            <v>86900</v>
          </cell>
          <cell r="B1341">
            <v>4.5999999999999996</v>
          </cell>
        </row>
        <row r="1342">
          <cell r="A1342">
            <v>86900</v>
          </cell>
          <cell r="B1342">
            <v>10.199999999999999</v>
          </cell>
        </row>
        <row r="1343">
          <cell r="A1343">
            <v>87000</v>
          </cell>
          <cell r="B1343">
            <v>10.199999999999999</v>
          </cell>
        </row>
        <row r="1344">
          <cell r="A1344">
            <v>87000</v>
          </cell>
          <cell r="B1344">
            <v>15.8</v>
          </cell>
        </row>
        <row r="1345">
          <cell r="A1345">
            <v>87080</v>
          </cell>
          <cell r="B1345">
            <v>15.8</v>
          </cell>
        </row>
        <row r="1346">
          <cell r="A1346">
            <v>87080</v>
          </cell>
          <cell r="B1346">
            <v>26.5</v>
          </cell>
        </row>
        <row r="1347">
          <cell r="A1347">
            <v>87180</v>
          </cell>
          <cell r="B1347">
            <v>26.5</v>
          </cell>
        </row>
        <row r="1348">
          <cell r="A1348">
            <v>87180</v>
          </cell>
          <cell r="B1348">
            <v>18.7</v>
          </cell>
        </row>
        <row r="1349">
          <cell r="A1349">
            <v>87280</v>
          </cell>
          <cell r="B1349">
            <v>18.7</v>
          </cell>
        </row>
        <row r="1350">
          <cell r="A1350">
            <v>87280</v>
          </cell>
          <cell r="B1350">
            <v>19.3</v>
          </cell>
        </row>
        <row r="1351">
          <cell r="A1351">
            <v>87380</v>
          </cell>
          <cell r="B1351">
            <v>19.3</v>
          </cell>
        </row>
        <row r="1352">
          <cell r="A1352">
            <v>87380</v>
          </cell>
          <cell r="B1352">
            <v>9.4</v>
          </cell>
        </row>
        <row r="1353">
          <cell r="A1353">
            <v>87480</v>
          </cell>
          <cell r="B1353">
            <v>9.4</v>
          </cell>
        </row>
        <row r="1354">
          <cell r="A1354">
            <v>87480</v>
          </cell>
          <cell r="B1354">
            <v>6.1</v>
          </cell>
        </row>
        <row r="1355">
          <cell r="A1355">
            <v>87580</v>
          </cell>
          <cell r="B1355">
            <v>6.1</v>
          </cell>
        </row>
        <row r="1356">
          <cell r="A1356">
            <v>87580</v>
          </cell>
          <cell r="B1356">
            <v>11.4</v>
          </cell>
        </row>
        <row r="1357">
          <cell r="A1357">
            <v>87680</v>
          </cell>
          <cell r="B1357">
            <v>11.4</v>
          </cell>
        </row>
        <row r="1358">
          <cell r="A1358">
            <v>87680</v>
          </cell>
          <cell r="B1358">
            <v>11.8</v>
          </cell>
        </row>
        <row r="1359">
          <cell r="A1359">
            <v>87780</v>
          </cell>
          <cell r="B1359">
            <v>11.8</v>
          </cell>
        </row>
        <row r="1360">
          <cell r="A1360">
            <v>87780</v>
          </cell>
          <cell r="B1360">
            <v>10</v>
          </cell>
        </row>
        <row r="1361">
          <cell r="A1361">
            <v>87880</v>
          </cell>
          <cell r="B1361">
            <v>10</v>
          </cell>
        </row>
        <row r="1362">
          <cell r="A1362">
            <v>87880</v>
          </cell>
          <cell r="B1362">
            <v>9.1999999999999993</v>
          </cell>
        </row>
        <row r="1363">
          <cell r="A1363">
            <v>87980</v>
          </cell>
          <cell r="B1363">
            <v>9.1999999999999993</v>
          </cell>
        </row>
        <row r="1364">
          <cell r="A1364">
            <v>87980</v>
          </cell>
          <cell r="B1364">
            <v>9</v>
          </cell>
        </row>
        <row r="1365">
          <cell r="A1365">
            <v>88019</v>
          </cell>
          <cell r="B1365">
            <v>9</v>
          </cell>
        </row>
        <row r="1366">
          <cell r="A1366">
            <v>88019</v>
          </cell>
          <cell r="B1366">
            <v>11.3</v>
          </cell>
        </row>
        <row r="1367">
          <cell r="A1367">
            <v>88119</v>
          </cell>
          <cell r="B1367">
            <v>11.3</v>
          </cell>
        </row>
        <row r="1368">
          <cell r="A1368">
            <v>88119</v>
          </cell>
          <cell r="B1368">
            <v>20.8</v>
          </cell>
        </row>
        <row r="1369">
          <cell r="A1369">
            <v>88219</v>
          </cell>
          <cell r="B1369">
            <v>20.8</v>
          </cell>
        </row>
        <row r="1370">
          <cell r="A1370">
            <v>88219</v>
          </cell>
          <cell r="B1370">
            <v>18.3</v>
          </cell>
        </row>
        <row r="1371">
          <cell r="A1371">
            <v>88319</v>
          </cell>
          <cell r="B1371">
            <v>18.3</v>
          </cell>
        </row>
        <row r="1372">
          <cell r="A1372">
            <v>88319</v>
          </cell>
          <cell r="B1372">
            <v>33.9</v>
          </cell>
        </row>
        <row r="1373">
          <cell r="A1373">
            <v>88386</v>
          </cell>
          <cell r="B1373">
            <v>33.9</v>
          </cell>
        </row>
        <row r="1374">
          <cell r="A1374">
            <v>88386</v>
          </cell>
          <cell r="B1374">
            <v>28.9</v>
          </cell>
        </row>
        <row r="1375">
          <cell r="A1375">
            <v>88486</v>
          </cell>
          <cell r="B1375">
            <v>28.9</v>
          </cell>
        </row>
        <row r="1376">
          <cell r="A1376">
            <v>88486</v>
          </cell>
          <cell r="B1376">
            <v>28.7</v>
          </cell>
        </row>
        <row r="1377">
          <cell r="A1377">
            <v>88586</v>
          </cell>
          <cell r="B1377">
            <v>28.7</v>
          </cell>
        </row>
        <row r="1378">
          <cell r="A1378">
            <v>88586</v>
          </cell>
          <cell r="B1378">
            <v>19.600000000000001</v>
          </cell>
        </row>
        <row r="1379">
          <cell r="A1379">
            <v>88686</v>
          </cell>
          <cell r="B1379">
            <v>19.600000000000001</v>
          </cell>
        </row>
        <row r="1380">
          <cell r="A1380">
            <v>88686</v>
          </cell>
          <cell r="B1380">
            <v>17.7</v>
          </cell>
        </row>
        <row r="1381">
          <cell r="A1381">
            <v>88786</v>
          </cell>
          <cell r="B1381">
            <v>17.7</v>
          </cell>
        </row>
        <row r="1382">
          <cell r="A1382">
            <v>88786</v>
          </cell>
          <cell r="B1382">
            <v>10.9</v>
          </cell>
        </row>
        <row r="1383">
          <cell r="A1383">
            <v>88886</v>
          </cell>
          <cell r="B1383">
            <v>10.9</v>
          </cell>
        </row>
        <row r="1384">
          <cell r="A1384">
            <v>88886</v>
          </cell>
          <cell r="B1384">
            <v>17.8</v>
          </cell>
        </row>
        <row r="1385">
          <cell r="A1385">
            <v>88986</v>
          </cell>
          <cell r="B1385">
            <v>17.8</v>
          </cell>
        </row>
        <row r="1386">
          <cell r="A1386">
            <v>88986</v>
          </cell>
          <cell r="B1386">
            <v>21.7</v>
          </cell>
        </row>
        <row r="1387">
          <cell r="A1387">
            <v>89056</v>
          </cell>
          <cell r="B1387">
            <v>21.7</v>
          </cell>
        </row>
        <row r="1388">
          <cell r="A1388">
            <v>89056</v>
          </cell>
          <cell r="B1388">
            <v>18.5</v>
          </cell>
        </row>
        <row r="1389">
          <cell r="A1389">
            <v>89156</v>
          </cell>
          <cell r="B1389">
            <v>18.5</v>
          </cell>
        </row>
        <row r="1390">
          <cell r="A1390">
            <v>89156</v>
          </cell>
          <cell r="B1390">
            <v>28.2</v>
          </cell>
        </row>
        <row r="1391">
          <cell r="A1391">
            <v>89230</v>
          </cell>
          <cell r="B1391">
            <v>28.2</v>
          </cell>
        </row>
        <row r="1392">
          <cell r="A1392">
            <v>89230</v>
          </cell>
          <cell r="B1392">
            <v>31.2</v>
          </cell>
        </row>
        <row r="1393">
          <cell r="A1393">
            <v>89330</v>
          </cell>
          <cell r="B1393">
            <v>31.2</v>
          </cell>
        </row>
        <row r="1394">
          <cell r="A1394">
            <v>89330</v>
          </cell>
          <cell r="B1394">
            <v>20.2</v>
          </cell>
        </row>
        <row r="1395">
          <cell r="A1395">
            <v>89430</v>
          </cell>
          <cell r="B1395">
            <v>20.2</v>
          </cell>
        </row>
        <row r="1396">
          <cell r="A1396">
            <v>89430</v>
          </cell>
          <cell r="B1396">
            <v>23.7</v>
          </cell>
        </row>
        <row r="1397">
          <cell r="A1397">
            <v>89530</v>
          </cell>
          <cell r="B1397">
            <v>23.7</v>
          </cell>
        </row>
        <row r="1398">
          <cell r="A1398">
            <v>89530</v>
          </cell>
          <cell r="B1398">
            <v>19.100000000000001</v>
          </cell>
        </row>
        <row r="1399">
          <cell r="A1399">
            <v>89630</v>
          </cell>
          <cell r="B1399">
            <v>19.100000000000001</v>
          </cell>
        </row>
        <row r="1400">
          <cell r="A1400">
            <v>89630</v>
          </cell>
          <cell r="B1400">
            <v>17.899999999999999</v>
          </cell>
        </row>
        <row r="1401">
          <cell r="A1401">
            <v>89730</v>
          </cell>
          <cell r="B1401">
            <v>17.899999999999999</v>
          </cell>
        </row>
        <row r="1402">
          <cell r="A1402">
            <v>89730</v>
          </cell>
          <cell r="B1402">
            <v>16.3</v>
          </cell>
        </row>
        <row r="1403">
          <cell r="A1403">
            <v>89830</v>
          </cell>
          <cell r="B1403">
            <v>16.3</v>
          </cell>
        </row>
        <row r="1404">
          <cell r="A1404">
            <v>89830</v>
          </cell>
          <cell r="B1404">
            <v>17.399999999999999</v>
          </cell>
        </row>
        <row r="1405">
          <cell r="A1405">
            <v>89930</v>
          </cell>
          <cell r="B1405">
            <v>17.399999999999999</v>
          </cell>
        </row>
        <row r="1406">
          <cell r="A1406">
            <v>89930</v>
          </cell>
          <cell r="B1406">
            <v>19.5</v>
          </cell>
        </row>
        <row r="1407">
          <cell r="A1407">
            <v>90078</v>
          </cell>
          <cell r="B1407">
            <v>19.5</v>
          </cell>
        </row>
        <row r="1408">
          <cell r="A1408">
            <v>90078</v>
          </cell>
          <cell r="B1408">
            <v>23.1</v>
          </cell>
        </row>
        <row r="1409">
          <cell r="A1409">
            <v>90178</v>
          </cell>
          <cell r="B1409">
            <v>23.1</v>
          </cell>
        </row>
        <row r="1410">
          <cell r="A1410">
            <v>90178</v>
          </cell>
          <cell r="B1410">
            <v>9.1999999999999993</v>
          </cell>
        </row>
        <row r="1411">
          <cell r="A1411">
            <v>90278</v>
          </cell>
          <cell r="B1411">
            <v>9.1999999999999993</v>
          </cell>
        </row>
        <row r="1412">
          <cell r="A1412">
            <v>90278</v>
          </cell>
          <cell r="B1412">
            <v>3.3</v>
          </cell>
        </row>
        <row r="1413">
          <cell r="A1413">
            <v>90378</v>
          </cell>
          <cell r="B1413">
            <v>3.3</v>
          </cell>
        </row>
        <row r="1414">
          <cell r="A1414">
            <v>90378</v>
          </cell>
          <cell r="B1414">
            <v>7.5</v>
          </cell>
        </row>
        <row r="1415">
          <cell r="A1415">
            <v>90478</v>
          </cell>
          <cell r="B1415">
            <v>7.5</v>
          </cell>
        </row>
        <row r="1416">
          <cell r="A1416">
            <v>90478</v>
          </cell>
          <cell r="B1416">
            <v>12.7</v>
          </cell>
        </row>
        <row r="1417">
          <cell r="A1417">
            <v>90578</v>
          </cell>
          <cell r="B1417">
            <v>12.7</v>
          </cell>
        </row>
        <row r="1418">
          <cell r="A1418">
            <v>90578</v>
          </cell>
          <cell r="B1418">
            <v>18.100000000000001</v>
          </cell>
        </row>
        <row r="1419">
          <cell r="A1419">
            <v>90678</v>
          </cell>
          <cell r="B1419">
            <v>18.100000000000001</v>
          </cell>
        </row>
        <row r="1420">
          <cell r="A1420">
            <v>90678</v>
          </cell>
          <cell r="B1420">
            <v>17.899999999999999</v>
          </cell>
        </row>
        <row r="1421">
          <cell r="A1421">
            <v>90778</v>
          </cell>
          <cell r="B1421">
            <v>17.899999999999999</v>
          </cell>
        </row>
        <row r="1422">
          <cell r="A1422">
            <v>90778</v>
          </cell>
          <cell r="B1422">
            <v>14.9</v>
          </cell>
        </row>
        <row r="1423">
          <cell r="A1423">
            <v>90878</v>
          </cell>
          <cell r="B1423">
            <v>14.9</v>
          </cell>
        </row>
        <row r="1424">
          <cell r="A1424">
            <v>90878</v>
          </cell>
          <cell r="B1424">
            <v>12.4</v>
          </cell>
        </row>
        <row r="1425">
          <cell r="A1425">
            <v>90978</v>
          </cell>
          <cell r="B1425">
            <v>12.4</v>
          </cell>
        </row>
        <row r="1426">
          <cell r="A1426">
            <v>90978</v>
          </cell>
          <cell r="B1426">
            <v>19.2</v>
          </cell>
        </row>
        <row r="1427">
          <cell r="A1427">
            <v>91077</v>
          </cell>
          <cell r="B1427">
            <v>19.2</v>
          </cell>
        </row>
        <row r="1428">
          <cell r="A1428">
            <v>91077</v>
          </cell>
          <cell r="B1428">
            <v>16.600000000000001</v>
          </cell>
        </row>
        <row r="1429">
          <cell r="A1429">
            <v>91277</v>
          </cell>
          <cell r="B1429">
            <v>16.600000000000001</v>
          </cell>
        </row>
        <row r="1430">
          <cell r="A1430">
            <v>91277</v>
          </cell>
          <cell r="B1430">
            <v>11.1</v>
          </cell>
        </row>
        <row r="1431">
          <cell r="A1431">
            <v>91377</v>
          </cell>
          <cell r="B1431">
            <v>11.1</v>
          </cell>
        </row>
        <row r="1432">
          <cell r="A1432">
            <v>91377</v>
          </cell>
          <cell r="B1432">
            <v>8.4</v>
          </cell>
        </row>
        <row r="1433">
          <cell r="A1433">
            <v>91477</v>
          </cell>
          <cell r="B1433">
            <v>8.4</v>
          </cell>
        </row>
        <row r="1434">
          <cell r="A1434">
            <v>91477</v>
          </cell>
          <cell r="B1434">
            <v>11.8</v>
          </cell>
        </row>
        <row r="1435">
          <cell r="A1435">
            <v>91577</v>
          </cell>
          <cell r="B1435">
            <v>11.8</v>
          </cell>
        </row>
        <row r="1436">
          <cell r="A1436">
            <v>91577</v>
          </cell>
          <cell r="B1436">
            <v>14.3</v>
          </cell>
        </row>
        <row r="1437">
          <cell r="A1437">
            <v>91677</v>
          </cell>
          <cell r="B1437">
            <v>14.3</v>
          </cell>
        </row>
        <row r="1438">
          <cell r="A1438">
            <v>91677</v>
          </cell>
          <cell r="B1438">
            <v>8.6</v>
          </cell>
        </row>
        <row r="1439">
          <cell r="A1439">
            <v>91777</v>
          </cell>
          <cell r="B1439">
            <v>8.6</v>
          </cell>
        </row>
        <row r="1440">
          <cell r="A1440">
            <v>91777</v>
          </cell>
          <cell r="B1440">
            <v>13.2</v>
          </cell>
        </row>
        <row r="1441">
          <cell r="A1441">
            <v>91877</v>
          </cell>
          <cell r="B1441">
            <v>13.2</v>
          </cell>
        </row>
        <row r="1442">
          <cell r="A1442">
            <v>91877</v>
          </cell>
          <cell r="B1442">
            <v>7.8</v>
          </cell>
        </row>
        <row r="1443">
          <cell r="A1443">
            <v>91977</v>
          </cell>
          <cell r="B1443">
            <v>7.8</v>
          </cell>
        </row>
        <row r="1444">
          <cell r="A1444">
            <v>91977</v>
          </cell>
          <cell r="B1444">
            <v>14.5</v>
          </cell>
        </row>
        <row r="1445">
          <cell r="A1445">
            <v>92078</v>
          </cell>
          <cell r="B1445">
            <v>14.5</v>
          </cell>
        </row>
        <row r="1446">
          <cell r="A1446">
            <v>92078</v>
          </cell>
          <cell r="B1446">
            <v>22.5</v>
          </cell>
        </row>
        <row r="1447">
          <cell r="A1447">
            <v>92178</v>
          </cell>
          <cell r="B1447">
            <v>22.5</v>
          </cell>
        </row>
        <row r="1448">
          <cell r="A1448">
            <v>92178</v>
          </cell>
          <cell r="B1448">
            <v>18.3</v>
          </cell>
        </row>
        <row r="1449">
          <cell r="A1449">
            <v>92278</v>
          </cell>
          <cell r="B1449">
            <v>18.3</v>
          </cell>
        </row>
        <row r="1450">
          <cell r="A1450">
            <v>92278</v>
          </cell>
          <cell r="B1450">
            <v>15.1</v>
          </cell>
        </row>
        <row r="1451">
          <cell r="A1451">
            <v>92378</v>
          </cell>
          <cell r="B1451">
            <v>15.1</v>
          </cell>
        </row>
        <row r="1452">
          <cell r="A1452">
            <v>92378</v>
          </cell>
          <cell r="B1452">
            <v>15.6</v>
          </cell>
        </row>
        <row r="1453">
          <cell r="A1453">
            <v>92478</v>
          </cell>
          <cell r="B1453">
            <v>15.6</v>
          </cell>
        </row>
        <row r="1454">
          <cell r="A1454">
            <v>92478</v>
          </cell>
          <cell r="B1454">
            <v>21.6</v>
          </cell>
        </row>
        <row r="1455">
          <cell r="A1455">
            <v>92578</v>
          </cell>
          <cell r="B1455">
            <v>21.6</v>
          </cell>
        </row>
        <row r="1456">
          <cell r="A1456">
            <v>92578</v>
          </cell>
          <cell r="B1456">
            <v>17.7</v>
          </cell>
        </row>
        <row r="1457">
          <cell r="A1457">
            <v>92678</v>
          </cell>
          <cell r="B1457">
            <v>17.7</v>
          </cell>
        </row>
        <row r="1458">
          <cell r="A1458">
            <v>92678</v>
          </cell>
          <cell r="B1458">
            <v>16.2</v>
          </cell>
        </row>
        <row r="1459">
          <cell r="A1459">
            <v>92778</v>
          </cell>
          <cell r="B1459">
            <v>16.2</v>
          </cell>
        </row>
        <row r="1460">
          <cell r="A1460">
            <v>92778</v>
          </cell>
          <cell r="B1460">
            <v>21.1</v>
          </cell>
        </row>
        <row r="1461">
          <cell r="A1461">
            <v>92878</v>
          </cell>
          <cell r="B1461">
            <v>21.1</v>
          </cell>
        </row>
        <row r="1462">
          <cell r="A1462">
            <v>92878</v>
          </cell>
          <cell r="B1462">
            <v>29.1</v>
          </cell>
        </row>
        <row r="1463">
          <cell r="A1463">
            <v>92978</v>
          </cell>
          <cell r="B1463">
            <v>29.1</v>
          </cell>
        </row>
        <row r="1464">
          <cell r="A1464">
            <v>92978</v>
          </cell>
          <cell r="B1464">
            <v>24</v>
          </cell>
        </row>
        <row r="1465">
          <cell r="A1465">
            <v>93081</v>
          </cell>
          <cell r="B1465">
            <v>24</v>
          </cell>
        </row>
        <row r="1466">
          <cell r="A1466">
            <v>93081</v>
          </cell>
          <cell r="B1466">
            <v>16.100000000000001</v>
          </cell>
        </row>
        <row r="1467">
          <cell r="A1467">
            <v>93181</v>
          </cell>
          <cell r="B1467">
            <v>16.100000000000001</v>
          </cell>
        </row>
        <row r="1468">
          <cell r="A1468">
            <v>93181</v>
          </cell>
          <cell r="B1468">
            <v>19</v>
          </cell>
        </row>
        <row r="1469">
          <cell r="A1469">
            <v>93281</v>
          </cell>
          <cell r="B1469">
            <v>19</v>
          </cell>
        </row>
        <row r="1470">
          <cell r="A1470">
            <v>93281</v>
          </cell>
          <cell r="B1470">
            <v>13.9</v>
          </cell>
        </row>
        <row r="1471">
          <cell r="A1471">
            <v>93381</v>
          </cell>
          <cell r="B1471">
            <v>13.9</v>
          </cell>
        </row>
        <row r="1472">
          <cell r="A1472">
            <v>93381</v>
          </cell>
          <cell r="B1472">
            <v>16.5</v>
          </cell>
        </row>
        <row r="1473">
          <cell r="A1473">
            <v>93481</v>
          </cell>
          <cell r="B1473">
            <v>16.5</v>
          </cell>
        </row>
        <row r="1474">
          <cell r="A1474">
            <v>93481</v>
          </cell>
          <cell r="B1474">
            <v>15.2</v>
          </cell>
        </row>
        <row r="1475">
          <cell r="A1475">
            <v>93581</v>
          </cell>
          <cell r="B1475">
            <v>15.2</v>
          </cell>
        </row>
        <row r="1476">
          <cell r="A1476">
            <v>93581</v>
          </cell>
          <cell r="B1476">
            <v>17.5</v>
          </cell>
        </row>
        <row r="1477">
          <cell r="A1477">
            <v>93681</v>
          </cell>
          <cell r="B1477">
            <v>17.5</v>
          </cell>
        </row>
        <row r="1478">
          <cell r="A1478">
            <v>93681</v>
          </cell>
          <cell r="B1478">
            <v>14.4</v>
          </cell>
        </row>
        <row r="1479">
          <cell r="A1479">
            <v>93781</v>
          </cell>
          <cell r="B1479">
            <v>14.4</v>
          </cell>
        </row>
        <row r="1480">
          <cell r="A1480">
            <v>93781</v>
          </cell>
          <cell r="B1480">
            <v>15.5</v>
          </cell>
        </row>
        <row r="1481">
          <cell r="A1481">
            <v>93881</v>
          </cell>
          <cell r="B1481">
            <v>15.5</v>
          </cell>
        </row>
        <row r="1482">
          <cell r="A1482">
            <v>93881</v>
          </cell>
          <cell r="B1482">
            <v>13.6</v>
          </cell>
        </row>
        <row r="1483">
          <cell r="A1483">
            <v>93981</v>
          </cell>
          <cell r="B1483">
            <v>13.6</v>
          </cell>
        </row>
        <row r="1484">
          <cell r="A1484">
            <v>93981</v>
          </cell>
          <cell r="B1484">
            <v>10.1</v>
          </cell>
        </row>
        <row r="1485">
          <cell r="A1485">
            <v>94083</v>
          </cell>
          <cell r="B1485">
            <v>10.1</v>
          </cell>
        </row>
        <row r="1486">
          <cell r="A1486">
            <v>94083</v>
          </cell>
          <cell r="B1486">
            <v>10.199999999999999</v>
          </cell>
        </row>
        <row r="1487">
          <cell r="A1487">
            <v>94183</v>
          </cell>
          <cell r="B1487">
            <v>10.199999999999999</v>
          </cell>
        </row>
        <row r="1488">
          <cell r="A1488">
            <v>94183</v>
          </cell>
          <cell r="B1488">
            <v>12.7</v>
          </cell>
        </row>
        <row r="1489">
          <cell r="A1489">
            <v>94283</v>
          </cell>
          <cell r="B1489">
            <v>12.7</v>
          </cell>
        </row>
        <row r="1490">
          <cell r="A1490">
            <v>94283</v>
          </cell>
          <cell r="B1490">
            <v>17.5</v>
          </cell>
        </row>
        <row r="1491">
          <cell r="A1491">
            <v>94383</v>
          </cell>
          <cell r="B1491">
            <v>17.5</v>
          </cell>
        </row>
        <row r="1492">
          <cell r="A1492">
            <v>94383</v>
          </cell>
          <cell r="B1492">
            <v>15.4</v>
          </cell>
        </row>
        <row r="1493">
          <cell r="A1493">
            <v>94483</v>
          </cell>
          <cell r="B1493">
            <v>15.4</v>
          </cell>
        </row>
        <row r="1494">
          <cell r="A1494">
            <v>94483</v>
          </cell>
          <cell r="B1494">
            <v>20.399999999999999</v>
          </cell>
        </row>
        <row r="1495">
          <cell r="A1495">
            <v>94583</v>
          </cell>
          <cell r="B1495">
            <v>20.399999999999999</v>
          </cell>
        </row>
        <row r="1496">
          <cell r="A1496">
            <v>94583</v>
          </cell>
          <cell r="B1496">
            <v>15.1</v>
          </cell>
        </row>
        <row r="1497">
          <cell r="A1497">
            <v>94683</v>
          </cell>
          <cell r="B1497">
            <v>15.1</v>
          </cell>
        </row>
        <row r="1498">
          <cell r="A1498">
            <v>94683</v>
          </cell>
          <cell r="B1498">
            <v>9.3000000000000007</v>
          </cell>
        </row>
        <row r="1499">
          <cell r="A1499">
            <v>94783</v>
          </cell>
          <cell r="B1499">
            <v>9.3000000000000007</v>
          </cell>
        </row>
        <row r="1500">
          <cell r="A1500">
            <v>94783</v>
          </cell>
          <cell r="B1500">
            <v>13.8</v>
          </cell>
        </row>
        <row r="1501">
          <cell r="A1501">
            <v>94883</v>
          </cell>
          <cell r="B1501">
            <v>13.8</v>
          </cell>
        </row>
        <row r="1502">
          <cell r="A1502">
            <v>94883</v>
          </cell>
          <cell r="B1502">
            <v>15.3</v>
          </cell>
        </row>
        <row r="1503">
          <cell r="A1503">
            <v>94983</v>
          </cell>
          <cell r="B1503">
            <v>15.3</v>
          </cell>
        </row>
        <row r="1504">
          <cell r="A1504">
            <v>94983</v>
          </cell>
          <cell r="B1504">
            <v>16.600000000000001</v>
          </cell>
        </row>
        <row r="1505">
          <cell r="A1505">
            <v>95059</v>
          </cell>
          <cell r="B1505">
            <v>16.600000000000001</v>
          </cell>
        </row>
        <row r="1506">
          <cell r="A1506">
            <v>95059</v>
          </cell>
          <cell r="B1506">
            <v>20</v>
          </cell>
        </row>
        <row r="1507">
          <cell r="A1507">
            <v>95159</v>
          </cell>
          <cell r="B1507">
            <v>20</v>
          </cell>
        </row>
        <row r="1508">
          <cell r="A1508">
            <v>95159</v>
          </cell>
          <cell r="B1508">
            <v>18.600000000000001</v>
          </cell>
        </row>
        <row r="1509">
          <cell r="A1509">
            <v>95259</v>
          </cell>
          <cell r="B1509">
            <v>18.600000000000001</v>
          </cell>
        </row>
        <row r="1510">
          <cell r="A1510">
            <v>95259</v>
          </cell>
          <cell r="B1510">
            <v>19.3</v>
          </cell>
        </row>
        <row r="1511">
          <cell r="A1511">
            <v>95359</v>
          </cell>
          <cell r="B1511">
            <v>19.3</v>
          </cell>
        </row>
        <row r="1512">
          <cell r="A1512">
            <v>95359</v>
          </cell>
          <cell r="B1512">
            <v>16.3</v>
          </cell>
        </row>
        <row r="1513">
          <cell r="A1513">
            <v>95459</v>
          </cell>
          <cell r="B1513">
            <v>16.3</v>
          </cell>
        </row>
        <row r="1514">
          <cell r="A1514">
            <v>95459</v>
          </cell>
          <cell r="B1514">
            <v>16.7</v>
          </cell>
        </row>
        <row r="1515">
          <cell r="A1515">
            <v>95559</v>
          </cell>
          <cell r="B1515">
            <v>16.7</v>
          </cell>
        </row>
        <row r="1516">
          <cell r="A1516">
            <v>95559</v>
          </cell>
          <cell r="B1516">
            <v>20.9</v>
          </cell>
        </row>
        <row r="1517">
          <cell r="A1517">
            <v>95659</v>
          </cell>
          <cell r="B1517">
            <v>20.9</v>
          </cell>
        </row>
        <row r="1518">
          <cell r="A1518">
            <v>95659</v>
          </cell>
          <cell r="B1518">
            <v>18.600000000000001</v>
          </cell>
        </row>
        <row r="1519">
          <cell r="A1519">
            <v>95690</v>
          </cell>
          <cell r="B1519">
            <v>18.600000000000001</v>
          </cell>
        </row>
        <row r="1520">
          <cell r="A1520">
            <v>95690</v>
          </cell>
          <cell r="B1520">
            <v>16.3</v>
          </cell>
        </row>
        <row r="1521">
          <cell r="A1521">
            <v>95790</v>
          </cell>
          <cell r="B1521">
            <v>16.3</v>
          </cell>
        </row>
        <row r="1522">
          <cell r="A1522">
            <v>95790</v>
          </cell>
          <cell r="B1522">
            <v>18</v>
          </cell>
        </row>
        <row r="1523">
          <cell r="A1523">
            <v>95890</v>
          </cell>
          <cell r="B1523">
            <v>18</v>
          </cell>
        </row>
        <row r="1524">
          <cell r="A1524">
            <v>95890</v>
          </cell>
          <cell r="B1524">
            <v>15</v>
          </cell>
        </row>
        <row r="1525">
          <cell r="A1525">
            <v>96017</v>
          </cell>
          <cell r="B1525">
            <v>15</v>
          </cell>
        </row>
        <row r="1526">
          <cell r="A1526">
            <v>96017</v>
          </cell>
          <cell r="B1526">
            <v>15.7</v>
          </cell>
        </row>
        <row r="1527">
          <cell r="A1527">
            <v>96117</v>
          </cell>
          <cell r="B1527">
            <v>15.7</v>
          </cell>
        </row>
        <row r="1528">
          <cell r="A1528">
            <v>96117</v>
          </cell>
          <cell r="B1528">
            <v>20.3</v>
          </cell>
        </row>
        <row r="1529">
          <cell r="A1529">
            <v>96217</v>
          </cell>
          <cell r="B1529">
            <v>20.3</v>
          </cell>
        </row>
        <row r="1530">
          <cell r="A1530">
            <v>96217</v>
          </cell>
          <cell r="B1530">
            <v>18.399999999999999</v>
          </cell>
        </row>
        <row r="1531">
          <cell r="A1531">
            <v>96317</v>
          </cell>
          <cell r="B1531">
            <v>18.399999999999999</v>
          </cell>
        </row>
        <row r="1532">
          <cell r="A1532">
            <v>96317</v>
          </cell>
          <cell r="B1532">
            <v>17</v>
          </cell>
        </row>
        <row r="1533">
          <cell r="A1533">
            <v>96417</v>
          </cell>
          <cell r="B1533">
            <v>17</v>
          </cell>
        </row>
        <row r="1534">
          <cell r="A1534">
            <v>96417</v>
          </cell>
          <cell r="B1534">
            <v>18</v>
          </cell>
        </row>
        <row r="1535">
          <cell r="A1535">
            <v>96517</v>
          </cell>
          <cell r="B1535">
            <v>18</v>
          </cell>
        </row>
        <row r="1536">
          <cell r="A1536">
            <v>96517</v>
          </cell>
          <cell r="B1536">
            <v>19.7</v>
          </cell>
        </row>
        <row r="1537">
          <cell r="A1537">
            <v>96617</v>
          </cell>
          <cell r="B1537">
            <v>19.7</v>
          </cell>
        </row>
        <row r="1538">
          <cell r="A1538">
            <v>96617</v>
          </cell>
          <cell r="B1538">
            <v>18.3</v>
          </cell>
        </row>
        <row r="1539">
          <cell r="A1539">
            <v>96717</v>
          </cell>
          <cell r="B1539">
            <v>18.3</v>
          </cell>
        </row>
        <row r="1540">
          <cell r="A1540">
            <v>96717</v>
          </cell>
          <cell r="B1540">
            <v>22.2</v>
          </cell>
        </row>
        <row r="1541">
          <cell r="A1541">
            <v>96817</v>
          </cell>
          <cell r="B1541">
            <v>22.2</v>
          </cell>
        </row>
        <row r="1542">
          <cell r="A1542">
            <v>96817</v>
          </cell>
          <cell r="B1542">
            <v>19.3</v>
          </cell>
        </row>
        <row r="1543">
          <cell r="A1543">
            <v>96917</v>
          </cell>
          <cell r="B1543">
            <v>19.3</v>
          </cell>
        </row>
        <row r="1544">
          <cell r="A1544">
            <v>96917</v>
          </cell>
          <cell r="B1544">
            <v>20.9</v>
          </cell>
        </row>
        <row r="1545">
          <cell r="A1545">
            <v>97018</v>
          </cell>
          <cell r="B1545">
            <v>20.9</v>
          </cell>
        </row>
        <row r="1546">
          <cell r="A1546">
            <v>97018</v>
          </cell>
          <cell r="B1546">
            <v>18.899999999999999</v>
          </cell>
        </row>
        <row r="1547">
          <cell r="A1547">
            <v>97118</v>
          </cell>
          <cell r="B1547">
            <v>18.899999999999999</v>
          </cell>
        </row>
        <row r="1548">
          <cell r="A1548">
            <v>97118</v>
          </cell>
          <cell r="B1548">
            <v>19.8</v>
          </cell>
        </row>
        <row r="1549">
          <cell r="A1549">
            <v>97218</v>
          </cell>
          <cell r="B1549">
            <v>19.8</v>
          </cell>
        </row>
        <row r="1550">
          <cell r="A1550">
            <v>97218</v>
          </cell>
          <cell r="B1550">
            <v>14.2</v>
          </cell>
        </row>
        <row r="1551">
          <cell r="A1551">
            <v>97318</v>
          </cell>
          <cell r="B1551">
            <v>14.2</v>
          </cell>
        </row>
        <row r="1552">
          <cell r="A1552">
            <v>97318</v>
          </cell>
          <cell r="B1552">
            <v>14.9</v>
          </cell>
        </row>
        <row r="1553">
          <cell r="A1553">
            <v>97418</v>
          </cell>
          <cell r="B1553">
            <v>14.9</v>
          </cell>
        </row>
        <row r="1554">
          <cell r="A1554">
            <v>97418</v>
          </cell>
          <cell r="B1554">
            <v>16.7</v>
          </cell>
        </row>
        <row r="1555">
          <cell r="A1555">
            <v>97518</v>
          </cell>
          <cell r="B1555">
            <v>16.7</v>
          </cell>
        </row>
        <row r="1556">
          <cell r="A1556">
            <v>97518</v>
          </cell>
          <cell r="B1556">
            <v>17.100000000000001</v>
          </cell>
        </row>
        <row r="1557">
          <cell r="A1557">
            <v>97618</v>
          </cell>
          <cell r="B1557">
            <v>17.100000000000001</v>
          </cell>
        </row>
        <row r="1558">
          <cell r="A1558">
            <v>97618</v>
          </cell>
          <cell r="B1558">
            <v>17.899999999999999</v>
          </cell>
        </row>
        <row r="1559">
          <cell r="A1559">
            <v>97718</v>
          </cell>
          <cell r="B1559">
            <v>17.899999999999999</v>
          </cell>
        </row>
        <row r="1560">
          <cell r="A1560">
            <v>97718</v>
          </cell>
          <cell r="B1560">
            <v>23.1</v>
          </cell>
        </row>
        <row r="1561">
          <cell r="A1561">
            <v>97818</v>
          </cell>
          <cell r="B1561">
            <v>23.1</v>
          </cell>
        </row>
        <row r="1562">
          <cell r="A1562">
            <v>97818</v>
          </cell>
          <cell r="B1562">
            <v>20.399999999999999</v>
          </cell>
        </row>
        <row r="1563">
          <cell r="A1563">
            <v>97918</v>
          </cell>
          <cell r="B1563">
            <v>20.399999999999999</v>
          </cell>
        </row>
        <row r="1564">
          <cell r="A1564">
            <v>97918</v>
          </cell>
          <cell r="B1564">
            <v>20.6</v>
          </cell>
        </row>
        <row r="1565">
          <cell r="A1565">
            <v>98020</v>
          </cell>
          <cell r="B1565">
            <v>20.6</v>
          </cell>
        </row>
        <row r="1566">
          <cell r="A1566">
            <v>98020</v>
          </cell>
          <cell r="B1566">
            <v>24.8</v>
          </cell>
        </row>
        <row r="1567">
          <cell r="A1567">
            <v>98120</v>
          </cell>
          <cell r="B1567">
            <v>24.8</v>
          </cell>
        </row>
        <row r="1568">
          <cell r="A1568">
            <v>98120</v>
          </cell>
          <cell r="B1568">
            <v>17.3</v>
          </cell>
        </row>
        <row r="1569">
          <cell r="A1569">
            <v>98220</v>
          </cell>
          <cell r="B1569">
            <v>17.3</v>
          </cell>
        </row>
        <row r="1570">
          <cell r="A1570">
            <v>98220</v>
          </cell>
          <cell r="B1570">
            <v>22</v>
          </cell>
        </row>
        <row r="1571">
          <cell r="A1571">
            <v>98320</v>
          </cell>
          <cell r="B1571">
            <v>22</v>
          </cell>
        </row>
        <row r="1572">
          <cell r="A1572">
            <v>98320</v>
          </cell>
          <cell r="B1572">
            <v>21.1</v>
          </cell>
        </row>
        <row r="1573">
          <cell r="A1573">
            <v>98420</v>
          </cell>
          <cell r="B1573">
            <v>21.1</v>
          </cell>
        </row>
        <row r="1574">
          <cell r="A1574">
            <v>98420</v>
          </cell>
          <cell r="B1574">
            <v>16.899999999999999</v>
          </cell>
        </row>
        <row r="1575">
          <cell r="A1575">
            <v>98520</v>
          </cell>
          <cell r="B1575">
            <v>16.899999999999999</v>
          </cell>
        </row>
        <row r="1576">
          <cell r="A1576">
            <v>98520</v>
          </cell>
          <cell r="B1576">
            <v>15.8</v>
          </cell>
        </row>
        <row r="1577">
          <cell r="A1577">
            <v>98620</v>
          </cell>
          <cell r="B1577">
            <v>15.8</v>
          </cell>
        </row>
        <row r="1578">
          <cell r="A1578">
            <v>98620</v>
          </cell>
          <cell r="B1578">
            <v>14.9</v>
          </cell>
        </row>
        <row r="1579">
          <cell r="A1579">
            <v>98720</v>
          </cell>
          <cell r="B1579">
            <v>14.9</v>
          </cell>
        </row>
        <row r="1580">
          <cell r="A1580">
            <v>98720</v>
          </cell>
          <cell r="B1580">
            <v>14.2</v>
          </cell>
        </row>
        <row r="1581">
          <cell r="A1581">
            <v>98820</v>
          </cell>
          <cell r="B1581">
            <v>14.2</v>
          </cell>
        </row>
        <row r="1582">
          <cell r="A1582">
            <v>98820</v>
          </cell>
          <cell r="B1582">
            <v>14.6</v>
          </cell>
        </row>
        <row r="1583">
          <cell r="A1583">
            <v>98920</v>
          </cell>
          <cell r="B1583">
            <v>14.6</v>
          </cell>
        </row>
        <row r="1584">
          <cell r="A1584">
            <v>98920</v>
          </cell>
          <cell r="B1584">
            <v>21.6</v>
          </cell>
        </row>
        <row r="1585">
          <cell r="A1585">
            <v>99035</v>
          </cell>
          <cell r="B1585">
            <v>21.6</v>
          </cell>
        </row>
        <row r="1586">
          <cell r="A1586">
            <v>99035</v>
          </cell>
          <cell r="B1586">
            <v>16.8</v>
          </cell>
        </row>
        <row r="1587">
          <cell r="A1587">
            <v>99135</v>
          </cell>
          <cell r="B1587">
            <v>16.8</v>
          </cell>
        </row>
        <row r="1588">
          <cell r="A1588">
            <v>99135</v>
          </cell>
          <cell r="B1588">
            <v>17.100000000000001</v>
          </cell>
        </row>
        <row r="1589">
          <cell r="A1589">
            <v>99235</v>
          </cell>
          <cell r="B1589">
            <v>17.100000000000001</v>
          </cell>
        </row>
        <row r="1590">
          <cell r="A1590">
            <v>99235</v>
          </cell>
          <cell r="B1590">
            <v>17.8</v>
          </cell>
        </row>
        <row r="1591">
          <cell r="A1591">
            <v>99335</v>
          </cell>
          <cell r="B1591">
            <v>17.8</v>
          </cell>
        </row>
        <row r="1592">
          <cell r="A1592">
            <v>99335</v>
          </cell>
          <cell r="B1592">
            <v>18</v>
          </cell>
        </row>
        <row r="1593">
          <cell r="A1593">
            <v>99435</v>
          </cell>
          <cell r="B1593">
            <v>18</v>
          </cell>
        </row>
        <row r="1594">
          <cell r="A1594">
            <v>99435</v>
          </cell>
          <cell r="B1594">
            <v>20.9</v>
          </cell>
        </row>
        <row r="1595">
          <cell r="A1595">
            <v>99535</v>
          </cell>
          <cell r="B1595">
            <v>20.9</v>
          </cell>
        </row>
        <row r="1596">
          <cell r="A1596">
            <v>99535</v>
          </cell>
          <cell r="B1596">
            <v>20</v>
          </cell>
        </row>
        <row r="1597">
          <cell r="A1597">
            <v>99635</v>
          </cell>
          <cell r="B1597">
            <v>20</v>
          </cell>
        </row>
        <row r="1598">
          <cell r="A1598">
            <v>99635</v>
          </cell>
          <cell r="B1598">
            <v>21</v>
          </cell>
        </row>
        <row r="1599">
          <cell r="A1599">
            <v>99735</v>
          </cell>
          <cell r="B1599">
            <v>21</v>
          </cell>
        </row>
        <row r="1600">
          <cell r="A1600">
            <v>99735</v>
          </cell>
          <cell r="B1600">
            <v>17.399999999999999</v>
          </cell>
        </row>
        <row r="1601">
          <cell r="A1601">
            <v>99835</v>
          </cell>
          <cell r="B1601">
            <v>17.399999999999999</v>
          </cell>
        </row>
        <row r="1602">
          <cell r="A1602">
            <v>99835</v>
          </cell>
          <cell r="B1602">
            <v>4.7</v>
          </cell>
        </row>
        <row r="1603">
          <cell r="A1603">
            <v>99935</v>
          </cell>
          <cell r="B1603">
            <v>4.7</v>
          </cell>
        </row>
        <row r="1604">
          <cell r="A1604">
            <v>99935</v>
          </cell>
          <cell r="B1604">
            <v>5.0999999999999996</v>
          </cell>
        </row>
        <row r="1605">
          <cell r="A1605">
            <v>100024</v>
          </cell>
          <cell r="B1605">
            <v>5.0999999999999996</v>
          </cell>
        </row>
        <row r="1606">
          <cell r="A1606">
            <v>100024</v>
          </cell>
          <cell r="B1606">
            <v>3.5</v>
          </cell>
        </row>
        <row r="1607">
          <cell r="A1607">
            <v>100124</v>
          </cell>
          <cell r="B1607">
            <v>3.5</v>
          </cell>
        </row>
        <row r="1608">
          <cell r="A1608">
            <v>100124</v>
          </cell>
          <cell r="B1608">
            <v>14.4</v>
          </cell>
        </row>
        <row r="1609">
          <cell r="A1609">
            <v>100224</v>
          </cell>
          <cell r="B1609">
            <v>14.4</v>
          </cell>
        </row>
        <row r="1610">
          <cell r="A1610">
            <v>100224</v>
          </cell>
          <cell r="B1610">
            <v>11.6</v>
          </cell>
        </row>
        <row r="1611">
          <cell r="A1611">
            <v>100324</v>
          </cell>
          <cell r="B1611">
            <v>11.6</v>
          </cell>
        </row>
        <row r="1612">
          <cell r="A1612">
            <v>100324</v>
          </cell>
          <cell r="B1612">
            <v>13.1</v>
          </cell>
        </row>
        <row r="1613">
          <cell r="A1613">
            <v>100424</v>
          </cell>
          <cell r="B1613">
            <v>13.1</v>
          </cell>
        </row>
        <row r="1614">
          <cell r="A1614">
            <v>100424</v>
          </cell>
          <cell r="B1614">
            <v>16.8</v>
          </cell>
        </row>
        <row r="1615">
          <cell r="A1615">
            <v>100524</v>
          </cell>
          <cell r="B1615">
            <v>16.8</v>
          </cell>
        </row>
        <row r="1616">
          <cell r="A1616">
            <v>100524</v>
          </cell>
          <cell r="B1616">
            <v>13.7</v>
          </cell>
        </row>
        <row r="1617">
          <cell r="A1617">
            <v>100624</v>
          </cell>
          <cell r="B1617">
            <v>13.7</v>
          </cell>
        </row>
        <row r="1618">
          <cell r="A1618">
            <v>100624</v>
          </cell>
          <cell r="B1618">
            <v>16.600000000000001</v>
          </cell>
        </row>
        <row r="1619">
          <cell r="A1619">
            <v>100724</v>
          </cell>
          <cell r="B1619">
            <v>16.600000000000001</v>
          </cell>
        </row>
        <row r="1620">
          <cell r="A1620">
            <v>100724</v>
          </cell>
          <cell r="B1620">
            <v>9.1</v>
          </cell>
        </row>
        <row r="1621">
          <cell r="A1621">
            <v>100824</v>
          </cell>
          <cell r="B1621">
            <v>9.1</v>
          </cell>
        </row>
        <row r="1622">
          <cell r="A1622">
            <v>100824</v>
          </cell>
          <cell r="B1622">
            <v>4.5</v>
          </cell>
        </row>
        <row r="1623">
          <cell r="A1623">
            <v>100924</v>
          </cell>
          <cell r="B1623">
            <v>4.5</v>
          </cell>
        </row>
        <row r="1624">
          <cell r="A1624">
            <v>100924</v>
          </cell>
          <cell r="B1624">
            <v>5.5</v>
          </cell>
        </row>
        <row r="1625">
          <cell r="A1625">
            <v>101025</v>
          </cell>
          <cell r="B1625">
            <v>5.5</v>
          </cell>
        </row>
        <row r="1626">
          <cell r="A1626">
            <v>101025</v>
          </cell>
          <cell r="B1626">
            <v>5</v>
          </cell>
        </row>
        <row r="1627">
          <cell r="A1627">
            <v>101125</v>
          </cell>
          <cell r="B1627">
            <v>5</v>
          </cell>
        </row>
        <row r="1628">
          <cell r="A1628">
            <v>101125</v>
          </cell>
          <cell r="B1628">
            <v>3.9</v>
          </cell>
        </row>
        <row r="1629">
          <cell r="A1629">
            <v>101225</v>
          </cell>
          <cell r="B1629">
            <v>3.9</v>
          </cell>
        </row>
        <row r="1630">
          <cell r="A1630">
            <v>101225</v>
          </cell>
          <cell r="B1630">
            <v>3.6</v>
          </cell>
        </row>
        <row r="1631">
          <cell r="A1631">
            <v>101325</v>
          </cell>
          <cell r="B1631">
            <v>3.6</v>
          </cell>
        </row>
        <row r="1632">
          <cell r="A1632">
            <v>101325</v>
          </cell>
          <cell r="B1632">
            <v>6.4</v>
          </cell>
        </row>
        <row r="1633">
          <cell r="A1633">
            <v>101425</v>
          </cell>
          <cell r="B1633">
            <v>6.4</v>
          </cell>
        </row>
        <row r="1634">
          <cell r="A1634">
            <v>101425</v>
          </cell>
          <cell r="B1634">
            <v>11.2</v>
          </cell>
        </row>
        <row r="1635">
          <cell r="A1635">
            <v>101525</v>
          </cell>
          <cell r="B1635">
            <v>11.2</v>
          </cell>
        </row>
        <row r="1636">
          <cell r="A1636">
            <v>101525</v>
          </cell>
          <cell r="B1636">
            <v>12</v>
          </cell>
        </row>
        <row r="1637">
          <cell r="A1637">
            <v>101625</v>
          </cell>
          <cell r="B1637">
            <v>12</v>
          </cell>
        </row>
        <row r="1638">
          <cell r="A1638">
            <v>101625</v>
          </cell>
          <cell r="B1638">
            <v>13.6</v>
          </cell>
        </row>
        <row r="1639">
          <cell r="A1639">
            <v>101725</v>
          </cell>
          <cell r="B1639">
            <v>13.6</v>
          </cell>
        </row>
        <row r="1640">
          <cell r="A1640">
            <v>101725</v>
          </cell>
          <cell r="B1640">
            <v>14.5</v>
          </cell>
        </row>
        <row r="1641">
          <cell r="A1641">
            <v>101825</v>
          </cell>
          <cell r="B1641">
            <v>14.5</v>
          </cell>
        </row>
        <row r="1642">
          <cell r="A1642">
            <v>101825</v>
          </cell>
          <cell r="B1642">
            <v>12.3</v>
          </cell>
        </row>
        <row r="1643">
          <cell r="A1643">
            <v>101925</v>
          </cell>
          <cell r="B1643">
            <v>12.3</v>
          </cell>
        </row>
        <row r="1644">
          <cell r="A1644">
            <v>101925</v>
          </cell>
          <cell r="B1644">
            <v>8.6</v>
          </cell>
        </row>
        <row r="1645">
          <cell r="A1645">
            <v>102025</v>
          </cell>
          <cell r="B1645">
            <v>8.6</v>
          </cell>
        </row>
        <row r="1646">
          <cell r="A1646">
            <v>102025</v>
          </cell>
          <cell r="B1646">
            <v>9.4</v>
          </cell>
        </row>
        <row r="1647">
          <cell r="A1647">
            <v>102125</v>
          </cell>
          <cell r="B1647">
            <v>9.4</v>
          </cell>
        </row>
        <row r="1648">
          <cell r="A1648">
            <v>102125</v>
          </cell>
          <cell r="B1648">
            <v>15</v>
          </cell>
        </row>
        <row r="1649">
          <cell r="A1649">
            <v>102225</v>
          </cell>
          <cell r="B1649">
            <v>15</v>
          </cell>
        </row>
        <row r="1650">
          <cell r="A1650">
            <v>102225</v>
          </cell>
          <cell r="B1650">
            <v>16.399999999999999</v>
          </cell>
        </row>
        <row r="1651">
          <cell r="A1651">
            <v>102325</v>
          </cell>
          <cell r="B1651">
            <v>16.399999999999999</v>
          </cell>
        </row>
        <row r="1652">
          <cell r="A1652">
            <v>102325</v>
          </cell>
          <cell r="B1652">
            <v>9.6999999999999993</v>
          </cell>
        </row>
        <row r="1653">
          <cell r="A1653">
            <v>102425</v>
          </cell>
          <cell r="B1653">
            <v>9.6999999999999993</v>
          </cell>
        </row>
        <row r="1654">
          <cell r="A1654">
            <v>102425</v>
          </cell>
          <cell r="B1654">
            <v>12.1</v>
          </cell>
        </row>
        <row r="1655">
          <cell r="A1655">
            <v>102525</v>
          </cell>
          <cell r="B1655">
            <v>12.1</v>
          </cell>
        </row>
        <row r="1656">
          <cell r="A1656">
            <v>102525</v>
          </cell>
          <cell r="B1656">
            <v>9.1999999999999993</v>
          </cell>
        </row>
        <row r="1657">
          <cell r="A1657">
            <v>102625</v>
          </cell>
          <cell r="B1657">
            <v>9.1999999999999993</v>
          </cell>
        </row>
        <row r="1658">
          <cell r="A1658">
            <v>102625</v>
          </cell>
          <cell r="B1658">
            <v>11.1</v>
          </cell>
        </row>
        <row r="1659">
          <cell r="A1659">
            <v>102725</v>
          </cell>
          <cell r="B1659">
            <v>11.1</v>
          </cell>
        </row>
        <row r="1660">
          <cell r="A1660">
            <v>102725</v>
          </cell>
          <cell r="B1660">
            <v>6.3</v>
          </cell>
        </row>
        <row r="1661">
          <cell r="A1661">
            <v>102825</v>
          </cell>
          <cell r="B1661">
            <v>6.3</v>
          </cell>
        </row>
        <row r="1662">
          <cell r="A1662">
            <v>102825</v>
          </cell>
          <cell r="B1662">
            <v>10.9</v>
          </cell>
        </row>
        <row r="1663">
          <cell r="A1663">
            <v>102925</v>
          </cell>
          <cell r="B1663">
            <v>10.9</v>
          </cell>
        </row>
        <row r="1664">
          <cell r="A1664">
            <v>102925</v>
          </cell>
          <cell r="B1664">
            <v>8.1</v>
          </cell>
        </row>
        <row r="1665">
          <cell r="A1665">
            <v>103029</v>
          </cell>
          <cell r="B1665">
            <v>8.1</v>
          </cell>
        </row>
        <row r="1666">
          <cell r="A1666">
            <v>103029</v>
          </cell>
          <cell r="B1666">
            <v>9.1999999999999993</v>
          </cell>
        </row>
        <row r="1667">
          <cell r="A1667">
            <v>103129</v>
          </cell>
          <cell r="B1667">
            <v>9.1999999999999993</v>
          </cell>
        </row>
        <row r="1668">
          <cell r="A1668">
            <v>103129</v>
          </cell>
          <cell r="B1668">
            <v>7.8</v>
          </cell>
        </row>
        <row r="1669">
          <cell r="A1669">
            <v>103229</v>
          </cell>
          <cell r="B1669">
            <v>7.8</v>
          </cell>
        </row>
        <row r="1670">
          <cell r="A1670">
            <v>103229</v>
          </cell>
          <cell r="B1670">
            <v>8.1999999999999993</v>
          </cell>
        </row>
        <row r="1671">
          <cell r="A1671">
            <v>103329</v>
          </cell>
          <cell r="B1671">
            <v>8.1999999999999993</v>
          </cell>
        </row>
        <row r="1672">
          <cell r="A1672">
            <v>103329</v>
          </cell>
          <cell r="B1672">
            <v>9.5</v>
          </cell>
        </row>
        <row r="1673">
          <cell r="A1673">
            <v>103429</v>
          </cell>
          <cell r="B1673">
            <v>9.5</v>
          </cell>
        </row>
        <row r="1674">
          <cell r="A1674">
            <v>103429</v>
          </cell>
          <cell r="B1674">
            <v>6.4</v>
          </cell>
        </row>
        <row r="1675">
          <cell r="A1675">
            <v>103529</v>
          </cell>
          <cell r="B1675">
            <v>6.4</v>
          </cell>
        </row>
        <row r="1676">
          <cell r="A1676">
            <v>103529</v>
          </cell>
          <cell r="B1676">
            <v>8.8000000000000007</v>
          </cell>
        </row>
        <row r="1677">
          <cell r="A1677">
            <v>103629</v>
          </cell>
          <cell r="B1677">
            <v>8.8000000000000007</v>
          </cell>
        </row>
        <row r="1678">
          <cell r="A1678">
            <v>103629</v>
          </cell>
          <cell r="B1678">
            <v>9.4</v>
          </cell>
        </row>
        <row r="1679">
          <cell r="A1679">
            <v>103729</v>
          </cell>
          <cell r="B1679">
            <v>9.4</v>
          </cell>
        </row>
        <row r="1680">
          <cell r="A1680">
            <v>103729</v>
          </cell>
          <cell r="B1680">
            <v>13.2</v>
          </cell>
        </row>
        <row r="1681">
          <cell r="A1681">
            <v>103829</v>
          </cell>
          <cell r="B1681">
            <v>13.2</v>
          </cell>
        </row>
        <row r="1682">
          <cell r="A1682">
            <v>103829</v>
          </cell>
          <cell r="B1682">
            <v>12.8</v>
          </cell>
        </row>
        <row r="1683">
          <cell r="A1683">
            <v>103929</v>
          </cell>
          <cell r="B1683">
            <v>12.8</v>
          </cell>
        </row>
        <row r="1684">
          <cell r="A1684">
            <v>103929</v>
          </cell>
          <cell r="B1684">
            <v>11.4</v>
          </cell>
        </row>
        <row r="1685">
          <cell r="A1685">
            <v>104033</v>
          </cell>
          <cell r="B1685">
            <v>11.4</v>
          </cell>
        </row>
        <row r="1686">
          <cell r="A1686">
            <v>104033</v>
          </cell>
          <cell r="B1686">
            <v>13</v>
          </cell>
        </row>
        <row r="1687">
          <cell r="A1687">
            <v>104133</v>
          </cell>
          <cell r="B1687">
            <v>13</v>
          </cell>
        </row>
        <row r="1688">
          <cell r="A1688">
            <v>104133</v>
          </cell>
          <cell r="B1688">
            <v>14</v>
          </cell>
        </row>
        <row r="1689">
          <cell r="A1689">
            <v>104233</v>
          </cell>
          <cell r="B1689">
            <v>14</v>
          </cell>
        </row>
        <row r="1690">
          <cell r="A1690">
            <v>104233</v>
          </cell>
          <cell r="B1690">
            <v>10.6</v>
          </cell>
        </row>
        <row r="1691">
          <cell r="A1691">
            <v>104260</v>
          </cell>
          <cell r="B1691">
            <v>10.6</v>
          </cell>
        </row>
        <row r="1692">
          <cell r="A1692">
            <v>104260</v>
          </cell>
          <cell r="B1692">
            <v>8.5</v>
          </cell>
        </row>
        <row r="1693">
          <cell r="A1693">
            <v>104360</v>
          </cell>
          <cell r="B1693">
            <v>8.5</v>
          </cell>
        </row>
        <row r="1694">
          <cell r="A1694">
            <v>104360</v>
          </cell>
          <cell r="B1694">
            <v>11.1</v>
          </cell>
        </row>
        <row r="1695">
          <cell r="A1695">
            <v>104460</v>
          </cell>
          <cell r="B1695">
            <v>11.1</v>
          </cell>
        </row>
        <row r="1696">
          <cell r="A1696">
            <v>104460</v>
          </cell>
          <cell r="B1696">
            <v>12.5</v>
          </cell>
        </row>
        <row r="1697">
          <cell r="A1697">
            <v>104560</v>
          </cell>
          <cell r="B1697">
            <v>12.5</v>
          </cell>
        </row>
        <row r="1698">
          <cell r="A1698">
            <v>104560</v>
          </cell>
          <cell r="B1698">
            <v>12.2</v>
          </cell>
        </row>
        <row r="1699">
          <cell r="A1699">
            <v>104660</v>
          </cell>
          <cell r="B1699">
            <v>12.2</v>
          </cell>
        </row>
        <row r="1700">
          <cell r="A1700">
            <v>104660</v>
          </cell>
          <cell r="B1700">
            <v>9</v>
          </cell>
        </row>
        <row r="1701">
          <cell r="A1701">
            <v>104760</v>
          </cell>
          <cell r="B1701">
            <v>9</v>
          </cell>
        </row>
        <row r="1702">
          <cell r="A1702">
            <v>104760</v>
          </cell>
          <cell r="B1702">
            <v>10.199999999999999</v>
          </cell>
        </row>
        <row r="1703">
          <cell r="A1703">
            <v>104860</v>
          </cell>
          <cell r="B1703">
            <v>10.199999999999999</v>
          </cell>
        </row>
        <row r="1704">
          <cell r="A1704">
            <v>104860</v>
          </cell>
          <cell r="B1704">
            <v>9.8000000000000007</v>
          </cell>
        </row>
        <row r="1705">
          <cell r="A1705">
            <v>104960</v>
          </cell>
          <cell r="B1705">
            <v>9.8000000000000007</v>
          </cell>
        </row>
        <row r="1706">
          <cell r="A1706">
            <v>104960</v>
          </cell>
          <cell r="B1706">
            <v>6.6</v>
          </cell>
        </row>
        <row r="1707">
          <cell r="A1707">
            <v>105036</v>
          </cell>
          <cell r="B1707">
            <v>6.6</v>
          </cell>
        </row>
        <row r="1708">
          <cell r="A1708">
            <v>105036</v>
          </cell>
          <cell r="B1708">
            <v>9.1999999999999993</v>
          </cell>
        </row>
        <row r="1709">
          <cell r="A1709">
            <v>105050</v>
          </cell>
          <cell r="B1709">
            <v>9.1999999999999993</v>
          </cell>
        </row>
        <row r="1710">
          <cell r="A1710">
            <v>105050</v>
          </cell>
          <cell r="B1710">
            <v>10.8</v>
          </cell>
        </row>
        <row r="1711">
          <cell r="A1711">
            <v>105150</v>
          </cell>
          <cell r="B1711">
            <v>10.8</v>
          </cell>
        </row>
        <row r="1712">
          <cell r="A1712">
            <v>105150</v>
          </cell>
          <cell r="B1712">
            <v>9.3000000000000007</v>
          </cell>
        </row>
        <row r="1713">
          <cell r="A1713">
            <v>105250</v>
          </cell>
          <cell r="B1713">
            <v>9.3000000000000007</v>
          </cell>
        </row>
        <row r="1714">
          <cell r="A1714">
            <v>105250</v>
          </cell>
          <cell r="B1714">
            <v>7.6</v>
          </cell>
        </row>
        <row r="1715">
          <cell r="A1715">
            <v>105350</v>
          </cell>
          <cell r="B1715">
            <v>7.6</v>
          </cell>
        </row>
        <row r="1716">
          <cell r="A1716">
            <v>105350</v>
          </cell>
          <cell r="B1716">
            <v>8.8000000000000007</v>
          </cell>
        </row>
        <row r="1717">
          <cell r="A1717">
            <v>105450</v>
          </cell>
          <cell r="B1717">
            <v>8.8000000000000007</v>
          </cell>
        </row>
        <row r="1718">
          <cell r="A1718">
            <v>105450</v>
          </cell>
          <cell r="B1718">
            <v>13.1</v>
          </cell>
        </row>
        <row r="1719">
          <cell r="A1719">
            <v>105550</v>
          </cell>
          <cell r="B1719">
            <v>13.1</v>
          </cell>
        </row>
        <row r="1720">
          <cell r="A1720">
            <v>105550</v>
          </cell>
          <cell r="B1720">
            <v>10.9</v>
          </cell>
        </row>
        <row r="1721">
          <cell r="A1721">
            <v>105650</v>
          </cell>
          <cell r="B1721">
            <v>10.9</v>
          </cell>
        </row>
        <row r="1722">
          <cell r="A1722">
            <v>105650</v>
          </cell>
          <cell r="B1722">
            <v>8.5</v>
          </cell>
        </row>
        <row r="1723">
          <cell r="A1723">
            <v>105750</v>
          </cell>
          <cell r="B1723">
            <v>8.5</v>
          </cell>
        </row>
        <row r="1724">
          <cell r="A1724">
            <v>105750</v>
          </cell>
          <cell r="B1724">
            <v>10</v>
          </cell>
        </row>
        <row r="1725">
          <cell r="A1725">
            <v>105850</v>
          </cell>
          <cell r="B1725">
            <v>10</v>
          </cell>
        </row>
        <row r="1726">
          <cell r="A1726">
            <v>105850</v>
          </cell>
          <cell r="B1726">
            <v>9.9</v>
          </cell>
        </row>
        <row r="1727">
          <cell r="A1727">
            <v>105950</v>
          </cell>
          <cell r="B1727">
            <v>9.9</v>
          </cell>
        </row>
        <row r="1728">
          <cell r="A1728">
            <v>105950</v>
          </cell>
          <cell r="B1728">
            <v>8.9</v>
          </cell>
        </row>
        <row r="1729">
          <cell r="A1729">
            <v>106068</v>
          </cell>
          <cell r="B1729">
            <v>8.9</v>
          </cell>
        </row>
        <row r="1730">
          <cell r="A1730">
            <v>106068</v>
          </cell>
          <cell r="B1730">
            <v>7.4</v>
          </cell>
        </row>
        <row r="1731">
          <cell r="A1731">
            <v>106168</v>
          </cell>
          <cell r="B1731">
            <v>7.4</v>
          </cell>
        </row>
        <row r="1732">
          <cell r="A1732">
            <v>106168</v>
          </cell>
          <cell r="B1732">
            <v>9.1999999999999993</v>
          </cell>
        </row>
        <row r="1733">
          <cell r="A1733">
            <v>106268</v>
          </cell>
          <cell r="B1733">
            <v>9.1999999999999993</v>
          </cell>
        </row>
        <row r="1734">
          <cell r="A1734">
            <v>106268</v>
          </cell>
          <cell r="B1734">
            <v>9</v>
          </cell>
        </row>
        <row r="1735">
          <cell r="A1735">
            <v>106368</v>
          </cell>
          <cell r="B1735">
            <v>9</v>
          </cell>
        </row>
        <row r="1736">
          <cell r="A1736">
            <v>106368</v>
          </cell>
          <cell r="B1736">
            <v>8.3000000000000007</v>
          </cell>
        </row>
        <row r="1737">
          <cell r="A1737">
            <v>106468</v>
          </cell>
          <cell r="B1737">
            <v>8.3000000000000007</v>
          </cell>
        </row>
        <row r="1738">
          <cell r="A1738">
            <v>106468</v>
          </cell>
          <cell r="B1738">
            <v>9.1</v>
          </cell>
        </row>
        <row r="1739">
          <cell r="A1739">
            <v>106568</v>
          </cell>
          <cell r="B1739">
            <v>9.1</v>
          </cell>
        </row>
        <row r="1740">
          <cell r="A1740">
            <v>106568</v>
          </cell>
          <cell r="B1740">
            <v>10.6</v>
          </cell>
        </row>
        <row r="1741">
          <cell r="A1741">
            <v>106668</v>
          </cell>
          <cell r="B1741">
            <v>10.6</v>
          </cell>
        </row>
        <row r="1742">
          <cell r="A1742">
            <v>106668</v>
          </cell>
          <cell r="B1742">
            <v>8.6999999999999993</v>
          </cell>
        </row>
        <row r="1743">
          <cell r="A1743">
            <v>106768</v>
          </cell>
          <cell r="B1743">
            <v>8.6999999999999993</v>
          </cell>
        </row>
        <row r="1744">
          <cell r="A1744">
            <v>106768</v>
          </cell>
          <cell r="B1744">
            <v>7.2</v>
          </cell>
        </row>
        <row r="1745">
          <cell r="A1745">
            <v>106868</v>
          </cell>
          <cell r="B1745">
            <v>7.2</v>
          </cell>
        </row>
        <row r="1746">
          <cell r="A1746">
            <v>106868</v>
          </cell>
          <cell r="B1746">
            <v>7.7</v>
          </cell>
        </row>
        <row r="1747">
          <cell r="A1747">
            <v>106968</v>
          </cell>
          <cell r="B1747">
            <v>7.7</v>
          </cell>
        </row>
        <row r="1748">
          <cell r="A1748">
            <v>106968</v>
          </cell>
          <cell r="B1748">
            <v>8.1999999999999993</v>
          </cell>
        </row>
        <row r="1749">
          <cell r="A1749">
            <v>107077</v>
          </cell>
          <cell r="B1749">
            <v>8.1999999999999993</v>
          </cell>
        </row>
        <row r="1750">
          <cell r="A1750">
            <v>107077</v>
          </cell>
          <cell r="B1750">
            <v>6.7</v>
          </cell>
        </row>
        <row r="1751">
          <cell r="A1751">
            <v>107177</v>
          </cell>
          <cell r="B1751">
            <v>6.7</v>
          </cell>
        </row>
        <row r="1752">
          <cell r="A1752">
            <v>107177</v>
          </cell>
          <cell r="B1752">
            <v>3.3</v>
          </cell>
        </row>
        <row r="1753">
          <cell r="A1753">
            <v>107277</v>
          </cell>
          <cell r="B1753">
            <v>3.3</v>
          </cell>
        </row>
        <row r="1754">
          <cell r="A1754">
            <v>107277</v>
          </cell>
          <cell r="B1754">
            <v>3.6</v>
          </cell>
        </row>
        <row r="1755">
          <cell r="A1755">
            <v>107377</v>
          </cell>
          <cell r="B1755">
            <v>3.6</v>
          </cell>
        </row>
        <row r="1756">
          <cell r="A1756">
            <v>107377</v>
          </cell>
          <cell r="B1756">
            <v>5.4</v>
          </cell>
        </row>
        <row r="1757">
          <cell r="A1757">
            <v>107477</v>
          </cell>
          <cell r="B1757">
            <v>5.4</v>
          </cell>
        </row>
        <row r="1758">
          <cell r="A1758">
            <v>107477</v>
          </cell>
          <cell r="B1758">
            <v>7.8</v>
          </cell>
        </row>
        <row r="1759">
          <cell r="A1759">
            <v>107577</v>
          </cell>
          <cell r="B1759">
            <v>7.8</v>
          </cell>
        </row>
        <row r="1760">
          <cell r="A1760">
            <v>107577</v>
          </cell>
          <cell r="B1760">
            <v>4.9000000000000004</v>
          </cell>
        </row>
        <row r="1761">
          <cell r="A1761">
            <v>107677</v>
          </cell>
          <cell r="B1761">
            <v>4.9000000000000004</v>
          </cell>
        </row>
        <row r="1762">
          <cell r="A1762">
            <v>107677</v>
          </cell>
          <cell r="B1762">
            <v>6.4</v>
          </cell>
        </row>
        <row r="1763">
          <cell r="A1763">
            <v>107777</v>
          </cell>
          <cell r="B1763">
            <v>6.4</v>
          </cell>
        </row>
        <row r="1764">
          <cell r="A1764">
            <v>107777</v>
          </cell>
          <cell r="B1764">
            <v>8.1</v>
          </cell>
        </row>
        <row r="1765">
          <cell r="A1765">
            <v>107877</v>
          </cell>
          <cell r="B1765">
            <v>8.1</v>
          </cell>
        </row>
        <row r="1766">
          <cell r="A1766">
            <v>107877</v>
          </cell>
          <cell r="B1766">
            <v>7.5</v>
          </cell>
        </row>
        <row r="1767">
          <cell r="A1767">
            <v>107977</v>
          </cell>
          <cell r="B1767">
            <v>7.5</v>
          </cell>
        </row>
        <row r="1768">
          <cell r="A1768">
            <v>107977</v>
          </cell>
          <cell r="B1768">
            <v>7.1</v>
          </cell>
        </row>
        <row r="1769">
          <cell r="A1769">
            <v>108077</v>
          </cell>
          <cell r="B1769">
            <v>7.1</v>
          </cell>
        </row>
        <row r="1770">
          <cell r="A1770">
            <v>108077</v>
          </cell>
          <cell r="B1770">
            <v>6.6</v>
          </cell>
        </row>
        <row r="1771">
          <cell r="A1771">
            <v>108177</v>
          </cell>
          <cell r="B1771">
            <v>6.6</v>
          </cell>
        </row>
        <row r="1772">
          <cell r="A1772">
            <v>108177</v>
          </cell>
          <cell r="B1772">
            <v>6.5</v>
          </cell>
        </row>
        <row r="1773">
          <cell r="A1773">
            <v>108277</v>
          </cell>
          <cell r="B1773">
            <v>6.5</v>
          </cell>
        </row>
        <row r="1774">
          <cell r="A1774">
            <v>108277</v>
          </cell>
          <cell r="B1774">
            <v>4.4000000000000004</v>
          </cell>
        </row>
        <row r="1775">
          <cell r="A1775">
            <v>108377</v>
          </cell>
          <cell r="B1775">
            <v>4.4000000000000004</v>
          </cell>
        </row>
        <row r="1776">
          <cell r="A1776">
            <v>108377</v>
          </cell>
          <cell r="B1776">
            <v>9.6999999999999993</v>
          </cell>
        </row>
        <row r="1777">
          <cell r="A1777">
            <v>108477</v>
          </cell>
          <cell r="B1777">
            <v>9.6999999999999993</v>
          </cell>
        </row>
        <row r="1778">
          <cell r="A1778">
            <v>108477</v>
          </cell>
          <cell r="B1778">
            <v>10.5</v>
          </cell>
        </row>
        <row r="1779">
          <cell r="A1779">
            <v>108577</v>
          </cell>
          <cell r="B1779">
            <v>10.5</v>
          </cell>
        </row>
        <row r="1780">
          <cell r="A1780">
            <v>108577</v>
          </cell>
          <cell r="B1780">
            <v>7.9</v>
          </cell>
        </row>
        <row r="1781">
          <cell r="A1781">
            <v>108677</v>
          </cell>
          <cell r="B1781">
            <v>7.9</v>
          </cell>
        </row>
        <row r="1782">
          <cell r="A1782">
            <v>108677</v>
          </cell>
          <cell r="B1782">
            <v>8.1</v>
          </cell>
        </row>
        <row r="1783">
          <cell r="A1783">
            <v>108777</v>
          </cell>
          <cell r="B1783">
            <v>8.1</v>
          </cell>
        </row>
        <row r="1784">
          <cell r="A1784">
            <v>108777</v>
          </cell>
          <cell r="B1784">
            <v>8.5</v>
          </cell>
        </row>
        <row r="1785">
          <cell r="A1785">
            <v>108877</v>
          </cell>
          <cell r="B1785">
            <v>8.5</v>
          </cell>
        </row>
        <row r="1786">
          <cell r="A1786">
            <v>108877</v>
          </cell>
          <cell r="B1786">
            <v>7.1</v>
          </cell>
        </row>
        <row r="1787">
          <cell r="A1787">
            <v>108977</v>
          </cell>
          <cell r="B1787">
            <v>7.1</v>
          </cell>
        </row>
        <row r="1788">
          <cell r="A1788">
            <v>108977</v>
          </cell>
          <cell r="B1788">
            <v>11.4</v>
          </cell>
        </row>
        <row r="1789">
          <cell r="A1789">
            <v>109082</v>
          </cell>
          <cell r="B1789">
            <v>11.4</v>
          </cell>
        </row>
        <row r="1790">
          <cell r="A1790">
            <v>109082</v>
          </cell>
          <cell r="B1790">
            <v>7.2</v>
          </cell>
        </row>
        <row r="1791">
          <cell r="A1791">
            <v>109182</v>
          </cell>
          <cell r="B1791">
            <v>7.2</v>
          </cell>
        </row>
        <row r="1792">
          <cell r="A1792">
            <v>109182</v>
          </cell>
          <cell r="B1792">
            <v>5.3</v>
          </cell>
        </row>
        <row r="1793">
          <cell r="A1793">
            <v>109282</v>
          </cell>
          <cell r="B1793">
            <v>5.3</v>
          </cell>
        </row>
        <row r="1794">
          <cell r="A1794">
            <v>109282</v>
          </cell>
          <cell r="B1794">
            <v>5.4</v>
          </cell>
        </row>
        <row r="1795">
          <cell r="A1795">
            <v>109382</v>
          </cell>
          <cell r="B1795">
            <v>5.4</v>
          </cell>
        </row>
        <row r="1796">
          <cell r="A1796">
            <v>109382</v>
          </cell>
          <cell r="B1796">
            <v>5.8</v>
          </cell>
        </row>
        <row r="1797">
          <cell r="A1797">
            <v>109482</v>
          </cell>
          <cell r="B1797">
            <v>5.8</v>
          </cell>
        </row>
        <row r="1798">
          <cell r="A1798">
            <v>109482</v>
          </cell>
          <cell r="B1798">
            <v>5.4</v>
          </cell>
        </row>
        <row r="1799">
          <cell r="A1799">
            <v>109582</v>
          </cell>
          <cell r="B1799">
            <v>5.4</v>
          </cell>
        </row>
        <row r="1800">
          <cell r="A1800">
            <v>109582</v>
          </cell>
          <cell r="B1800">
            <v>7</v>
          </cell>
        </row>
        <row r="1801">
          <cell r="A1801">
            <v>109682</v>
          </cell>
          <cell r="B1801">
            <v>7</v>
          </cell>
        </row>
        <row r="1802">
          <cell r="A1802">
            <v>109682</v>
          </cell>
          <cell r="B1802">
            <v>8.6999999999999993</v>
          </cell>
        </row>
        <row r="1803">
          <cell r="A1803">
            <v>109782</v>
          </cell>
          <cell r="B1803">
            <v>8.6999999999999993</v>
          </cell>
        </row>
        <row r="1804">
          <cell r="A1804">
            <v>109782</v>
          </cell>
          <cell r="B1804">
            <v>11.5</v>
          </cell>
        </row>
        <row r="1805">
          <cell r="A1805">
            <v>109882</v>
          </cell>
          <cell r="B1805">
            <v>11.5</v>
          </cell>
        </row>
        <row r="1806">
          <cell r="A1806">
            <v>109882</v>
          </cell>
          <cell r="B1806">
            <v>11.3</v>
          </cell>
        </row>
        <row r="1807">
          <cell r="A1807">
            <v>109982</v>
          </cell>
          <cell r="B1807">
            <v>11.3</v>
          </cell>
        </row>
        <row r="1808">
          <cell r="A1808">
            <v>109982</v>
          </cell>
          <cell r="B1808">
            <v>16.5</v>
          </cell>
        </row>
        <row r="1809">
          <cell r="A1809">
            <v>110085</v>
          </cell>
          <cell r="B1809">
            <v>16.5</v>
          </cell>
        </row>
        <row r="1810">
          <cell r="A1810">
            <v>110085</v>
          </cell>
          <cell r="B1810">
            <v>18.399999999999999</v>
          </cell>
        </row>
        <row r="1811">
          <cell r="A1811">
            <v>110185</v>
          </cell>
          <cell r="B1811">
            <v>18.399999999999999</v>
          </cell>
        </row>
        <row r="1812">
          <cell r="A1812">
            <v>110185</v>
          </cell>
          <cell r="B1812">
            <v>17.3</v>
          </cell>
        </row>
        <row r="1813">
          <cell r="A1813">
            <v>110285</v>
          </cell>
          <cell r="B1813">
            <v>17.3</v>
          </cell>
        </row>
        <row r="1814">
          <cell r="A1814">
            <v>110285</v>
          </cell>
          <cell r="B1814">
            <v>12.9</v>
          </cell>
        </row>
        <row r="1815">
          <cell r="A1815">
            <v>110385</v>
          </cell>
          <cell r="B1815">
            <v>12.9</v>
          </cell>
        </row>
        <row r="1816">
          <cell r="A1816">
            <v>110385</v>
          </cell>
          <cell r="B1816">
            <v>19</v>
          </cell>
        </row>
        <row r="1817">
          <cell r="A1817">
            <v>110485</v>
          </cell>
          <cell r="B1817">
            <v>19</v>
          </cell>
        </row>
        <row r="1818">
          <cell r="A1818">
            <v>110485</v>
          </cell>
          <cell r="B1818">
            <v>21.1</v>
          </cell>
        </row>
        <row r="1819">
          <cell r="A1819">
            <v>110585</v>
          </cell>
          <cell r="B1819">
            <v>21.1</v>
          </cell>
        </row>
        <row r="1820">
          <cell r="A1820">
            <v>110585</v>
          </cell>
          <cell r="B1820">
            <v>21</v>
          </cell>
        </row>
        <row r="1821">
          <cell r="A1821">
            <v>110685</v>
          </cell>
          <cell r="B1821">
            <v>21</v>
          </cell>
        </row>
        <row r="1822">
          <cell r="A1822">
            <v>110685</v>
          </cell>
          <cell r="B1822">
            <v>25.1</v>
          </cell>
        </row>
        <row r="1823">
          <cell r="A1823">
            <v>110785</v>
          </cell>
          <cell r="B1823">
            <v>25.1</v>
          </cell>
        </row>
        <row r="1824">
          <cell r="A1824">
            <v>110785</v>
          </cell>
          <cell r="B1824">
            <v>24.5</v>
          </cell>
        </row>
        <row r="1825">
          <cell r="A1825">
            <v>110885</v>
          </cell>
          <cell r="B1825">
            <v>24.5</v>
          </cell>
        </row>
        <row r="1826">
          <cell r="A1826">
            <v>110885</v>
          </cell>
          <cell r="B1826">
            <v>18.8</v>
          </cell>
        </row>
        <row r="1827">
          <cell r="A1827">
            <v>110985</v>
          </cell>
          <cell r="B1827">
            <v>18.8</v>
          </cell>
        </row>
        <row r="1828">
          <cell r="A1828">
            <v>110985</v>
          </cell>
          <cell r="B1828">
            <v>19.600000000000001</v>
          </cell>
        </row>
        <row r="1829">
          <cell r="A1829">
            <v>111067</v>
          </cell>
          <cell r="B1829">
            <v>19.600000000000001</v>
          </cell>
        </row>
        <row r="1830">
          <cell r="A1830">
            <v>111067</v>
          </cell>
          <cell r="B1830">
            <v>18.899999999999999</v>
          </cell>
        </row>
        <row r="1831">
          <cell r="A1831">
            <v>111167</v>
          </cell>
          <cell r="B1831">
            <v>18.899999999999999</v>
          </cell>
        </row>
        <row r="1832">
          <cell r="A1832">
            <v>111167</v>
          </cell>
          <cell r="B1832">
            <v>16.100000000000001</v>
          </cell>
        </row>
        <row r="1833">
          <cell r="A1833">
            <v>111267</v>
          </cell>
          <cell r="B1833">
            <v>16.100000000000001</v>
          </cell>
        </row>
        <row r="1834">
          <cell r="A1834">
            <v>111267</v>
          </cell>
          <cell r="B1834">
            <v>20.100000000000001</v>
          </cell>
        </row>
        <row r="1835">
          <cell r="A1835">
            <v>111367</v>
          </cell>
          <cell r="B1835">
            <v>20.100000000000001</v>
          </cell>
        </row>
        <row r="1836">
          <cell r="A1836">
            <v>111367</v>
          </cell>
          <cell r="B1836">
            <v>18.5</v>
          </cell>
        </row>
        <row r="1837">
          <cell r="A1837">
            <v>111467</v>
          </cell>
          <cell r="B1837">
            <v>18.5</v>
          </cell>
        </row>
        <row r="1838">
          <cell r="A1838">
            <v>111467</v>
          </cell>
          <cell r="B1838">
            <v>9.1999999999999993</v>
          </cell>
        </row>
        <row r="1839">
          <cell r="A1839">
            <v>111560</v>
          </cell>
          <cell r="B1839">
            <v>9.1999999999999993</v>
          </cell>
        </row>
        <row r="1840">
          <cell r="A1840">
            <v>111560</v>
          </cell>
          <cell r="B1840">
            <v>9.1</v>
          </cell>
        </row>
        <row r="1841">
          <cell r="A1841">
            <v>111660</v>
          </cell>
          <cell r="B1841">
            <v>9.1</v>
          </cell>
        </row>
        <row r="1842">
          <cell r="A1842">
            <v>111660</v>
          </cell>
          <cell r="B1842">
            <v>3.4</v>
          </cell>
        </row>
        <row r="1843">
          <cell r="A1843">
            <v>111760</v>
          </cell>
          <cell r="B1843">
            <v>3.4</v>
          </cell>
        </row>
        <row r="1844">
          <cell r="A1844">
            <v>111760</v>
          </cell>
          <cell r="B1844">
            <v>5.5</v>
          </cell>
        </row>
        <row r="1845">
          <cell r="A1845">
            <v>111860</v>
          </cell>
          <cell r="B1845">
            <v>5.5</v>
          </cell>
        </row>
        <row r="1846">
          <cell r="A1846">
            <v>111860</v>
          </cell>
          <cell r="B1846">
            <v>5.8</v>
          </cell>
        </row>
        <row r="1847">
          <cell r="A1847">
            <v>111960</v>
          </cell>
          <cell r="B1847">
            <v>5.8</v>
          </cell>
        </row>
        <row r="1848">
          <cell r="A1848">
            <v>111960</v>
          </cell>
          <cell r="B1848">
            <v>3.9</v>
          </cell>
        </row>
        <row r="1849">
          <cell r="A1849">
            <v>112092</v>
          </cell>
          <cell r="B1849">
            <v>3.9</v>
          </cell>
        </row>
        <row r="1850">
          <cell r="A1850">
            <v>112092</v>
          </cell>
          <cell r="B1850">
            <v>3</v>
          </cell>
        </row>
        <row r="1851">
          <cell r="A1851">
            <v>112192</v>
          </cell>
          <cell r="B1851">
            <v>3</v>
          </cell>
        </row>
        <row r="1852">
          <cell r="A1852">
            <v>112192</v>
          </cell>
          <cell r="B1852">
            <v>4.4000000000000004</v>
          </cell>
        </row>
        <row r="1853">
          <cell r="A1853">
            <v>112292</v>
          </cell>
          <cell r="B1853">
            <v>4.4000000000000004</v>
          </cell>
        </row>
        <row r="1854">
          <cell r="A1854">
            <v>112292</v>
          </cell>
          <cell r="B1854">
            <v>2.8</v>
          </cell>
        </row>
        <row r="1855">
          <cell r="A1855">
            <v>112392</v>
          </cell>
          <cell r="B1855">
            <v>2.8</v>
          </cell>
        </row>
        <row r="1856">
          <cell r="A1856">
            <v>112392</v>
          </cell>
          <cell r="B1856">
            <v>2.2999999999999998</v>
          </cell>
        </row>
        <row r="1857">
          <cell r="A1857">
            <v>112492</v>
          </cell>
          <cell r="B1857">
            <v>2.2999999999999998</v>
          </cell>
        </row>
        <row r="1858">
          <cell r="A1858">
            <v>112492</v>
          </cell>
          <cell r="B1858">
            <v>1.9</v>
          </cell>
        </row>
        <row r="1859">
          <cell r="A1859">
            <v>112592</v>
          </cell>
          <cell r="B1859">
            <v>1.9</v>
          </cell>
        </row>
        <row r="1860">
          <cell r="A1860">
            <v>112592</v>
          </cell>
          <cell r="B1860">
            <v>1.8</v>
          </cell>
        </row>
        <row r="1861">
          <cell r="A1861">
            <v>112692</v>
          </cell>
          <cell r="B1861">
            <v>1.8</v>
          </cell>
        </row>
        <row r="1862">
          <cell r="A1862">
            <v>112692</v>
          </cell>
          <cell r="B1862">
            <v>9.1</v>
          </cell>
        </row>
        <row r="1863">
          <cell r="A1863">
            <v>112792</v>
          </cell>
          <cell r="B1863">
            <v>9.1</v>
          </cell>
        </row>
        <row r="1864">
          <cell r="A1864">
            <v>112792</v>
          </cell>
          <cell r="B1864">
            <v>16.100000000000001</v>
          </cell>
        </row>
        <row r="1865">
          <cell r="A1865">
            <v>112892</v>
          </cell>
          <cell r="B1865">
            <v>16.100000000000001</v>
          </cell>
        </row>
        <row r="1866">
          <cell r="A1866">
            <v>112892</v>
          </cell>
          <cell r="B1866">
            <v>20.100000000000001</v>
          </cell>
        </row>
        <row r="1867">
          <cell r="A1867">
            <v>112992</v>
          </cell>
          <cell r="B1867">
            <v>20.100000000000001</v>
          </cell>
        </row>
        <row r="1868">
          <cell r="A1868">
            <v>112992</v>
          </cell>
          <cell r="B1868">
            <v>18.899999999999999</v>
          </cell>
        </row>
        <row r="1869">
          <cell r="A1869">
            <v>113086</v>
          </cell>
          <cell r="B1869">
            <v>18.899999999999999</v>
          </cell>
        </row>
        <row r="1870">
          <cell r="A1870">
            <v>113086</v>
          </cell>
          <cell r="B1870">
            <v>20.6</v>
          </cell>
        </row>
        <row r="1871">
          <cell r="A1871">
            <v>113186</v>
          </cell>
          <cell r="B1871">
            <v>20.6</v>
          </cell>
        </row>
        <row r="1872">
          <cell r="A1872">
            <v>113186</v>
          </cell>
          <cell r="B1872">
            <v>19.8</v>
          </cell>
        </row>
        <row r="1873">
          <cell r="A1873">
            <v>113286</v>
          </cell>
          <cell r="B1873">
            <v>19.8</v>
          </cell>
        </row>
        <row r="1874">
          <cell r="A1874">
            <v>113286</v>
          </cell>
          <cell r="B1874">
            <v>20.9</v>
          </cell>
        </row>
        <row r="1875">
          <cell r="A1875">
            <v>113386</v>
          </cell>
          <cell r="B1875">
            <v>20.9</v>
          </cell>
        </row>
        <row r="1876">
          <cell r="A1876">
            <v>113386</v>
          </cell>
          <cell r="B1876">
            <v>18.8</v>
          </cell>
        </row>
        <row r="1877">
          <cell r="A1877">
            <v>113486</v>
          </cell>
          <cell r="B1877">
            <v>18.8</v>
          </cell>
        </row>
        <row r="1878">
          <cell r="A1878">
            <v>113486</v>
          </cell>
          <cell r="B1878">
            <v>16.899999999999999</v>
          </cell>
        </row>
        <row r="1879">
          <cell r="A1879">
            <v>113586</v>
          </cell>
          <cell r="B1879">
            <v>16.899999999999999</v>
          </cell>
        </row>
        <row r="1880">
          <cell r="A1880">
            <v>113586</v>
          </cell>
          <cell r="B1880">
            <v>16.600000000000001</v>
          </cell>
        </row>
        <row r="1881">
          <cell r="A1881">
            <v>113686</v>
          </cell>
          <cell r="B1881">
            <v>16.600000000000001</v>
          </cell>
        </row>
        <row r="1882">
          <cell r="A1882">
            <v>113686</v>
          </cell>
          <cell r="B1882">
            <v>18</v>
          </cell>
        </row>
        <row r="1883">
          <cell r="A1883">
            <v>113786</v>
          </cell>
          <cell r="B1883">
            <v>18</v>
          </cell>
        </row>
        <row r="1884">
          <cell r="A1884">
            <v>113786</v>
          </cell>
          <cell r="B1884">
            <v>17.100000000000001</v>
          </cell>
        </row>
        <row r="1885">
          <cell r="A1885">
            <v>113886</v>
          </cell>
          <cell r="B1885">
            <v>17.100000000000001</v>
          </cell>
        </row>
        <row r="1886">
          <cell r="A1886">
            <v>113886</v>
          </cell>
          <cell r="B1886">
            <v>17.5</v>
          </cell>
        </row>
        <row r="1887">
          <cell r="A1887">
            <v>113986</v>
          </cell>
          <cell r="B1887">
            <v>17.5</v>
          </cell>
        </row>
        <row r="1888">
          <cell r="A1888">
            <v>113986</v>
          </cell>
          <cell r="B1888">
            <v>16.3</v>
          </cell>
        </row>
        <row r="1889">
          <cell r="A1889">
            <v>114083</v>
          </cell>
          <cell r="B1889">
            <v>16.3</v>
          </cell>
        </row>
        <row r="1890">
          <cell r="A1890">
            <v>114083</v>
          </cell>
          <cell r="B1890">
            <v>12.1</v>
          </cell>
        </row>
        <row r="1891">
          <cell r="A1891">
            <v>114183</v>
          </cell>
          <cell r="B1891">
            <v>12.1</v>
          </cell>
        </row>
        <row r="1892">
          <cell r="A1892">
            <v>114183</v>
          </cell>
          <cell r="B1892">
            <v>12.3</v>
          </cell>
        </row>
        <row r="1893">
          <cell r="A1893">
            <v>114283</v>
          </cell>
          <cell r="B1893">
            <v>12.3</v>
          </cell>
        </row>
        <row r="1894">
          <cell r="A1894">
            <v>114283</v>
          </cell>
          <cell r="B1894">
            <v>15</v>
          </cell>
        </row>
        <row r="1895">
          <cell r="A1895">
            <v>114383</v>
          </cell>
          <cell r="B1895">
            <v>15</v>
          </cell>
        </row>
        <row r="1896">
          <cell r="A1896">
            <v>114383</v>
          </cell>
          <cell r="B1896">
            <v>19.3</v>
          </cell>
        </row>
        <row r="1897">
          <cell r="A1897">
            <v>114483</v>
          </cell>
          <cell r="B1897">
            <v>19.3</v>
          </cell>
        </row>
        <row r="1898">
          <cell r="A1898">
            <v>114483</v>
          </cell>
          <cell r="B1898">
            <v>21.3</v>
          </cell>
        </row>
        <row r="1899">
          <cell r="A1899">
            <v>114583</v>
          </cell>
          <cell r="B1899">
            <v>21.3</v>
          </cell>
        </row>
        <row r="1900">
          <cell r="A1900">
            <v>114583</v>
          </cell>
          <cell r="B1900">
            <v>22</v>
          </cell>
        </row>
        <row r="1901">
          <cell r="A1901">
            <v>114683</v>
          </cell>
          <cell r="B1901">
            <v>22</v>
          </cell>
        </row>
        <row r="1902">
          <cell r="A1902">
            <v>114683</v>
          </cell>
          <cell r="B1902">
            <v>21.9</v>
          </cell>
        </row>
        <row r="1903">
          <cell r="A1903">
            <v>114783</v>
          </cell>
          <cell r="B1903">
            <v>21.9</v>
          </cell>
        </row>
        <row r="1904">
          <cell r="A1904">
            <v>114783</v>
          </cell>
          <cell r="B1904">
            <v>21.2</v>
          </cell>
        </row>
        <row r="1905">
          <cell r="A1905">
            <v>114883</v>
          </cell>
          <cell r="B1905">
            <v>21.2</v>
          </cell>
        </row>
        <row r="1906">
          <cell r="A1906">
            <v>114883</v>
          </cell>
          <cell r="B1906">
            <v>18.3</v>
          </cell>
        </row>
        <row r="1907">
          <cell r="A1907">
            <v>114983</v>
          </cell>
          <cell r="B1907">
            <v>18.3</v>
          </cell>
        </row>
        <row r="1908">
          <cell r="A1908">
            <v>114983</v>
          </cell>
          <cell r="B1908">
            <v>16</v>
          </cell>
        </row>
        <row r="1909">
          <cell r="A1909">
            <v>115084</v>
          </cell>
          <cell r="B1909">
            <v>16</v>
          </cell>
        </row>
        <row r="1910">
          <cell r="A1910">
            <v>115084</v>
          </cell>
          <cell r="B1910">
            <v>17.600000000000001</v>
          </cell>
        </row>
        <row r="1911">
          <cell r="A1911">
            <v>115184</v>
          </cell>
          <cell r="B1911">
            <v>17.600000000000001</v>
          </cell>
        </row>
        <row r="1912">
          <cell r="A1912">
            <v>115184</v>
          </cell>
          <cell r="B1912">
            <v>14</v>
          </cell>
        </row>
        <row r="1913">
          <cell r="A1913">
            <v>115284</v>
          </cell>
          <cell r="B1913">
            <v>14</v>
          </cell>
        </row>
        <row r="1914">
          <cell r="A1914">
            <v>115284</v>
          </cell>
          <cell r="B1914">
            <v>15.3</v>
          </cell>
        </row>
        <row r="1915">
          <cell r="A1915">
            <v>115384</v>
          </cell>
          <cell r="B1915">
            <v>15.3</v>
          </cell>
        </row>
        <row r="1916">
          <cell r="A1916">
            <v>115384</v>
          </cell>
          <cell r="B1916">
            <v>20.8</v>
          </cell>
        </row>
        <row r="1917">
          <cell r="A1917">
            <v>115484</v>
          </cell>
          <cell r="B1917">
            <v>20.8</v>
          </cell>
        </row>
        <row r="1918">
          <cell r="A1918">
            <v>115484</v>
          </cell>
          <cell r="B1918">
            <v>22.4</v>
          </cell>
        </row>
        <row r="1919">
          <cell r="A1919">
            <v>115584</v>
          </cell>
          <cell r="B1919">
            <v>22.4</v>
          </cell>
        </row>
        <row r="1920">
          <cell r="A1920">
            <v>115584</v>
          </cell>
          <cell r="B1920">
            <v>14.1</v>
          </cell>
        </row>
        <row r="1921">
          <cell r="A1921">
            <v>115684</v>
          </cell>
          <cell r="B1921">
            <v>14.1</v>
          </cell>
        </row>
        <row r="1922">
          <cell r="A1922">
            <v>115684</v>
          </cell>
          <cell r="B1922">
            <v>12.9</v>
          </cell>
        </row>
        <row r="1923">
          <cell r="A1923">
            <v>115784</v>
          </cell>
          <cell r="B1923">
            <v>12.9</v>
          </cell>
        </row>
        <row r="1924">
          <cell r="A1924">
            <v>115784</v>
          </cell>
          <cell r="B1924">
            <v>16.100000000000001</v>
          </cell>
        </row>
        <row r="1925">
          <cell r="A1925">
            <v>115884</v>
          </cell>
          <cell r="B1925">
            <v>16.100000000000001</v>
          </cell>
        </row>
        <row r="1926">
          <cell r="A1926">
            <v>115884</v>
          </cell>
          <cell r="B1926">
            <v>17.600000000000001</v>
          </cell>
        </row>
        <row r="1927">
          <cell r="A1927">
            <v>115984</v>
          </cell>
          <cell r="B1927">
            <v>17.600000000000001</v>
          </cell>
        </row>
        <row r="1928">
          <cell r="A1928">
            <v>115984</v>
          </cell>
          <cell r="B1928">
            <v>16.899999999999999</v>
          </cell>
        </row>
        <row r="1929">
          <cell r="A1929">
            <v>116085</v>
          </cell>
          <cell r="B1929">
            <v>16.899999999999999</v>
          </cell>
        </row>
        <row r="1930">
          <cell r="A1930">
            <v>116085</v>
          </cell>
          <cell r="B1930">
            <v>19.600000000000001</v>
          </cell>
        </row>
        <row r="1931">
          <cell r="A1931">
            <v>116185</v>
          </cell>
          <cell r="B1931">
            <v>19.600000000000001</v>
          </cell>
        </row>
        <row r="1932">
          <cell r="A1932">
            <v>116185</v>
          </cell>
          <cell r="B1932">
            <v>19.7</v>
          </cell>
        </row>
        <row r="1933">
          <cell r="A1933">
            <v>116285</v>
          </cell>
          <cell r="B1933">
            <v>19.7</v>
          </cell>
        </row>
        <row r="1934">
          <cell r="A1934">
            <v>116285</v>
          </cell>
          <cell r="B1934">
            <v>14.9</v>
          </cell>
        </row>
        <row r="1935">
          <cell r="A1935">
            <v>116385</v>
          </cell>
          <cell r="B1935">
            <v>14.9</v>
          </cell>
        </row>
        <row r="1936">
          <cell r="A1936">
            <v>116385</v>
          </cell>
          <cell r="B1936">
            <v>13.3</v>
          </cell>
        </row>
        <row r="1937">
          <cell r="A1937">
            <v>116485</v>
          </cell>
          <cell r="B1937">
            <v>13.3</v>
          </cell>
        </row>
        <row r="1938">
          <cell r="A1938">
            <v>116485</v>
          </cell>
          <cell r="B1938">
            <v>15.1</v>
          </cell>
        </row>
        <row r="1939">
          <cell r="A1939">
            <v>116585</v>
          </cell>
          <cell r="B1939">
            <v>15.1</v>
          </cell>
        </row>
        <row r="1940">
          <cell r="A1940">
            <v>116585</v>
          </cell>
          <cell r="B1940">
            <v>14.5</v>
          </cell>
        </row>
        <row r="1941">
          <cell r="A1941">
            <v>116685</v>
          </cell>
          <cell r="B1941">
            <v>14.5</v>
          </cell>
        </row>
        <row r="1942">
          <cell r="A1942">
            <v>116685</v>
          </cell>
          <cell r="B1942">
            <v>15.8</v>
          </cell>
        </row>
        <row r="1943">
          <cell r="A1943">
            <v>116785</v>
          </cell>
          <cell r="B1943">
            <v>15.8</v>
          </cell>
        </row>
        <row r="1944">
          <cell r="A1944">
            <v>116785</v>
          </cell>
          <cell r="B1944">
            <v>20.2</v>
          </cell>
        </row>
        <row r="1945">
          <cell r="A1945">
            <v>116885</v>
          </cell>
          <cell r="B1945">
            <v>20.2</v>
          </cell>
        </row>
        <row r="1946">
          <cell r="A1946">
            <v>116885</v>
          </cell>
          <cell r="B1946">
            <v>17.5</v>
          </cell>
        </row>
        <row r="1947">
          <cell r="A1947">
            <v>116985</v>
          </cell>
          <cell r="B1947">
            <v>17.5</v>
          </cell>
        </row>
        <row r="1948">
          <cell r="A1948">
            <v>116985</v>
          </cell>
          <cell r="B1948">
            <v>18.600000000000001</v>
          </cell>
        </row>
        <row r="1949">
          <cell r="A1949">
            <v>117085</v>
          </cell>
          <cell r="B1949">
            <v>18.600000000000001</v>
          </cell>
        </row>
        <row r="1950">
          <cell r="A1950">
            <v>117085</v>
          </cell>
          <cell r="B1950">
            <v>22.5</v>
          </cell>
        </row>
        <row r="1951">
          <cell r="A1951">
            <v>117185</v>
          </cell>
          <cell r="B1951">
            <v>22.5</v>
          </cell>
        </row>
        <row r="1952">
          <cell r="A1952">
            <v>117185</v>
          </cell>
          <cell r="B1952">
            <v>18.899999999999999</v>
          </cell>
        </row>
        <row r="1953">
          <cell r="A1953">
            <v>117285</v>
          </cell>
          <cell r="B1953">
            <v>18.899999999999999</v>
          </cell>
        </row>
        <row r="1954">
          <cell r="A1954">
            <v>117285</v>
          </cell>
          <cell r="B1954">
            <v>16.399999999999999</v>
          </cell>
        </row>
        <row r="1955">
          <cell r="A1955">
            <v>117385</v>
          </cell>
          <cell r="B1955">
            <v>16.399999999999999</v>
          </cell>
        </row>
        <row r="1956">
          <cell r="A1956">
            <v>117385</v>
          </cell>
          <cell r="B1956">
            <v>17.3</v>
          </cell>
        </row>
        <row r="1957">
          <cell r="A1957">
            <v>117485</v>
          </cell>
          <cell r="B1957">
            <v>17.3</v>
          </cell>
        </row>
        <row r="1958">
          <cell r="A1958">
            <v>117485</v>
          </cell>
          <cell r="B1958">
            <v>16.8</v>
          </cell>
        </row>
        <row r="1959">
          <cell r="A1959">
            <v>117585</v>
          </cell>
          <cell r="B1959">
            <v>16.8</v>
          </cell>
        </row>
        <row r="1960">
          <cell r="A1960">
            <v>117585</v>
          </cell>
          <cell r="B1960">
            <v>12.9</v>
          </cell>
        </row>
        <row r="1961">
          <cell r="A1961">
            <v>117685</v>
          </cell>
          <cell r="B1961">
            <v>12.9</v>
          </cell>
        </row>
        <row r="1962">
          <cell r="A1962">
            <v>117685</v>
          </cell>
          <cell r="B1962">
            <v>5.9</v>
          </cell>
        </row>
        <row r="1963">
          <cell r="A1963">
            <v>117785</v>
          </cell>
          <cell r="B1963">
            <v>5.9</v>
          </cell>
        </row>
        <row r="1964">
          <cell r="A1964">
            <v>117785</v>
          </cell>
          <cell r="B1964">
            <v>7.5</v>
          </cell>
        </row>
        <row r="1965">
          <cell r="A1965">
            <v>117885</v>
          </cell>
          <cell r="B1965">
            <v>7.5</v>
          </cell>
        </row>
        <row r="1966">
          <cell r="A1966">
            <v>117885</v>
          </cell>
          <cell r="B1966">
            <v>12.3</v>
          </cell>
        </row>
        <row r="1967">
          <cell r="A1967">
            <v>117985</v>
          </cell>
          <cell r="B1967">
            <v>12.3</v>
          </cell>
        </row>
        <row r="1968">
          <cell r="A1968">
            <v>117985</v>
          </cell>
          <cell r="B1968">
            <v>8.9</v>
          </cell>
        </row>
        <row r="1969">
          <cell r="A1969">
            <v>118089</v>
          </cell>
          <cell r="B1969">
            <v>8.9</v>
          </cell>
        </row>
        <row r="1970">
          <cell r="A1970">
            <v>118089</v>
          </cell>
          <cell r="B1970">
            <v>11.9</v>
          </cell>
        </row>
        <row r="1971">
          <cell r="A1971">
            <v>118189</v>
          </cell>
          <cell r="B1971">
            <v>11.9</v>
          </cell>
        </row>
        <row r="1972">
          <cell r="A1972">
            <v>118189</v>
          </cell>
          <cell r="B1972">
            <v>10</v>
          </cell>
        </row>
        <row r="1973">
          <cell r="A1973">
            <v>118289</v>
          </cell>
          <cell r="B1973">
            <v>10</v>
          </cell>
        </row>
        <row r="1974">
          <cell r="A1974">
            <v>118289</v>
          </cell>
          <cell r="B1974">
            <v>15.7</v>
          </cell>
        </row>
        <row r="1975">
          <cell r="A1975">
            <v>118389</v>
          </cell>
          <cell r="B1975">
            <v>15.7</v>
          </cell>
        </row>
        <row r="1976">
          <cell r="A1976">
            <v>118389</v>
          </cell>
          <cell r="B1976">
            <v>17</v>
          </cell>
        </row>
        <row r="1977">
          <cell r="A1977">
            <v>118489</v>
          </cell>
          <cell r="B1977">
            <v>17</v>
          </cell>
        </row>
        <row r="1978">
          <cell r="A1978">
            <v>118489</v>
          </cell>
          <cell r="B1978">
            <v>15.9</v>
          </cell>
        </row>
        <row r="1979">
          <cell r="A1979">
            <v>118589</v>
          </cell>
          <cell r="B1979">
            <v>15.9</v>
          </cell>
        </row>
        <row r="1980">
          <cell r="A1980">
            <v>118589</v>
          </cell>
          <cell r="B1980">
            <v>12.6</v>
          </cell>
        </row>
        <row r="1981">
          <cell r="A1981">
            <v>118689</v>
          </cell>
          <cell r="B1981">
            <v>12.6</v>
          </cell>
        </row>
        <row r="1982">
          <cell r="A1982">
            <v>118689</v>
          </cell>
          <cell r="B1982">
            <v>11.4</v>
          </cell>
        </row>
        <row r="1983">
          <cell r="A1983">
            <v>118789</v>
          </cell>
          <cell r="B1983">
            <v>11.4</v>
          </cell>
        </row>
        <row r="1984">
          <cell r="A1984">
            <v>118789</v>
          </cell>
          <cell r="B1984">
            <v>15.3</v>
          </cell>
        </row>
        <row r="1985">
          <cell r="A1985">
            <v>118889</v>
          </cell>
          <cell r="B1985">
            <v>15.3</v>
          </cell>
        </row>
        <row r="1986">
          <cell r="A1986">
            <v>118889</v>
          </cell>
          <cell r="B1986">
            <v>17</v>
          </cell>
        </row>
        <row r="1987">
          <cell r="A1987">
            <v>118989</v>
          </cell>
          <cell r="B1987">
            <v>17</v>
          </cell>
        </row>
        <row r="1988">
          <cell r="A1988">
            <v>118989</v>
          </cell>
          <cell r="B1988">
            <v>18.600000000000001</v>
          </cell>
        </row>
        <row r="1989">
          <cell r="A1989">
            <v>119080</v>
          </cell>
          <cell r="B1989">
            <v>18.600000000000001</v>
          </cell>
        </row>
        <row r="1990">
          <cell r="A1990">
            <v>119080</v>
          </cell>
          <cell r="B1990">
            <v>20.9</v>
          </cell>
        </row>
        <row r="1991">
          <cell r="A1991">
            <v>119180</v>
          </cell>
          <cell r="B1991">
            <v>20.9</v>
          </cell>
        </row>
        <row r="1992">
          <cell r="A1992">
            <v>119180</v>
          </cell>
          <cell r="B1992">
            <v>21</v>
          </cell>
        </row>
        <row r="1993">
          <cell r="A1993">
            <v>119380</v>
          </cell>
          <cell r="B1993">
            <v>21</v>
          </cell>
        </row>
        <row r="1994">
          <cell r="A1994">
            <v>119380</v>
          </cell>
          <cell r="B1994">
            <v>17.5</v>
          </cell>
        </row>
        <row r="1995">
          <cell r="A1995">
            <v>119480</v>
          </cell>
          <cell r="B1995">
            <v>17.5</v>
          </cell>
        </row>
        <row r="1996">
          <cell r="A1996">
            <v>119480</v>
          </cell>
          <cell r="B1996">
            <v>19.5</v>
          </cell>
        </row>
        <row r="1997">
          <cell r="A1997">
            <v>119580</v>
          </cell>
          <cell r="B1997">
            <v>19.5</v>
          </cell>
        </row>
        <row r="1998">
          <cell r="A1998">
            <v>119580</v>
          </cell>
          <cell r="B1998">
            <v>14.5</v>
          </cell>
        </row>
        <row r="1999">
          <cell r="A1999">
            <v>119680</v>
          </cell>
          <cell r="B1999">
            <v>14.5</v>
          </cell>
        </row>
        <row r="2000">
          <cell r="A2000">
            <v>119680</v>
          </cell>
          <cell r="B2000">
            <v>13.5</v>
          </cell>
        </row>
        <row r="2001">
          <cell r="A2001">
            <v>119780</v>
          </cell>
          <cell r="B2001">
            <v>13.5</v>
          </cell>
        </row>
        <row r="2002">
          <cell r="A2002">
            <v>119780</v>
          </cell>
          <cell r="B2002">
            <v>17.100000000000001</v>
          </cell>
        </row>
        <row r="2003">
          <cell r="A2003">
            <v>119880</v>
          </cell>
          <cell r="B2003">
            <v>17.100000000000001</v>
          </cell>
        </row>
        <row r="2004">
          <cell r="A2004">
            <v>119880</v>
          </cell>
          <cell r="B2004">
            <v>20.100000000000001</v>
          </cell>
        </row>
        <row r="2005">
          <cell r="A2005">
            <v>119980</v>
          </cell>
          <cell r="B2005">
            <v>20.100000000000001</v>
          </cell>
        </row>
        <row r="2006">
          <cell r="A2006">
            <v>119980</v>
          </cell>
          <cell r="B2006">
            <v>20.6</v>
          </cell>
        </row>
        <row r="2007">
          <cell r="A2007">
            <v>120080</v>
          </cell>
          <cell r="B2007">
            <v>20.6</v>
          </cell>
        </row>
        <row r="2008">
          <cell r="A2008">
            <v>120080</v>
          </cell>
          <cell r="B2008">
            <v>19.5</v>
          </cell>
        </row>
        <row r="2009">
          <cell r="A2009">
            <v>120180</v>
          </cell>
          <cell r="B2009">
            <v>19.5</v>
          </cell>
        </row>
        <row r="2010">
          <cell r="A2010">
            <v>120180</v>
          </cell>
          <cell r="B2010">
            <v>17</v>
          </cell>
        </row>
        <row r="2011">
          <cell r="A2011">
            <v>120273</v>
          </cell>
          <cell r="B2011">
            <v>17</v>
          </cell>
        </row>
        <row r="2012">
          <cell r="A2012">
            <v>120273</v>
          </cell>
          <cell r="B2012">
            <v>15</v>
          </cell>
        </row>
        <row r="2013">
          <cell r="A2013">
            <v>120373</v>
          </cell>
          <cell r="B2013">
            <v>15</v>
          </cell>
        </row>
        <row r="2014">
          <cell r="A2014">
            <v>120373</v>
          </cell>
          <cell r="B2014">
            <v>14.4</v>
          </cell>
        </row>
        <row r="2015">
          <cell r="A2015">
            <v>120473</v>
          </cell>
          <cell r="B2015">
            <v>14.4</v>
          </cell>
        </row>
        <row r="2016">
          <cell r="A2016">
            <v>120473</v>
          </cell>
          <cell r="B2016">
            <v>18.2</v>
          </cell>
        </row>
        <row r="2017">
          <cell r="A2017">
            <v>120573</v>
          </cell>
          <cell r="B2017">
            <v>18.2</v>
          </cell>
        </row>
        <row r="2018">
          <cell r="A2018">
            <v>120573</v>
          </cell>
          <cell r="B2018">
            <v>22.5</v>
          </cell>
        </row>
        <row r="2019">
          <cell r="A2019">
            <v>120673</v>
          </cell>
          <cell r="B2019">
            <v>22.5</v>
          </cell>
        </row>
        <row r="2020">
          <cell r="A2020">
            <v>120673</v>
          </cell>
          <cell r="B2020">
            <v>23</v>
          </cell>
        </row>
        <row r="2021">
          <cell r="A2021">
            <v>120773</v>
          </cell>
          <cell r="B2021">
            <v>23</v>
          </cell>
        </row>
        <row r="2022">
          <cell r="A2022">
            <v>120773</v>
          </cell>
          <cell r="B2022">
            <v>25.4</v>
          </cell>
        </row>
        <row r="2023">
          <cell r="A2023">
            <v>120873</v>
          </cell>
          <cell r="B2023">
            <v>25.4</v>
          </cell>
        </row>
        <row r="2024">
          <cell r="A2024">
            <v>120873</v>
          </cell>
          <cell r="B2024">
            <v>25.2</v>
          </cell>
        </row>
        <row r="2025">
          <cell r="A2025">
            <v>121004</v>
          </cell>
          <cell r="B2025">
            <v>25.2</v>
          </cell>
        </row>
        <row r="2026">
          <cell r="A2026">
            <v>121004</v>
          </cell>
          <cell r="B2026">
            <v>20.100000000000001</v>
          </cell>
        </row>
        <row r="2027">
          <cell r="A2027">
            <v>121104</v>
          </cell>
          <cell r="B2027">
            <v>20.100000000000001</v>
          </cell>
        </row>
        <row r="2028">
          <cell r="A2028">
            <v>121104</v>
          </cell>
          <cell r="B2028">
            <v>21.5</v>
          </cell>
        </row>
        <row r="2029">
          <cell r="A2029">
            <v>121204</v>
          </cell>
          <cell r="B2029">
            <v>21.5</v>
          </cell>
        </row>
        <row r="2030">
          <cell r="A2030">
            <v>121204</v>
          </cell>
          <cell r="B2030">
            <v>24.9</v>
          </cell>
        </row>
        <row r="2031">
          <cell r="A2031">
            <v>121304</v>
          </cell>
          <cell r="B2031">
            <v>24.9</v>
          </cell>
        </row>
        <row r="2032">
          <cell r="A2032">
            <v>121304</v>
          </cell>
          <cell r="B2032">
            <v>23.6</v>
          </cell>
        </row>
        <row r="2033">
          <cell r="A2033">
            <v>121404</v>
          </cell>
          <cell r="B2033">
            <v>23.6</v>
          </cell>
        </row>
        <row r="2034">
          <cell r="A2034">
            <v>121404</v>
          </cell>
          <cell r="B2034">
            <v>20.9</v>
          </cell>
        </row>
        <row r="2035">
          <cell r="A2035">
            <v>121504</v>
          </cell>
          <cell r="B2035">
            <v>20.9</v>
          </cell>
        </row>
        <row r="2036">
          <cell r="A2036">
            <v>121504</v>
          </cell>
          <cell r="B2036">
            <v>19.8</v>
          </cell>
        </row>
        <row r="2037">
          <cell r="A2037">
            <v>121604</v>
          </cell>
          <cell r="B2037">
            <v>19.8</v>
          </cell>
        </row>
        <row r="2038">
          <cell r="A2038">
            <v>121604</v>
          </cell>
          <cell r="B2038">
            <v>18.7</v>
          </cell>
        </row>
        <row r="2039">
          <cell r="A2039">
            <v>121704</v>
          </cell>
          <cell r="B2039">
            <v>18.7</v>
          </cell>
        </row>
        <row r="2040">
          <cell r="A2040">
            <v>121704</v>
          </cell>
          <cell r="B2040">
            <v>19.399999999999999</v>
          </cell>
        </row>
        <row r="2041">
          <cell r="A2041">
            <v>121804</v>
          </cell>
          <cell r="B2041">
            <v>19.399999999999999</v>
          </cell>
        </row>
        <row r="2042">
          <cell r="A2042">
            <v>121804</v>
          </cell>
          <cell r="B2042">
            <v>19</v>
          </cell>
        </row>
        <row r="2043">
          <cell r="A2043">
            <v>121904</v>
          </cell>
          <cell r="B2043">
            <v>19</v>
          </cell>
        </row>
        <row r="2044">
          <cell r="A2044">
            <v>121904</v>
          </cell>
          <cell r="B2044">
            <v>17.399999999999999</v>
          </cell>
        </row>
        <row r="2045">
          <cell r="A2045">
            <v>122004</v>
          </cell>
          <cell r="B2045">
            <v>17.399999999999999</v>
          </cell>
        </row>
        <row r="2046">
          <cell r="A2046">
            <v>122004</v>
          </cell>
          <cell r="B2046">
            <v>18.5</v>
          </cell>
        </row>
        <row r="2047">
          <cell r="A2047">
            <v>122188</v>
          </cell>
          <cell r="B2047">
            <v>18.5</v>
          </cell>
        </row>
        <row r="2048">
          <cell r="A2048">
            <v>122188</v>
          </cell>
          <cell r="B2048">
            <v>18.399999999999999</v>
          </cell>
        </row>
        <row r="2049">
          <cell r="A2049">
            <v>122288</v>
          </cell>
          <cell r="B2049">
            <v>18.399999999999999</v>
          </cell>
        </row>
        <row r="2050">
          <cell r="A2050">
            <v>122288</v>
          </cell>
          <cell r="B2050">
            <v>18.600000000000001</v>
          </cell>
        </row>
        <row r="2051">
          <cell r="A2051">
            <v>122388</v>
          </cell>
          <cell r="B2051">
            <v>18.600000000000001</v>
          </cell>
        </row>
        <row r="2052">
          <cell r="A2052">
            <v>122388</v>
          </cell>
          <cell r="B2052">
            <v>20.3</v>
          </cell>
        </row>
        <row r="2053">
          <cell r="A2053">
            <v>122488</v>
          </cell>
          <cell r="B2053">
            <v>20.3</v>
          </cell>
        </row>
        <row r="2054">
          <cell r="A2054">
            <v>122488</v>
          </cell>
          <cell r="B2054">
            <v>18.8</v>
          </cell>
        </row>
        <row r="2055">
          <cell r="A2055">
            <v>122588</v>
          </cell>
          <cell r="B2055">
            <v>18.8</v>
          </cell>
        </row>
        <row r="2056">
          <cell r="A2056">
            <v>122588</v>
          </cell>
          <cell r="B2056">
            <v>16.899999999999999</v>
          </cell>
        </row>
        <row r="2057">
          <cell r="A2057">
            <v>122688</v>
          </cell>
          <cell r="B2057">
            <v>16.899999999999999</v>
          </cell>
        </row>
        <row r="2058">
          <cell r="A2058">
            <v>122688</v>
          </cell>
          <cell r="B2058">
            <v>17.3</v>
          </cell>
        </row>
        <row r="2059">
          <cell r="A2059">
            <v>122788</v>
          </cell>
          <cell r="B2059">
            <v>17.3</v>
          </cell>
        </row>
        <row r="2060">
          <cell r="A2060">
            <v>122788</v>
          </cell>
          <cell r="B2060">
            <v>17.2</v>
          </cell>
        </row>
        <row r="2061">
          <cell r="A2061">
            <v>122888</v>
          </cell>
          <cell r="B2061">
            <v>17.2</v>
          </cell>
        </row>
        <row r="2062">
          <cell r="A2062">
            <v>122888</v>
          </cell>
          <cell r="B2062">
            <v>17.600000000000001</v>
          </cell>
        </row>
        <row r="2063">
          <cell r="A2063">
            <v>123014</v>
          </cell>
          <cell r="B2063">
            <v>17.600000000000001</v>
          </cell>
        </row>
        <row r="2064">
          <cell r="A2064">
            <v>123014</v>
          </cell>
          <cell r="B2064">
            <v>19.5</v>
          </cell>
        </row>
        <row r="2065">
          <cell r="A2065">
            <v>123114</v>
          </cell>
          <cell r="B2065">
            <v>19.5</v>
          </cell>
        </row>
        <row r="2066">
          <cell r="A2066">
            <v>123114</v>
          </cell>
          <cell r="B2066">
            <v>19.3</v>
          </cell>
        </row>
        <row r="2067">
          <cell r="A2067">
            <v>123214</v>
          </cell>
          <cell r="B2067">
            <v>19.3</v>
          </cell>
        </row>
        <row r="2068">
          <cell r="A2068">
            <v>123214</v>
          </cell>
          <cell r="B2068">
            <v>7</v>
          </cell>
        </row>
        <row r="2069">
          <cell r="A2069">
            <v>123314</v>
          </cell>
          <cell r="B2069">
            <v>7</v>
          </cell>
        </row>
        <row r="2070">
          <cell r="A2070">
            <v>123314</v>
          </cell>
          <cell r="B2070">
            <v>2.4</v>
          </cell>
        </row>
        <row r="2071">
          <cell r="A2071">
            <v>123414</v>
          </cell>
          <cell r="B2071">
            <v>2.4</v>
          </cell>
        </row>
        <row r="2072">
          <cell r="A2072">
            <v>123414</v>
          </cell>
          <cell r="B2072">
            <v>2</v>
          </cell>
        </row>
        <row r="2073">
          <cell r="A2073">
            <v>123514</v>
          </cell>
          <cell r="B2073">
            <v>2</v>
          </cell>
        </row>
        <row r="2074">
          <cell r="A2074">
            <v>123514</v>
          </cell>
          <cell r="B2074">
            <v>1.3</v>
          </cell>
        </row>
        <row r="2075">
          <cell r="A2075">
            <v>123614</v>
          </cell>
          <cell r="B2075">
            <v>1.3</v>
          </cell>
        </row>
        <row r="2076">
          <cell r="A2076">
            <v>123614</v>
          </cell>
          <cell r="B2076">
            <v>1.9</v>
          </cell>
        </row>
        <row r="2077">
          <cell r="A2077">
            <v>123714</v>
          </cell>
          <cell r="B2077">
            <v>1.9</v>
          </cell>
        </row>
        <row r="2078">
          <cell r="A2078">
            <v>123714</v>
          </cell>
          <cell r="B2078">
            <v>11.6</v>
          </cell>
        </row>
        <row r="2079">
          <cell r="A2079">
            <v>123814</v>
          </cell>
          <cell r="B2079">
            <v>11.6</v>
          </cell>
        </row>
        <row r="2080">
          <cell r="A2080">
            <v>123814</v>
          </cell>
          <cell r="B2080">
            <v>17.899999999999999</v>
          </cell>
        </row>
        <row r="2081">
          <cell r="A2081">
            <v>123900</v>
          </cell>
          <cell r="B2081">
            <v>17.899999999999999</v>
          </cell>
        </row>
        <row r="2082">
          <cell r="A2082">
            <v>123900</v>
          </cell>
          <cell r="B2082">
            <v>20.399999999999999</v>
          </cell>
        </row>
        <row r="2083">
          <cell r="A2083">
            <v>124000</v>
          </cell>
          <cell r="B2083">
            <v>20.399999999999999</v>
          </cell>
        </row>
        <row r="2084">
          <cell r="A2084">
            <v>124000</v>
          </cell>
          <cell r="B2084">
            <v>23.9</v>
          </cell>
        </row>
        <row r="2085">
          <cell r="A2085">
            <v>124077</v>
          </cell>
          <cell r="B2085">
            <v>23.9</v>
          </cell>
        </row>
        <row r="2086">
          <cell r="A2086">
            <v>124077</v>
          </cell>
          <cell r="B2086">
            <v>9</v>
          </cell>
        </row>
        <row r="2087">
          <cell r="A2087">
            <v>124177</v>
          </cell>
          <cell r="B2087">
            <v>9</v>
          </cell>
        </row>
        <row r="2088">
          <cell r="A2088">
            <v>124177</v>
          </cell>
          <cell r="B2088">
            <v>4</v>
          </cell>
        </row>
        <row r="2089">
          <cell r="A2089">
            <v>124377</v>
          </cell>
          <cell r="B2089">
            <v>4</v>
          </cell>
        </row>
        <row r="2090">
          <cell r="A2090">
            <v>124377</v>
          </cell>
          <cell r="B2090">
            <v>4.3</v>
          </cell>
        </row>
        <row r="2091">
          <cell r="A2091">
            <v>124477</v>
          </cell>
          <cell r="B2091">
            <v>4.3</v>
          </cell>
        </row>
        <row r="2092">
          <cell r="A2092">
            <v>124477</v>
          </cell>
          <cell r="B2092">
            <v>4.9000000000000004</v>
          </cell>
        </row>
        <row r="2093">
          <cell r="A2093">
            <v>124577</v>
          </cell>
          <cell r="B2093">
            <v>4.9000000000000004</v>
          </cell>
        </row>
        <row r="2094">
          <cell r="A2094">
            <v>124577</v>
          </cell>
          <cell r="B2094">
            <v>4.3</v>
          </cell>
        </row>
        <row r="2095">
          <cell r="A2095">
            <v>124677</v>
          </cell>
          <cell r="B2095">
            <v>4.3</v>
          </cell>
        </row>
        <row r="2096">
          <cell r="A2096">
            <v>124677</v>
          </cell>
          <cell r="B2096">
            <v>4.2</v>
          </cell>
        </row>
        <row r="2097">
          <cell r="A2097">
            <v>124777</v>
          </cell>
          <cell r="B2097">
            <v>4.2</v>
          </cell>
        </row>
        <row r="2098">
          <cell r="A2098">
            <v>124777</v>
          </cell>
          <cell r="B2098">
            <v>3.8</v>
          </cell>
        </row>
        <row r="2099">
          <cell r="A2099">
            <v>124877</v>
          </cell>
          <cell r="B2099">
            <v>3.8</v>
          </cell>
        </row>
        <row r="2100">
          <cell r="A2100">
            <v>124877</v>
          </cell>
          <cell r="B2100">
            <v>3.9</v>
          </cell>
        </row>
        <row r="2101">
          <cell r="A2101">
            <v>124977</v>
          </cell>
          <cell r="B2101">
            <v>3.9</v>
          </cell>
        </row>
        <row r="2102">
          <cell r="A2102">
            <v>124977</v>
          </cell>
          <cell r="B2102">
            <v>5.5</v>
          </cell>
        </row>
        <row r="2103">
          <cell r="A2103">
            <v>125080</v>
          </cell>
          <cell r="B2103">
            <v>5.5</v>
          </cell>
        </row>
        <row r="2104">
          <cell r="A2104">
            <v>125080</v>
          </cell>
          <cell r="B2104">
            <v>4.7</v>
          </cell>
        </row>
        <row r="2105">
          <cell r="A2105">
            <v>125180</v>
          </cell>
          <cell r="B2105">
            <v>4.7</v>
          </cell>
        </row>
        <row r="2106">
          <cell r="A2106">
            <v>125180</v>
          </cell>
          <cell r="B2106">
            <v>3.7</v>
          </cell>
        </row>
        <row r="2107">
          <cell r="A2107">
            <v>125280</v>
          </cell>
          <cell r="B2107">
            <v>3.7</v>
          </cell>
        </row>
        <row r="2108">
          <cell r="A2108">
            <v>125280</v>
          </cell>
          <cell r="B2108">
            <v>3.6</v>
          </cell>
        </row>
        <row r="2109">
          <cell r="A2109">
            <v>125480</v>
          </cell>
          <cell r="B2109">
            <v>3.6</v>
          </cell>
        </row>
        <row r="2110">
          <cell r="A2110">
            <v>125480</v>
          </cell>
          <cell r="B2110">
            <v>4.5999999999999996</v>
          </cell>
        </row>
        <row r="2111">
          <cell r="A2111">
            <v>125580</v>
          </cell>
          <cell r="B2111">
            <v>4.5999999999999996</v>
          </cell>
        </row>
        <row r="2112">
          <cell r="A2112">
            <v>125580</v>
          </cell>
          <cell r="B2112">
            <v>4.0999999999999996</v>
          </cell>
        </row>
        <row r="2113">
          <cell r="A2113">
            <v>125680</v>
          </cell>
          <cell r="B2113">
            <v>4.0999999999999996</v>
          </cell>
        </row>
        <row r="2114">
          <cell r="A2114">
            <v>125680</v>
          </cell>
          <cell r="B2114">
            <v>3.5</v>
          </cell>
        </row>
        <row r="2115">
          <cell r="A2115">
            <v>125780</v>
          </cell>
          <cell r="B2115">
            <v>3.5</v>
          </cell>
        </row>
        <row r="2116">
          <cell r="A2116">
            <v>125780</v>
          </cell>
          <cell r="B2116">
            <v>3.6</v>
          </cell>
        </row>
        <row r="2117">
          <cell r="A2117">
            <v>125880</v>
          </cell>
          <cell r="B2117">
            <v>3.6</v>
          </cell>
        </row>
        <row r="2118">
          <cell r="A2118">
            <v>125880</v>
          </cell>
          <cell r="B2118">
            <v>5.4</v>
          </cell>
        </row>
        <row r="2119">
          <cell r="A2119">
            <v>125980</v>
          </cell>
          <cell r="B2119">
            <v>5.4</v>
          </cell>
        </row>
        <row r="2120">
          <cell r="A2120">
            <v>125980</v>
          </cell>
          <cell r="B2120">
            <v>4.8</v>
          </cell>
        </row>
        <row r="2121">
          <cell r="A2121">
            <v>126081</v>
          </cell>
          <cell r="B2121">
            <v>4.8</v>
          </cell>
        </row>
        <row r="2122">
          <cell r="A2122">
            <v>126081</v>
          </cell>
          <cell r="B2122">
            <v>5</v>
          </cell>
        </row>
        <row r="2123">
          <cell r="A2123">
            <v>126181</v>
          </cell>
          <cell r="B2123">
            <v>5</v>
          </cell>
        </row>
        <row r="2124">
          <cell r="A2124">
            <v>126181</v>
          </cell>
          <cell r="B2124">
            <v>5.3</v>
          </cell>
        </row>
        <row r="2125">
          <cell r="A2125">
            <v>126281</v>
          </cell>
          <cell r="B2125">
            <v>5.3</v>
          </cell>
        </row>
        <row r="2126">
          <cell r="A2126">
            <v>126281</v>
          </cell>
          <cell r="B2126">
            <v>6.9</v>
          </cell>
        </row>
        <row r="2127">
          <cell r="A2127">
            <v>126381</v>
          </cell>
          <cell r="B2127">
            <v>6.9</v>
          </cell>
        </row>
        <row r="2128">
          <cell r="A2128">
            <v>126381</v>
          </cell>
          <cell r="B2128">
            <v>7</v>
          </cell>
        </row>
        <row r="2129">
          <cell r="A2129">
            <v>126481</v>
          </cell>
          <cell r="B2129">
            <v>7</v>
          </cell>
        </row>
        <row r="2130">
          <cell r="A2130">
            <v>126481</v>
          </cell>
          <cell r="B2130">
            <v>7.9</v>
          </cell>
        </row>
        <row r="2131">
          <cell r="A2131">
            <v>126581</v>
          </cell>
          <cell r="B2131">
            <v>7.9</v>
          </cell>
        </row>
        <row r="2132">
          <cell r="A2132">
            <v>126581</v>
          </cell>
          <cell r="B2132">
            <v>6.8</v>
          </cell>
        </row>
        <row r="2133">
          <cell r="A2133">
            <v>126681</v>
          </cell>
          <cell r="B2133">
            <v>6.8</v>
          </cell>
        </row>
        <row r="2134">
          <cell r="A2134">
            <v>126681</v>
          </cell>
          <cell r="B2134">
            <v>8.4</v>
          </cell>
        </row>
        <row r="2135">
          <cell r="A2135">
            <v>126781</v>
          </cell>
          <cell r="B2135">
            <v>8.4</v>
          </cell>
        </row>
        <row r="2136">
          <cell r="A2136">
            <v>126781</v>
          </cell>
          <cell r="B2136">
            <v>8.6999999999999993</v>
          </cell>
        </row>
        <row r="2137">
          <cell r="A2137">
            <v>126881</v>
          </cell>
          <cell r="B2137">
            <v>8.6999999999999993</v>
          </cell>
        </row>
        <row r="2138">
          <cell r="A2138">
            <v>126881</v>
          </cell>
          <cell r="B2138">
            <v>10.4</v>
          </cell>
        </row>
        <row r="2139">
          <cell r="A2139">
            <v>126981</v>
          </cell>
          <cell r="B2139">
            <v>10.4</v>
          </cell>
        </row>
        <row r="2140">
          <cell r="A2140">
            <v>126981</v>
          </cell>
          <cell r="B2140">
            <v>5.4</v>
          </cell>
        </row>
        <row r="2141">
          <cell r="A2141">
            <v>127083</v>
          </cell>
          <cell r="B2141">
            <v>5.4</v>
          </cell>
        </row>
        <row r="2142">
          <cell r="A2142">
            <v>127083</v>
          </cell>
          <cell r="B2142">
            <v>4</v>
          </cell>
        </row>
        <row r="2143">
          <cell r="A2143">
            <v>127183</v>
          </cell>
          <cell r="B2143">
            <v>4</v>
          </cell>
        </row>
        <row r="2144">
          <cell r="A2144">
            <v>127183</v>
          </cell>
          <cell r="B2144">
            <v>4.9000000000000004</v>
          </cell>
        </row>
        <row r="2145">
          <cell r="A2145">
            <v>127283</v>
          </cell>
          <cell r="B2145">
            <v>4.9000000000000004</v>
          </cell>
        </row>
        <row r="2146">
          <cell r="A2146">
            <v>127283</v>
          </cell>
          <cell r="B2146">
            <v>5.3</v>
          </cell>
        </row>
        <row r="2147">
          <cell r="A2147">
            <v>127383</v>
          </cell>
          <cell r="B2147">
            <v>5.3</v>
          </cell>
        </row>
        <row r="2148">
          <cell r="A2148">
            <v>127383</v>
          </cell>
          <cell r="B2148">
            <v>5.6</v>
          </cell>
        </row>
        <row r="2149">
          <cell r="A2149">
            <v>127483</v>
          </cell>
          <cell r="B2149">
            <v>5.6</v>
          </cell>
        </row>
        <row r="2150">
          <cell r="A2150">
            <v>127483</v>
          </cell>
          <cell r="B2150">
            <v>4.3</v>
          </cell>
        </row>
        <row r="2151">
          <cell r="A2151">
            <v>127583</v>
          </cell>
          <cell r="B2151">
            <v>4.3</v>
          </cell>
        </row>
        <row r="2152">
          <cell r="A2152">
            <v>127583</v>
          </cell>
          <cell r="B2152">
            <v>5.3</v>
          </cell>
        </row>
        <row r="2153">
          <cell r="A2153">
            <v>127683</v>
          </cell>
          <cell r="B2153">
            <v>5.3</v>
          </cell>
        </row>
        <row r="2154">
          <cell r="A2154">
            <v>127683</v>
          </cell>
          <cell r="B2154">
            <v>5.0999999999999996</v>
          </cell>
        </row>
        <row r="2155">
          <cell r="A2155">
            <v>127783</v>
          </cell>
          <cell r="B2155">
            <v>5.0999999999999996</v>
          </cell>
        </row>
        <row r="2156">
          <cell r="A2156">
            <v>127783</v>
          </cell>
          <cell r="B2156">
            <v>5.3</v>
          </cell>
        </row>
        <row r="2157">
          <cell r="A2157">
            <v>127883</v>
          </cell>
          <cell r="B2157">
            <v>5.3</v>
          </cell>
        </row>
        <row r="2158">
          <cell r="A2158">
            <v>127883</v>
          </cell>
          <cell r="B2158">
            <v>4.3</v>
          </cell>
        </row>
        <row r="2159">
          <cell r="A2159">
            <v>127983</v>
          </cell>
          <cell r="B2159">
            <v>4.3</v>
          </cell>
        </row>
        <row r="2160">
          <cell r="A2160">
            <v>127983</v>
          </cell>
          <cell r="B2160">
            <v>4.4000000000000004</v>
          </cell>
        </row>
        <row r="2161">
          <cell r="A2161">
            <v>128085</v>
          </cell>
          <cell r="B2161">
            <v>4.4000000000000004</v>
          </cell>
        </row>
        <row r="2162">
          <cell r="A2162">
            <v>128085</v>
          </cell>
          <cell r="B2162">
            <v>4.7</v>
          </cell>
        </row>
        <row r="2163">
          <cell r="A2163">
            <v>128185</v>
          </cell>
          <cell r="B2163">
            <v>4.7</v>
          </cell>
        </row>
        <row r="2164">
          <cell r="A2164">
            <v>128185</v>
          </cell>
          <cell r="B2164">
            <v>2.5</v>
          </cell>
        </row>
        <row r="2165">
          <cell r="A2165">
            <v>128285</v>
          </cell>
          <cell r="B2165">
            <v>2.5</v>
          </cell>
        </row>
        <row r="2166">
          <cell r="A2166">
            <v>128285</v>
          </cell>
          <cell r="B2166">
            <v>2.8</v>
          </cell>
        </row>
        <row r="2167">
          <cell r="A2167">
            <v>128385</v>
          </cell>
          <cell r="B2167">
            <v>2.8</v>
          </cell>
        </row>
        <row r="2168">
          <cell r="A2168">
            <v>128385</v>
          </cell>
          <cell r="B2168">
            <v>2.7</v>
          </cell>
        </row>
        <row r="2169">
          <cell r="A2169">
            <v>128485</v>
          </cell>
          <cell r="B2169">
            <v>2.7</v>
          </cell>
        </row>
        <row r="2170">
          <cell r="A2170">
            <v>128485</v>
          </cell>
          <cell r="B2170">
            <v>2.6</v>
          </cell>
        </row>
        <row r="2171">
          <cell r="A2171">
            <v>128585</v>
          </cell>
          <cell r="B2171">
            <v>2.6</v>
          </cell>
        </row>
        <row r="2172">
          <cell r="A2172">
            <v>128585</v>
          </cell>
          <cell r="B2172">
            <v>2.4</v>
          </cell>
        </row>
        <row r="2173">
          <cell r="A2173">
            <v>128685</v>
          </cell>
          <cell r="B2173">
            <v>2.4</v>
          </cell>
        </row>
        <row r="2174">
          <cell r="A2174">
            <v>128685</v>
          </cell>
          <cell r="B2174">
            <v>3.5</v>
          </cell>
        </row>
        <row r="2175">
          <cell r="A2175">
            <v>128785</v>
          </cell>
          <cell r="B2175">
            <v>3.5</v>
          </cell>
        </row>
        <row r="2176">
          <cell r="A2176">
            <v>128785</v>
          </cell>
          <cell r="B2176">
            <v>3.2</v>
          </cell>
        </row>
        <row r="2177">
          <cell r="A2177">
            <v>128885</v>
          </cell>
          <cell r="B2177">
            <v>3.2</v>
          </cell>
        </row>
        <row r="2178">
          <cell r="A2178">
            <v>128885</v>
          </cell>
          <cell r="B2178">
            <v>2.8</v>
          </cell>
        </row>
        <row r="2179">
          <cell r="A2179">
            <v>128985</v>
          </cell>
          <cell r="B2179">
            <v>2.8</v>
          </cell>
        </row>
        <row r="2180">
          <cell r="A2180">
            <v>128985</v>
          </cell>
          <cell r="B2180">
            <v>2.4</v>
          </cell>
        </row>
        <row r="2181">
          <cell r="A2181">
            <v>129087</v>
          </cell>
          <cell r="B2181">
            <v>2.4</v>
          </cell>
        </row>
        <row r="2182">
          <cell r="A2182">
            <v>129087</v>
          </cell>
          <cell r="B2182">
            <v>2.7</v>
          </cell>
        </row>
        <row r="2183">
          <cell r="A2183">
            <v>129187</v>
          </cell>
          <cell r="B2183">
            <v>2.7</v>
          </cell>
        </row>
        <row r="2184">
          <cell r="A2184">
            <v>129187</v>
          </cell>
          <cell r="B2184">
            <v>2.9</v>
          </cell>
        </row>
        <row r="2185">
          <cell r="A2185">
            <v>129287</v>
          </cell>
          <cell r="B2185">
            <v>2.9</v>
          </cell>
        </row>
        <row r="2186">
          <cell r="A2186">
            <v>129287</v>
          </cell>
          <cell r="B2186">
            <v>3.8</v>
          </cell>
        </row>
        <row r="2187">
          <cell r="A2187">
            <v>129387</v>
          </cell>
          <cell r="B2187">
            <v>3.8</v>
          </cell>
        </row>
        <row r="2188">
          <cell r="A2188">
            <v>129387</v>
          </cell>
          <cell r="B2188">
            <v>5.4</v>
          </cell>
        </row>
        <row r="2189">
          <cell r="A2189">
            <v>129487</v>
          </cell>
          <cell r="B2189">
            <v>5.4</v>
          </cell>
        </row>
        <row r="2190">
          <cell r="A2190">
            <v>129487</v>
          </cell>
          <cell r="B2190">
            <v>4.5</v>
          </cell>
        </row>
        <row r="2191">
          <cell r="A2191">
            <v>129587</v>
          </cell>
          <cell r="B2191">
            <v>4.5</v>
          </cell>
        </row>
        <row r="2192">
          <cell r="A2192">
            <v>129587</v>
          </cell>
          <cell r="B2192">
            <v>4.8</v>
          </cell>
        </row>
        <row r="2193">
          <cell r="A2193">
            <v>129687</v>
          </cell>
          <cell r="B2193">
            <v>4.8</v>
          </cell>
        </row>
        <row r="2194">
          <cell r="A2194">
            <v>129687</v>
          </cell>
          <cell r="B2194">
            <v>4.2</v>
          </cell>
        </row>
        <row r="2195">
          <cell r="A2195">
            <v>129787</v>
          </cell>
          <cell r="B2195">
            <v>4.2</v>
          </cell>
        </row>
        <row r="2196">
          <cell r="A2196">
            <v>129787</v>
          </cell>
          <cell r="B2196">
            <v>5.5</v>
          </cell>
        </row>
        <row r="2197">
          <cell r="A2197">
            <v>129887</v>
          </cell>
          <cell r="B2197">
            <v>5.5</v>
          </cell>
        </row>
        <row r="2198">
          <cell r="A2198">
            <v>129887</v>
          </cell>
          <cell r="B2198">
            <v>2.2999999999999998</v>
          </cell>
        </row>
        <row r="2199">
          <cell r="A2199">
            <v>129987</v>
          </cell>
          <cell r="B2199">
            <v>2.2999999999999998</v>
          </cell>
        </row>
        <row r="2200">
          <cell r="A2200">
            <v>129987</v>
          </cell>
          <cell r="B2200">
            <v>4.2</v>
          </cell>
        </row>
        <row r="2201">
          <cell r="A2201">
            <v>130082</v>
          </cell>
          <cell r="B2201">
            <v>4.2</v>
          </cell>
        </row>
        <row r="2202">
          <cell r="A2202">
            <v>130082</v>
          </cell>
          <cell r="B2202">
            <v>4</v>
          </cell>
        </row>
        <row r="2203">
          <cell r="A2203">
            <v>130182</v>
          </cell>
          <cell r="B2203">
            <v>4</v>
          </cell>
        </row>
        <row r="2204">
          <cell r="A2204">
            <v>130182</v>
          </cell>
          <cell r="B2204">
            <v>4.8</v>
          </cell>
        </row>
        <row r="2205">
          <cell r="A2205">
            <v>130282</v>
          </cell>
          <cell r="B2205">
            <v>4.8</v>
          </cell>
        </row>
        <row r="2206">
          <cell r="A2206">
            <v>130282</v>
          </cell>
          <cell r="B2206">
            <v>6.1</v>
          </cell>
        </row>
        <row r="2207">
          <cell r="A2207">
            <v>130382</v>
          </cell>
          <cell r="B2207">
            <v>6.1</v>
          </cell>
        </row>
        <row r="2208">
          <cell r="A2208">
            <v>130382</v>
          </cell>
          <cell r="B2208">
            <v>19.5</v>
          </cell>
        </row>
        <row r="2209">
          <cell r="A2209">
            <v>130482</v>
          </cell>
          <cell r="B2209">
            <v>19.5</v>
          </cell>
        </row>
        <row r="2210">
          <cell r="A2210">
            <v>130482</v>
          </cell>
          <cell r="B2210">
            <v>18.5</v>
          </cell>
        </row>
        <row r="2211">
          <cell r="A2211">
            <v>130582</v>
          </cell>
          <cell r="B2211">
            <v>18.5</v>
          </cell>
        </row>
        <row r="2212">
          <cell r="A2212">
            <v>130582</v>
          </cell>
          <cell r="B2212">
            <v>19.600000000000001</v>
          </cell>
        </row>
        <row r="2213">
          <cell r="A2213">
            <v>130679</v>
          </cell>
          <cell r="B2213">
            <v>19.600000000000001</v>
          </cell>
        </row>
        <row r="2214">
          <cell r="A2214">
            <v>130679</v>
          </cell>
          <cell r="B2214">
            <v>26.7</v>
          </cell>
        </row>
        <row r="2215">
          <cell r="A2215">
            <v>130779</v>
          </cell>
          <cell r="B2215">
            <v>26.7</v>
          </cell>
        </row>
        <row r="2216">
          <cell r="A2216">
            <v>130779</v>
          </cell>
          <cell r="B2216">
            <v>18.8</v>
          </cell>
        </row>
        <row r="2217">
          <cell r="A2217">
            <v>130879</v>
          </cell>
          <cell r="B2217">
            <v>18.8</v>
          </cell>
        </row>
        <row r="2218">
          <cell r="A2218">
            <v>130879</v>
          </cell>
          <cell r="B2218">
            <v>17.5</v>
          </cell>
        </row>
        <row r="2219">
          <cell r="A2219">
            <v>130979</v>
          </cell>
          <cell r="B2219">
            <v>17.5</v>
          </cell>
        </row>
        <row r="2220">
          <cell r="A2220">
            <v>130979</v>
          </cell>
          <cell r="B2220">
            <v>19.3</v>
          </cell>
        </row>
        <row r="2221">
          <cell r="A2221">
            <v>131090</v>
          </cell>
          <cell r="B2221">
            <v>19.3</v>
          </cell>
        </row>
        <row r="2222">
          <cell r="A2222">
            <v>131090</v>
          </cell>
          <cell r="B2222">
            <v>18.2</v>
          </cell>
        </row>
        <row r="2223">
          <cell r="A2223">
            <v>131190</v>
          </cell>
          <cell r="B2223">
            <v>18.2</v>
          </cell>
        </row>
        <row r="2224">
          <cell r="A2224">
            <v>131190</v>
          </cell>
          <cell r="B2224">
            <v>20.100000000000001</v>
          </cell>
        </row>
        <row r="2225">
          <cell r="A2225">
            <v>131290</v>
          </cell>
          <cell r="B2225">
            <v>20.100000000000001</v>
          </cell>
        </row>
        <row r="2226">
          <cell r="A2226">
            <v>131290</v>
          </cell>
          <cell r="B2226">
            <v>21.2</v>
          </cell>
        </row>
        <row r="2227">
          <cell r="A2227">
            <v>131390</v>
          </cell>
          <cell r="B2227">
            <v>21.2</v>
          </cell>
        </row>
        <row r="2228">
          <cell r="A2228">
            <v>131390</v>
          </cell>
          <cell r="B2228">
            <v>21.9</v>
          </cell>
        </row>
        <row r="2229">
          <cell r="A2229">
            <v>131490</v>
          </cell>
          <cell r="B2229">
            <v>21.9</v>
          </cell>
        </row>
        <row r="2230">
          <cell r="A2230">
            <v>131490</v>
          </cell>
          <cell r="B2230">
            <v>18.399999999999999</v>
          </cell>
        </row>
        <row r="2231">
          <cell r="A2231">
            <v>131590</v>
          </cell>
          <cell r="B2231">
            <v>18.399999999999999</v>
          </cell>
        </row>
        <row r="2232">
          <cell r="A2232">
            <v>131590</v>
          </cell>
          <cell r="B2232">
            <v>22.7</v>
          </cell>
        </row>
        <row r="2233">
          <cell r="A2233">
            <v>131690</v>
          </cell>
          <cell r="B2233">
            <v>22.7</v>
          </cell>
        </row>
        <row r="2234">
          <cell r="A2234">
            <v>131690</v>
          </cell>
          <cell r="B2234">
            <v>23.4</v>
          </cell>
        </row>
        <row r="2235">
          <cell r="A2235">
            <v>131790</v>
          </cell>
          <cell r="B2235">
            <v>23.4</v>
          </cell>
        </row>
        <row r="2236">
          <cell r="A2236">
            <v>131790</v>
          </cell>
          <cell r="B2236">
            <v>20.6</v>
          </cell>
        </row>
        <row r="2237">
          <cell r="A2237">
            <v>131890</v>
          </cell>
          <cell r="B2237">
            <v>20.6</v>
          </cell>
        </row>
        <row r="2238">
          <cell r="A2238">
            <v>131890</v>
          </cell>
          <cell r="B2238">
            <v>19.100000000000001</v>
          </cell>
        </row>
        <row r="2239">
          <cell r="A2239">
            <v>131974</v>
          </cell>
          <cell r="B2239">
            <v>19.100000000000001</v>
          </cell>
        </row>
        <row r="2240">
          <cell r="A2240">
            <v>131974</v>
          </cell>
          <cell r="B2240">
            <v>15.6</v>
          </cell>
        </row>
        <row r="2241">
          <cell r="A2241">
            <v>132073</v>
          </cell>
          <cell r="B2241">
            <v>15.6</v>
          </cell>
        </row>
        <row r="2242">
          <cell r="A2242">
            <v>132073</v>
          </cell>
          <cell r="B2242">
            <v>16.100000000000001</v>
          </cell>
        </row>
        <row r="2243">
          <cell r="A2243">
            <v>132173</v>
          </cell>
          <cell r="B2243">
            <v>16.100000000000001</v>
          </cell>
        </row>
        <row r="2244">
          <cell r="A2244">
            <v>132173</v>
          </cell>
          <cell r="B2244">
            <v>20.8</v>
          </cell>
        </row>
        <row r="2245">
          <cell r="A2245">
            <v>132273</v>
          </cell>
          <cell r="B2245">
            <v>20.8</v>
          </cell>
        </row>
        <row r="2246">
          <cell r="A2246">
            <v>132273</v>
          </cell>
          <cell r="B2246">
            <v>19.7</v>
          </cell>
        </row>
        <row r="2247">
          <cell r="A2247">
            <v>132373</v>
          </cell>
          <cell r="B2247">
            <v>19.7</v>
          </cell>
        </row>
        <row r="2248">
          <cell r="A2248">
            <v>132373</v>
          </cell>
          <cell r="B2248">
            <v>15.9</v>
          </cell>
        </row>
        <row r="2249">
          <cell r="A2249">
            <v>132473</v>
          </cell>
          <cell r="B2249">
            <v>15.9</v>
          </cell>
        </row>
        <row r="2250">
          <cell r="A2250">
            <v>132473</v>
          </cell>
          <cell r="B2250">
            <v>16.7</v>
          </cell>
        </row>
        <row r="2251">
          <cell r="A2251">
            <v>132573</v>
          </cell>
          <cell r="B2251">
            <v>16.7</v>
          </cell>
        </row>
        <row r="2252">
          <cell r="A2252">
            <v>132573</v>
          </cell>
          <cell r="B2252">
            <v>21.8</v>
          </cell>
        </row>
        <row r="2253">
          <cell r="A2253">
            <v>132673</v>
          </cell>
          <cell r="B2253">
            <v>21.8</v>
          </cell>
        </row>
        <row r="2254">
          <cell r="A2254">
            <v>132673</v>
          </cell>
          <cell r="B2254">
            <v>26.4</v>
          </cell>
        </row>
        <row r="2255">
          <cell r="A2255">
            <v>132773</v>
          </cell>
          <cell r="B2255">
            <v>26.4</v>
          </cell>
        </row>
        <row r="2256">
          <cell r="A2256">
            <v>132773</v>
          </cell>
          <cell r="B2256">
            <v>25.7</v>
          </cell>
        </row>
        <row r="2257">
          <cell r="A2257">
            <v>132873</v>
          </cell>
          <cell r="B2257">
            <v>25.7</v>
          </cell>
        </row>
        <row r="2258">
          <cell r="A2258">
            <v>132873</v>
          </cell>
          <cell r="B2258">
            <v>25.1</v>
          </cell>
        </row>
        <row r="2259">
          <cell r="A2259">
            <v>132973</v>
          </cell>
          <cell r="B2259">
            <v>25.1</v>
          </cell>
        </row>
        <row r="2260">
          <cell r="A2260">
            <v>132973</v>
          </cell>
          <cell r="B2260">
            <v>24.6</v>
          </cell>
        </row>
        <row r="2261">
          <cell r="A2261">
            <v>133075</v>
          </cell>
          <cell r="B2261">
            <v>24.6</v>
          </cell>
        </row>
        <row r="2262">
          <cell r="A2262">
            <v>133075</v>
          </cell>
          <cell r="B2262">
            <v>20.100000000000001</v>
          </cell>
        </row>
        <row r="2263">
          <cell r="A2263">
            <v>133175</v>
          </cell>
          <cell r="B2263">
            <v>20.100000000000001</v>
          </cell>
        </row>
        <row r="2264">
          <cell r="A2264">
            <v>133175</v>
          </cell>
          <cell r="B2264">
            <v>20.7</v>
          </cell>
        </row>
        <row r="2265">
          <cell r="A2265">
            <v>133275</v>
          </cell>
          <cell r="B2265">
            <v>20.7</v>
          </cell>
        </row>
        <row r="2266">
          <cell r="A2266">
            <v>133275</v>
          </cell>
          <cell r="B2266">
            <v>22.5</v>
          </cell>
        </row>
        <row r="2267">
          <cell r="A2267">
            <v>133375</v>
          </cell>
          <cell r="B2267">
            <v>22.5</v>
          </cell>
        </row>
        <row r="2268">
          <cell r="A2268">
            <v>133375</v>
          </cell>
          <cell r="B2268">
            <v>19</v>
          </cell>
        </row>
        <row r="2269">
          <cell r="A2269">
            <v>133475</v>
          </cell>
          <cell r="B2269">
            <v>19</v>
          </cell>
        </row>
        <row r="2270">
          <cell r="A2270">
            <v>133475</v>
          </cell>
          <cell r="B2270">
            <v>15.7</v>
          </cell>
        </row>
        <row r="2271">
          <cell r="A2271">
            <v>133575</v>
          </cell>
          <cell r="B2271">
            <v>15.7</v>
          </cell>
        </row>
        <row r="2272">
          <cell r="A2272">
            <v>133575</v>
          </cell>
          <cell r="B2272">
            <v>15.1</v>
          </cell>
        </row>
        <row r="2273">
          <cell r="A2273">
            <v>133675</v>
          </cell>
          <cell r="B2273">
            <v>15.1</v>
          </cell>
        </row>
        <row r="2274">
          <cell r="A2274">
            <v>133675</v>
          </cell>
          <cell r="B2274">
            <v>17.3</v>
          </cell>
        </row>
        <row r="2275">
          <cell r="A2275">
            <v>133775</v>
          </cell>
          <cell r="B2275">
            <v>17.3</v>
          </cell>
        </row>
        <row r="2276">
          <cell r="A2276">
            <v>133775</v>
          </cell>
          <cell r="B2276">
            <v>19.600000000000001</v>
          </cell>
        </row>
        <row r="2277">
          <cell r="A2277">
            <v>133875</v>
          </cell>
          <cell r="B2277">
            <v>19.600000000000001</v>
          </cell>
        </row>
        <row r="2278">
          <cell r="A2278">
            <v>133875</v>
          </cell>
          <cell r="B2278">
            <v>20.6</v>
          </cell>
        </row>
        <row r="2279">
          <cell r="A2279">
            <v>133975</v>
          </cell>
          <cell r="B2279">
            <v>20.6</v>
          </cell>
        </row>
        <row r="2280">
          <cell r="A2280">
            <v>133975</v>
          </cell>
          <cell r="B2280">
            <v>22.8</v>
          </cell>
        </row>
        <row r="2281">
          <cell r="A2281">
            <v>134077</v>
          </cell>
          <cell r="B2281">
            <v>22.8</v>
          </cell>
        </row>
        <row r="2282">
          <cell r="A2282">
            <v>134077</v>
          </cell>
          <cell r="B2282">
            <v>27.9</v>
          </cell>
        </row>
        <row r="2283">
          <cell r="A2283">
            <v>134177</v>
          </cell>
          <cell r="B2283">
            <v>27.9</v>
          </cell>
        </row>
        <row r="2284">
          <cell r="A2284">
            <v>134177</v>
          </cell>
          <cell r="B2284">
            <v>30.9</v>
          </cell>
        </row>
        <row r="2285">
          <cell r="A2285">
            <v>134277</v>
          </cell>
          <cell r="B2285">
            <v>30.9</v>
          </cell>
        </row>
        <row r="2286">
          <cell r="A2286">
            <v>134277</v>
          </cell>
          <cell r="B2286">
            <v>22.1</v>
          </cell>
        </row>
        <row r="2287">
          <cell r="A2287">
            <v>134377</v>
          </cell>
          <cell r="B2287">
            <v>22.1</v>
          </cell>
        </row>
        <row r="2288">
          <cell r="A2288">
            <v>134377</v>
          </cell>
          <cell r="B2288">
            <v>17.399999999999999</v>
          </cell>
        </row>
        <row r="2289">
          <cell r="A2289">
            <v>134477</v>
          </cell>
          <cell r="B2289">
            <v>17.399999999999999</v>
          </cell>
        </row>
        <row r="2290">
          <cell r="A2290">
            <v>134477</v>
          </cell>
          <cell r="B2290">
            <v>15.5</v>
          </cell>
        </row>
        <row r="2291">
          <cell r="A2291">
            <v>134577</v>
          </cell>
          <cell r="B2291">
            <v>15.5</v>
          </cell>
        </row>
        <row r="2292">
          <cell r="A2292">
            <v>134577</v>
          </cell>
          <cell r="B2292">
            <v>17.7</v>
          </cell>
        </row>
        <row r="2293">
          <cell r="A2293">
            <v>134677</v>
          </cell>
          <cell r="B2293">
            <v>17.7</v>
          </cell>
        </row>
        <row r="2294">
          <cell r="A2294">
            <v>134677</v>
          </cell>
          <cell r="B2294">
            <v>13.9</v>
          </cell>
        </row>
        <row r="2295">
          <cell r="A2295">
            <v>134777</v>
          </cell>
          <cell r="B2295">
            <v>13.9</v>
          </cell>
        </row>
        <row r="2296">
          <cell r="A2296">
            <v>134777</v>
          </cell>
          <cell r="B2296">
            <v>16.399999999999999</v>
          </cell>
        </row>
        <row r="2297">
          <cell r="A2297">
            <v>134877</v>
          </cell>
          <cell r="B2297">
            <v>16.399999999999999</v>
          </cell>
        </row>
        <row r="2298">
          <cell r="A2298">
            <v>134877</v>
          </cell>
          <cell r="B2298">
            <v>15.6</v>
          </cell>
        </row>
        <row r="2299">
          <cell r="A2299">
            <v>134977</v>
          </cell>
          <cell r="B2299">
            <v>15.6</v>
          </cell>
        </row>
        <row r="2300">
          <cell r="A2300">
            <v>134977</v>
          </cell>
          <cell r="B2300">
            <v>14.4</v>
          </cell>
        </row>
        <row r="2301">
          <cell r="A2301">
            <v>135077</v>
          </cell>
          <cell r="B2301">
            <v>14.4</v>
          </cell>
        </row>
        <row r="2302">
          <cell r="A2302">
            <v>135077</v>
          </cell>
          <cell r="B2302">
            <v>17.7</v>
          </cell>
        </row>
        <row r="2303">
          <cell r="A2303">
            <v>135177</v>
          </cell>
          <cell r="B2303">
            <v>17.7</v>
          </cell>
        </row>
        <row r="2304">
          <cell r="A2304">
            <v>135177</v>
          </cell>
          <cell r="B2304">
            <v>24.8</v>
          </cell>
        </row>
        <row r="2305">
          <cell r="A2305">
            <v>135277</v>
          </cell>
          <cell r="B2305">
            <v>24.8</v>
          </cell>
        </row>
        <row r="2306">
          <cell r="A2306">
            <v>135277</v>
          </cell>
          <cell r="B2306">
            <v>19.899999999999999</v>
          </cell>
        </row>
        <row r="2307">
          <cell r="A2307">
            <v>135377</v>
          </cell>
          <cell r="B2307">
            <v>19.899999999999999</v>
          </cell>
        </row>
        <row r="2308">
          <cell r="A2308">
            <v>135377</v>
          </cell>
          <cell r="B2308">
            <v>19.100000000000001</v>
          </cell>
        </row>
        <row r="2309">
          <cell r="A2309">
            <v>135477</v>
          </cell>
          <cell r="B2309">
            <v>19.100000000000001</v>
          </cell>
        </row>
        <row r="2310">
          <cell r="A2310">
            <v>135477</v>
          </cell>
          <cell r="B2310">
            <v>20.8</v>
          </cell>
        </row>
        <row r="2311">
          <cell r="A2311">
            <v>135577</v>
          </cell>
          <cell r="B2311">
            <v>20.8</v>
          </cell>
        </row>
        <row r="2312">
          <cell r="A2312">
            <v>135577</v>
          </cell>
          <cell r="B2312">
            <v>17</v>
          </cell>
        </row>
        <row r="2313">
          <cell r="A2313">
            <v>135677</v>
          </cell>
          <cell r="B2313">
            <v>17</v>
          </cell>
        </row>
        <row r="2314">
          <cell r="A2314">
            <v>135677</v>
          </cell>
          <cell r="B2314">
            <v>15.9</v>
          </cell>
        </row>
        <row r="2315">
          <cell r="A2315">
            <v>135777</v>
          </cell>
          <cell r="B2315">
            <v>15.9</v>
          </cell>
        </row>
        <row r="2316">
          <cell r="A2316">
            <v>135777</v>
          </cell>
          <cell r="B2316">
            <v>22.6</v>
          </cell>
        </row>
        <row r="2317">
          <cell r="A2317">
            <v>135877</v>
          </cell>
          <cell r="B2317">
            <v>22.6</v>
          </cell>
        </row>
        <row r="2318">
          <cell r="A2318">
            <v>135877</v>
          </cell>
          <cell r="B2318">
            <v>21.8</v>
          </cell>
        </row>
        <row r="2319">
          <cell r="A2319">
            <v>135977</v>
          </cell>
          <cell r="B2319">
            <v>21.8</v>
          </cell>
        </row>
        <row r="2320">
          <cell r="A2320">
            <v>135977</v>
          </cell>
          <cell r="B2320">
            <v>21.3</v>
          </cell>
        </row>
        <row r="2321">
          <cell r="A2321">
            <v>136080</v>
          </cell>
          <cell r="B2321">
            <v>21.3</v>
          </cell>
        </row>
        <row r="2322">
          <cell r="A2322">
            <v>136080</v>
          </cell>
          <cell r="B2322">
            <v>21.4</v>
          </cell>
        </row>
        <row r="2323">
          <cell r="A2323">
            <v>136180</v>
          </cell>
          <cell r="B2323">
            <v>21.4</v>
          </cell>
        </row>
        <row r="2324">
          <cell r="A2324">
            <v>136180</v>
          </cell>
          <cell r="B2324">
            <v>19.600000000000001</v>
          </cell>
        </row>
        <row r="2325">
          <cell r="A2325">
            <v>136280</v>
          </cell>
          <cell r="B2325">
            <v>19.600000000000001</v>
          </cell>
        </row>
        <row r="2326">
          <cell r="A2326">
            <v>136280</v>
          </cell>
          <cell r="B2326">
            <v>12</v>
          </cell>
        </row>
        <row r="2327">
          <cell r="A2327">
            <v>136380</v>
          </cell>
          <cell r="B2327">
            <v>12</v>
          </cell>
        </row>
        <row r="2328">
          <cell r="A2328">
            <v>136380</v>
          </cell>
          <cell r="B2328">
            <v>8.9</v>
          </cell>
        </row>
        <row r="2329">
          <cell r="A2329">
            <v>136480</v>
          </cell>
          <cell r="B2329">
            <v>8.9</v>
          </cell>
        </row>
        <row r="2330">
          <cell r="A2330">
            <v>136480</v>
          </cell>
          <cell r="B2330">
            <v>3.5</v>
          </cell>
        </row>
        <row r="2331">
          <cell r="A2331">
            <v>136580</v>
          </cell>
          <cell r="B2331">
            <v>3.5</v>
          </cell>
        </row>
        <row r="2332">
          <cell r="A2332">
            <v>136580</v>
          </cell>
          <cell r="B2332">
            <v>2.4</v>
          </cell>
        </row>
        <row r="2333">
          <cell r="A2333">
            <v>136680</v>
          </cell>
          <cell r="B2333">
            <v>2.4</v>
          </cell>
        </row>
        <row r="2334">
          <cell r="A2334">
            <v>136680</v>
          </cell>
          <cell r="B2334">
            <v>3.8</v>
          </cell>
        </row>
        <row r="2335">
          <cell r="A2335">
            <v>136780</v>
          </cell>
          <cell r="B2335">
            <v>3.8</v>
          </cell>
        </row>
        <row r="2336">
          <cell r="A2336">
            <v>136780</v>
          </cell>
          <cell r="B2336">
            <v>2.2999999999999998</v>
          </cell>
        </row>
        <row r="2337">
          <cell r="A2337">
            <v>136880</v>
          </cell>
          <cell r="B2337">
            <v>2.2999999999999998</v>
          </cell>
        </row>
        <row r="2338">
          <cell r="A2338">
            <v>136880</v>
          </cell>
          <cell r="B2338">
            <v>3.5</v>
          </cell>
        </row>
        <row r="2339">
          <cell r="A2339">
            <v>136980</v>
          </cell>
          <cell r="B2339">
            <v>3.5</v>
          </cell>
        </row>
        <row r="2340">
          <cell r="A2340">
            <v>136980</v>
          </cell>
          <cell r="B2340">
            <v>12.7</v>
          </cell>
        </row>
        <row r="2341">
          <cell r="A2341">
            <v>137072</v>
          </cell>
          <cell r="B2341">
            <v>12.7</v>
          </cell>
        </row>
        <row r="2342">
          <cell r="A2342">
            <v>137072</v>
          </cell>
          <cell r="B2342">
            <v>19.8</v>
          </cell>
        </row>
        <row r="2343">
          <cell r="A2343">
            <v>137172</v>
          </cell>
          <cell r="B2343">
            <v>19.8</v>
          </cell>
        </row>
        <row r="2344">
          <cell r="A2344">
            <v>137172</v>
          </cell>
          <cell r="B2344">
            <v>17.5</v>
          </cell>
        </row>
        <row r="2345">
          <cell r="A2345">
            <v>137272</v>
          </cell>
          <cell r="B2345">
            <v>17.5</v>
          </cell>
        </row>
        <row r="2346">
          <cell r="A2346">
            <v>137272</v>
          </cell>
          <cell r="B2346">
            <v>11.4</v>
          </cell>
        </row>
        <row r="2347">
          <cell r="A2347">
            <v>137300</v>
          </cell>
          <cell r="B2347">
            <v>11.4</v>
          </cell>
        </row>
        <row r="2348">
          <cell r="A2348">
            <v>137300</v>
          </cell>
          <cell r="B2348">
            <v>10.1</v>
          </cell>
        </row>
        <row r="2349">
          <cell r="A2349">
            <v>137400</v>
          </cell>
          <cell r="B2349">
            <v>10.1</v>
          </cell>
        </row>
        <row r="2350">
          <cell r="A2350">
            <v>137400</v>
          </cell>
          <cell r="B2350">
            <v>11.1</v>
          </cell>
        </row>
        <row r="2351">
          <cell r="A2351">
            <v>137500</v>
          </cell>
          <cell r="B2351">
            <v>11.1</v>
          </cell>
        </row>
        <row r="2352">
          <cell r="A2352">
            <v>137500</v>
          </cell>
          <cell r="B2352">
            <v>8.3000000000000007</v>
          </cell>
        </row>
        <row r="2353">
          <cell r="A2353">
            <v>137600</v>
          </cell>
          <cell r="B2353">
            <v>8.3000000000000007</v>
          </cell>
        </row>
        <row r="2354">
          <cell r="A2354">
            <v>137600</v>
          </cell>
          <cell r="B2354">
            <v>8.1</v>
          </cell>
        </row>
        <row r="2355">
          <cell r="A2355">
            <v>137700</v>
          </cell>
          <cell r="B2355">
            <v>8.1</v>
          </cell>
        </row>
        <row r="2356">
          <cell r="A2356">
            <v>137700</v>
          </cell>
          <cell r="B2356">
            <v>7.5</v>
          </cell>
        </row>
        <row r="2357">
          <cell r="A2357">
            <v>137800</v>
          </cell>
          <cell r="B2357">
            <v>7.5</v>
          </cell>
        </row>
        <row r="2358">
          <cell r="A2358">
            <v>137800</v>
          </cell>
          <cell r="B2358">
            <v>7.4</v>
          </cell>
        </row>
        <row r="2359">
          <cell r="A2359">
            <v>137900</v>
          </cell>
          <cell r="B2359">
            <v>7.4</v>
          </cell>
        </row>
        <row r="2360">
          <cell r="A2360">
            <v>137900</v>
          </cell>
          <cell r="B2360">
            <v>7.9</v>
          </cell>
        </row>
        <row r="2361">
          <cell r="A2361">
            <v>138000</v>
          </cell>
          <cell r="B2361">
            <v>7.9</v>
          </cell>
        </row>
        <row r="2362">
          <cell r="A2362">
            <v>138000</v>
          </cell>
          <cell r="B2362">
            <v>9.1</v>
          </cell>
        </row>
        <row r="2363">
          <cell r="A2363">
            <v>138100</v>
          </cell>
          <cell r="B2363">
            <v>9.1</v>
          </cell>
        </row>
        <row r="2364">
          <cell r="A2364">
            <v>138100</v>
          </cell>
          <cell r="B2364">
            <v>15.2</v>
          </cell>
        </row>
        <row r="2365">
          <cell r="A2365">
            <v>138200</v>
          </cell>
          <cell r="B2365">
            <v>15.2</v>
          </cell>
        </row>
        <row r="2366">
          <cell r="A2366">
            <v>138200</v>
          </cell>
          <cell r="B2366">
            <v>10.3</v>
          </cell>
        </row>
        <row r="2367">
          <cell r="A2367">
            <v>138300</v>
          </cell>
          <cell r="B2367">
            <v>10.3</v>
          </cell>
        </row>
        <row r="2368">
          <cell r="A2368">
            <v>138300</v>
          </cell>
          <cell r="B2368">
            <v>7.1</v>
          </cell>
        </row>
        <row r="2369">
          <cell r="A2369">
            <v>138400</v>
          </cell>
          <cell r="B2369">
            <v>7.1</v>
          </cell>
        </row>
        <row r="2370">
          <cell r="A2370">
            <v>138400</v>
          </cell>
          <cell r="B2370">
            <v>10.3</v>
          </cell>
        </row>
        <row r="2371">
          <cell r="A2371">
            <v>138500</v>
          </cell>
          <cell r="B2371">
            <v>10.3</v>
          </cell>
        </row>
        <row r="2372">
          <cell r="A2372">
            <v>138500</v>
          </cell>
          <cell r="B2372">
            <v>10.4</v>
          </cell>
        </row>
        <row r="2373">
          <cell r="A2373">
            <v>138600</v>
          </cell>
          <cell r="B2373">
            <v>10.4</v>
          </cell>
        </row>
        <row r="2374">
          <cell r="A2374">
            <v>138600</v>
          </cell>
          <cell r="B2374">
            <v>5.9</v>
          </cell>
        </row>
        <row r="2375">
          <cell r="A2375">
            <v>138700</v>
          </cell>
          <cell r="B2375">
            <v>5.9</v>
          </cell>
        </row>
        <row r="2376">
          <cell r="A2376">
            <v>138700</v>
          </cell>
          <cell r="B2376">
            <v>11.3</v>
          </cell>
        </row>
        <row r="2377">
          <cell r="A2377">
            <v>138800</v>
          </cell>
          <cell r="B2377">
            <v>11.3</v>
          </cell>
        </row>
        <row r="2378">
          <cell r="A2378">
            <v>138800</v>
          </cell>
          <cell r="B2378">
            <v>10</v>
          </cell>
        </row>
        <row r="2379">
          <cell r="A2379">
            <v>138900</v>
          </cell>
          <cell r="B2379">
            <v>10</v>
          </cell>
        </row>
        <row r="2380">
          <cell r="A2380">
            <v>138900</v>
          </cell>
          <cell r="B2380">
            <v>10.5</v>
          </cell>
        </row>
        <row r="2381">
          <cell r="A2381">
            <v>139000</v>
          </cell>
          <cell r="B2381">
            <v>10.5</v>
          </cell>
        </row>
        <row r="2382">
          <cell r="A2382">
            <v>139000</v>
          </cell>
          <cell r="B2382">
            <v>10.199999999999999</v>
          </cell>
        </row>
        <row r="2383">
          <cell r="A2383">
            <v>139100</v>
          </cell>
          <cell r="B2383">
            <v>10.199999999999999</v>
          </cell>
        </row>
        <row r="2384">
          <cell r="A2384">
            <v>139100</v>
          </cell>
          <cell r="B2384">
            <v>9.1999999999999993</v>
          </cell>
        </row>
        <row r="2385">
          <cell r="A2385">
            <v>139200</v>
          </cell>
          <cell r="B2385">
            <v>9.1999999999999993</v>
          </cell>
        </row>
        <row r="2386">
          <cell r="A2386">
            <v>139200</v>
          </cell>
          <cell r="B2386">
            <v>13.7</v>
          </cell>
        </row>
        <row r="2387">
          <cell r="A2387">
            <v>139300</v>
          </cell>
          <cell r="B2387">
            <v>13.7</v>
          </cell>
        </row>
        <row r="2388">
          <cell r="A2388">
            <v>139300</v>
          </cell>
          <cell r="B2388">
            <v>15.7</v>
          </cell>
        </row>
        <row r="2389">
          <cell r="A2389">
            <v>139400</v>
          </cell>
          <cell r="B2389">
            <v>15.7</v>
          </cell>
        </row>
        <row r="2390">
          <cell r="A2390">
            <v>139400</v>
          </cell>
          <cell r="B2390">
            <v>11.7</v>
          </cell>
        </row>
        <row r="2391">
          <cell r="A2391">
            <v>139500</v>
          </cell>
          <cell r="B2391">
            <v>11.7</v>
          </cell>
        </row>
        <row r="2392">
          <cell r="A2392">
            <v>139500</v>
          </cell>
          <cell r="B2392">
            <v>13</v>
          </cell>
        </row>
        <row r="2393">
          <cell r="A2393">
            <v>139600</v>
          </cell>
          <cell r="B2393">
            <v>13</v>
          </cell>
        </row>
        <row r="2394">
          <cell r="A2394">
            <v>139600</v>
          </cell>
          <cell r="B2394">
            <v>9.5</v>
          </cell>
        </row>
        <row r="2395">
          <cell r="A2395">
            <v>139700</v>
          </cell>
          <cell r="B2395">
            <v>9.5</v>
          </cell>
        </row>
        <row r="2396">
          <cell r="A2396">
            <v>139700</v>
          </cell>
          <cell r="B2396">
            <v>8.8000000000000007</v>
          </cell>
        </row>
        <row r="2397">
          <cell r="A2397">
            <v>139800</v>
          </cell>
          <cell r="B2397">
            <v>8.8000000000000007</v>
          </cell>
        </row>
        <row r="2398">
          <cell r="A2398">
            <v>139800</v>
          </cell>
          <cell r="B2398">
            <v>10.3</v>
          </cell>
        </row>
        <row r="2399">
          <cell r="A2399">
            <v>139900</v>
          </cell>
          <cell r="B2399">
            <v>10.3</v>
          </cell>
        </row>
        <row r="2400">
          <cell r="A2400">
            <v>139900</v>
          </cell>
          <cell r="B2400">
            <v>9</v>
          </cell>
        </row>
        <row r="2401">
          <cell r="A2401">
            <v>139943</v>
          </cell>
          <cell r="B2401">
            <v>9</v>
          </cell>
        </row>
        <row r="2402">
          <cell r="A2402">
            <v>139943</v>
          </cell>
          <cell r="B2402">
            <v>6</v>
          </cell>
        </row>
        <row r="2403">
          <cell r="A2403">
            <v>140043</v>
          </cell>
          <cell r="B2403">
            <v>6</v>
          </cell>
        </row>
        <row r="2404">
          <cell r="A2404">
            <v>140043</v>
          </cell>
          <cell r="B2404">
            <v>5.0999999999999996</v>
          </cell>
        </row>
        <row r="2405">
          <cell r="A2405">
            <v>140143</v>
          </cell>
          <cell r="B2405">
            <v>5.0999999999999996</v>
          </cell>
        </row>
        <row r="2406">
          <cell r="A2406">
            <v>140143</v>
          </cell>
          <cell r="B2406">
            <v>6.8</v>
          </cell>
        </row>
        <row r="2407">
          <cell r="A2407">
            <v>140243</v>
          </cell>
          <cell r="B2407">
            <v>6.8</v>
          </cell>
        </row>
        <row r="2408">
          <cell r="A2408">
            <v>140243</v>
          </cell>
          <cell r="B2408">
            <v>6.3</v>
          </cell>
        </row>
        <row r="2409">
          <cell r="A2409">
            <v>140343</v>
          </cell>
          <cell r="B2409">
            <v>6.3</v>
          </cell>
        </row>
        <row r="2410">
          <cell r="A2410">
            <v>140343</v>
          </cell>
          <cell r="B2410">
            <v>5.7</v>
          </cell>
        </row>
        <row r="2411">
          <cell r="A2411">
            <v>140492</v>
          </cell>
          <cell r="B2411">
            <v>5.7</v>
          </cell>
        </row>
        <row r="2412">
          <cell r="A2412">
            <v>140492</v>
          </cell>
          <cell r="B2412">
            <v>4.8</v>
          </cell>
        </row>
        <row r="2413">
          <cell r="A2413">
            <v>140592</v>
          </cell>
          <cell r="B2413">
            <v>4.8</v>
          </cell>
        </row>
        <row r="2414">
          <cell r="A2414">
            <v>140592</v>
          </cell>
          <cell r="B2414">
            <v>5.9</v>
          </cell>
        </row>
        <row r="2415">
          <cell r="A2415">
            <v>140692</v>
          </cell>
          <cell r="B2415">
            <v>5.9</v>
          </cell>
        </row>
        <row r="2416">
          <cell r="A2416">
            <v>140692</v>
          </cell>
          <cell r="B2416">
            <v>9.3000000000000007</v>
          </cell>
        </row>
        <row r="2417">
          <cell r="A2417">
            <v>140792</v>
          </cell>
          <cell r="B2417">
            <v>9.3000000000000007</v>
          </cell>
        </row>
        <row r="2418">
          <cell r="A2418">
            <v>140792</v>
          </cell>
          <cell r="B2418">
            <v>5.8</v>
          </cell>
        </row>
        <row r="2419">
          <cell r="A2419">
            <v>140892</v>
          </cell>
          <cell r="B2419">
            <v>5.8</v>
          </cell>
        </row>
        <row r="2420">
          <cell r="A2420">
            <v>140892</v>
          </cell>
          <cell r="B2420">
            <v>4</v>
          </cell>
        </row>
        <row r="2421">
          <cell r="A2421">
            <v>141008</v>
          </cell>
          <cell r="B2421">
            <v>4</v>
          </cell>
        </row>
        <row r="2422">
          <cell r="A2422">
            <v>141008</v>
          </cell>
          <cell r="B2422">
            <v>5.3</v>
          </cell>
        </row>
        <row r="2423">
          <cell r="A2423">
            <v>141108</v>
          </cell>
          <cell r="B2423">
            <v>5.3</v>
          </cell>
        </row>
        <row r="2424">
          <cell r="A2424">
            <v>141108</v>
          </cell>
          <cell r="B2424">
            <v>7.1</v>
          </cell>
        </row>
        <row r="2425">
          <cell r="A2425">
            <v>141208</v>
          </cell>
          <cell r="B2425">
            <v>7.1</v>
          </cell>
        </row>
        <row r="2426">
          <cell r="A2426">
            <v>141208</v>
          </cell>
          <cell r="B2426">
            <v>6.8</v>
          </cell>
        </row>
        <row r="2427">
          <cell r="A2427">
            <v>141308</v>
          </cell>
          <cell r="B2427">
            <v>6.8</v>
          </cell>
        </row>
        <row r="2428">
          <cell r="A2428">
            <v>141308</v>
          </cell>
          <cell r="B2428">
            <v>5.6</v>
          </cell>
        </row>
        <row r="2429">
          <cell r="A2429">
            <v>141408</v>
          </cell>
          <cell r="B2429">
            <v>5.6</v>
          </cell>
        </row>
        <row r="2430">
          <cell r="A2430">
            <v>141408</v>
          </cell>
          <cell r="B2430">
            <v>5.4</v>
          </cell>
        </row>
        <row r="2431">
          <cell r="A2431">
            <v>141508</v>
          </cell>
          <cell r="B2431">
            <v>5.4</v>
          </cell>
        </row>
        <row r="2432">
          <cell r="A2432">
            <v>141508</v>
          </cell>
          <cell r="B2432">
            <v>5.2</v>
          </cell>
        </row>
        <row r="2433">
          <cell r="A2433">
            <v>141608</v>
          </cell>
          <cell r="B2433">
            <v>5.2</v>
          </cell>
        </row>
        <row r="2434">
          <cell r="A2434">
            <v>141608</v>
          </cell>
          <cell r="B2434">
            <v>4.5999999999999996</v>
          </cell>
        </row>
        <row r="2435">
          <cell r="A2435">
            <v>141708</v>
          </cell>
          <cell r="B2435">
            <v>4.5999999999999996</v>
          </cell>
        </row>
        <row r="2436">
          <cell r="A2436">
            <v>141708</v>
          </cell>
          <cell r="B2436">
            <v>4.8</v>
          </cell>
        </row>
        <row r="2437">
          <cell r="A2437">
            <v>141808</v>
          </cell>
          <cell r="B2437">
            <v>4.8</v>
          </cell>
        </row>
        <row r="2438">
          <cell r="A2438">
            <v>141808</v>
          </cell>
          <cell r="B2438">
            <v>5</v>
          </cell>
        </row>
        <row r="2439">
          <cell r="A2439">
            <v>141908</v>
          </cell>
          <cell r="B2439">
            <v>5</v>
          </cell>
        </row>
        <row r="2440">
          <cell r="A2440">
            <v>141908</v>
          </cell>
          <cell r="B2440">
            <v>4.4000000000000004</v>
          </cell>
        </row>
        <row r="2441">
          <cell r="A2441">
            <v>142046</v>
          </cell>
          <cell r="B2441">
            <v>4.4000000000000004</v>
          </cell>
        </row>
        <row r="2442">
          <cell r="A2442">
            <v>142046</v>
          </cell>
          <cell r="B2442">
            <v>5.4</v>
          </cell>
        </row>
        <row r="2443">
          <cell r="A2443">
            <v>142146</v>
          </cell>
          <cell r="B2443">
            <v>5.4</v>
          </cell>
        </row>
        <row r="2444">
          <cell r="A2444">
            <v>142146</v>
          </cell>
          <cell r="B2444">
            <v>5.0999999999999996</v>
          </cell>
        </row>
        <row r="2445">
          <cell r="A2445">
            <v>142246</v>
          </cell>
          <cell r="B2445">
            <v>5.0999999999999996</v>
          </cell>
        </row>
        <row r="2446">
          <cell r="A2446">
            <v>142246</v>
          </cell>
          <cell r="B2446">
            <v>3.2</v>
          </cell>
        </row>
        <row r="2447">
          <cell r="A2447">
            <v>142346</v>
          </cell>
          <cell r="B2447">
            <v>3.2</v>
          </cell>
        </row>
        <row r="2448">
          <cell r="A2448">
            <v>142346</v>
          </cell>
          <cell r="B2448">
            <v>2.8</v>
          </cell>
        </row>
        <row r="2449">
          <cell r="A2449">
            <v>142446</v>
          </cell>
          <cell r="B2449">
            <v>2.8</v>
          </cell>
        </row>
        <row r="2450">
          <cell r="A2450">
            <v>142446</v>
          </cell>
          <cell r="B2450">
            <v>3.9</v>
          </cell>
        </row>
        <row r="2451">
          <cell r="A2451">
            <v>142546</v>
          </cell>
          <cell r="B2451">
            <v>3.9</v>
          </cell>
        </row>
        <row r="2452">
          <cell r="A2452">
            <v>142546</v>
          </cell>
          <cell r="B2452">
            <v>4.8</v>
          </cell>
        </row>
        <row r="2453">
          <cell r="A2453">
            <v>142646</v>
          </cell>
          <cell r="B2453">
            <v>4.8</v>
          </cell>
        </row>
        <row r="2454">
          <cell r="A2454">
            <v>142646</v>
          </cell>
          <cell r="B2454">
            <v>6.5</v>
          </cell>
        </row>
        <row r="2455">
          <cell r="A2455">
            <v>142746</v>
          </cell>
          <cell r="B2455">
            <v>6.5</v>
          </cell>
        </row>
        <row r="2456">
          <cell r="A2456">
            <v>142746</v>
          </cell>
          <cell r="B2456">
            <v>4.2</v>
          </cell>
        </row>
        <row r="2457">
          <cell r="A2457">
            <v>142792</v>
          </cell>
          <cell r="B2457">
            <v>4.2</v>
          </cell>
        </row>
        <row r="2458">
          <cell r="A2458">
            <v>142792</v>
          </cell>
          <cell r="B2458">
            <v>3.2</v>
          </cell>
        </row>
        <row r="2459">
          <cell r="A2459">
            <v>142892</v>
          </cell>
          <cell r="B2459">
            <v>3.2</v>
          </cell>
        </row>
        <row r="2460">
          <cell r="A2460">
            <v>142892</v>
          </cell>
          <cell r="B2460">
            <v>4.2</v>
          </cell>
        </row>
        <row r="2461">
          <cell r="A2461">
            <v>142992</v>
          </cell>
          <cell r="B2461">
            <v>4.2</v>
          </cell>
        </row>
        <row r="2462">
          <cell r="A2462">
            <v>142992</v>
          </cell>
          <cell r="B2462">
            <v>8.4</v>
          </cell>
        </row>
        <row r="2463">
          <cell r="A2463">
            <v>143077</v>
          </cell>
          <cell r="B2463">
            <v>8.4</v>
          </cell>
        </row>
        <row r="2464">
          <cell r="A2464">
            <v>143077</v>
          </cell>
          <cell r="B2464">
            <v>13.6</v>
          </cell>
        </row>
        <row r="2465">
          <cell r="A2465">
            <v>143177</v>
          </cell>
          <cell r="B2465">
            <v>13.6</v>
          </cell>
        </row>
        <row r="2466">
          <cell r="A2466">
            <v>143177</v>
          </cell>
          <cell r="B2466">
            <v>9.6</v>
          </cell>
        </row>
        <row r="2467">
          <cell r="A2467">
            <v>143277</v>
          </cell>
          <cell r="B2467">
            <v>9.6</v>
          </cell>
        </row>
        <row r="2468">
          <cell r="A2468">
            <v>143277</v>
          </cell>
          <cell r="B2468">
            <v>7.3</v>
          </cell>
        </row>
        <row r="2469">
          <cell r="A2469">
            <v>143377</v>
          </cell>
          <cell r="B2469">
            <v>7.3</v>
          </cell>
        </row>
        <row r="2470">
          <cell r="A2470">
            <v>143377</v>
          </cell>
          <cell r="B2470">
            <v>8</v>
          </cell>
        </row>
        <row r="2471">
          <cell r="A2471">
            <v>143477</v>
          </cell>
          <cell r="B2471">
            <v>8</v>
          </cell>
        </row>
        <row r="2472">
          <cell r="A2472">
            <v>143477</v>
          </cell>
          <cell r="B2472">
            <v>7.9</v>
          </cell>
        </row>
        <row r="2473">
          <cell r="A2473">
            <v>143577</v>
          </cell>
          <cell r="B2473">
            <v>7.9</v>
          </cell>
        </row>
        <row r="2474">
          <cell r="A2474">
            <v>143577</v>
          </cell>
          <cell r="B2474">
            <v>7.8</v>
          </cell>
        </row>
        <row r="2475">
          <cell r="A2475">
            <v>143677</v>
          </cell>
          <cell r="B2475">
            <v>7.8</v>
          </cell>
        </row>
        <row r="2476">
          <cell r="A2476">
            <v>143677</v>
          </cell>
          <cell r="B2476">
            <v>8.4</v>
          </cell>
        </row>
        <row r="2477">
          <cell r="A2477">
            <v>143777</v>
          </cell>
          <cell r="B2477">
            <v>8.4</v>
          </cell>
        </row>
        <row r="2478">
          <cell r="A2478">
            <v>143777</v>
          </cell>
          <cell r="B2478">
            <v>6.7</v>
          </cell>
        </row>
        <row r="2479">
          <cell r="A2479">
            <v>143877</v>
          </cell>
          <cell r="B2479">
            <v>6.7</v>
          </cell>
        </row>
        <row r="2480">
          <cell r="A2480">
            <v>143877</v>
          </cell>
          <cell r="B2480">
            <v>7</v>
          </cell>
        </row>
        <row r="2481">
          <cell r="A2481">
            <v>143977</v>
          </cell>
          <cell r="B2481">
            <v>7</v>
          </cell>
        </row>
        <row r="2482">
          <cell r="A2482">
            <v>143977</v>
          </cell>
          <cell r="B2482">
            <v>8.1</v>
          </cell>
        </row>
        <row r="2483">
          <cell r="A2483">
            <v>144081</v>
          </cell>
          <cell r="B2483">
            <v>8.1</v>
          </cell>
        </row>
        <row r="2484">
          <cell r="A2484">
            <v>144081</v>
          </cell>
          <cell r="B2484">
            <v>7.7</v>
          </cell>
        </row>
        <row r="2485">
          <cell r="A2485">
            <v>144181</v>
          </cell>
          <cell r="B2485">
            <v>7.7</v>
          </cell>
        </row>
        <row r="2486">
          <cell r="A2486">
            <v>144181</v>
          </cell>
          <cell r="B2486">
            <v>9.1999999999999993</v>
          </cell>
        </row>
        <row r="2487">
          <cell r="A2487">
            <v>144281</v>
          </cell>
          <cell r="B2487">
            <v>9.1999999999999993</v>
          </cell>
        </row>
        <row r="2488">
          <cell r="A2488">
            <v>144281</v>
          </cell>
          <cell r="B2488">
            <v>7.1</v>
          </cell>
        </row>
        <row r="2489">
          <cell r="A2489">
            <v>144381</v>
          </cell>
          <cell r="B2489">
            <v>7.1</v>
          </cell>
        </row>
        <row r="2490">
          <cell r="A2490">
            <v>144381</v>
          </cell>
          <cell r="B2490">
            <v>5.7</v>
          </cell>
        </row>
        <row r="2491">
          <cell r="A2491">
            <v>144481</v>
          </cell>
          <cell r="B2491">
            <v>5.7</v>
          </cell>
        </row>
        <row r="2492">
          <cell r="A2492">
            <v>144481</v>
          </cell>
          <cell r="B2492">
            <v>6.4</v>
          </cell>
        </row>
        <row r="2493">
          <cell r="A2493">
            <v>144581</v>
          </cell>
          <cell r="B2493">
            <v>6.4</v>
          </cell>
        </row>
        <row r="2494">
          <cell r="A2494">
            <v>144581</v>
          </cell>
          <cell r="B2494">
            <v>6.6</v>
          </cell>
        </row>
        <row r="2495">
          <cell r="A2495">
            <v>144681</v>
          </cell>
          <cell r="B2495">
            <v>6.6</v>
          </cell>
        </row>
        <row r="2496">
          <cell r="A2496">
            <v>144681</v>
          </cell>
          <cell r="B2496">
            <v>6.4</v>
          </cell>
        </row>
        <row r="2497">
          <cell r="A2497">
            <v>144781</v>
          </cell>
          <cell r="B2497">
            <v>6.4</v>
          </cell>
        </row>
        <row r="2498">
          <cell r="A2498">
            <v>144781</v>
          </cell>
          <cell r="B2498">
            <v>8.5</v>
          </cell>
        </row>
        <row r="2499">
          <cell r="A2499">
            <v>144881</v>
          </cell>
          <cell r="B2499">
            <v>8.5</v>
          </cell>
        </row>
        <row r="2500">
          <cell r="A2500">
            <v>144881</v>
          </cell>
          <cell r="B2500">
            <v>6.2</v>
          </cell>
        </row>
        <row r="2501">
          <cell r="A2501">
            <v>144981</v>
          </cell>
          <cell r="B2501">
            <v>6.2</v>
          </cell>
        </row>
        <row r="2502">
          <cell r="A2502">
            <v>144981</v>
          </cell>
          <cell r="B2502">
            <v>6.3</v>
          </cell>
        </row>
        <row r="2503">
          <cell r="A2503">
            <v>145085</v>
          </cell>
          <cell r="B2503">
            <v>6.3</v>
          </cell>
        </row>
        <row r="2504">
          <cell r="A2504">
            <v>145085</v>
          </cell>
          <cell r="B2504">
            <v>6</v>
          </cell>
        </row>
        <row r="2505">
          <cell r="A2505">
            <v>145185</v>
          </cell>
          <cell r="B2505">
            <v>6</v>
          </cell>
        </row>
        <row r="2506">
          <cell r="A2506">
            <v>145185</v>
          </cell>
          <cell r="B2506">
            <v>6.1</v>
          </cell>
        </row>
        <row r="2507">
          <cell r="A2507">
            <v>145285</v>
          </cell>
          <cell r="B2507">
            <v>6.1</v>
          </cell>
        </row>
        <row r="2508">
          <cell r="A2508">
            <v>145285</v>
          </cell>
          <cell r="B2508">
            <v>6</v>
          </cell>
        </row>
        <row r="2509">
          <cell r="A2509">
            <v>145385</v>
          </cell>
          <cell r="B2509">
            <v>6</v>
          </cell>
        </row>
        <row r="2510">
          <cell r="A2510">
            <v>145385</v>
          </cell>
          <cell r="B2510">
            <v>6.6</v>
          </cell>
        </row>
        <row r="2511">
          <cell r="A2511">
            <v>145485</v>
          </cell>
          <cell r="B2511">
            <v>6.6</v>
          </cell>
        </row>
        <row r="2512">
          <cell r="A2512">
            <v>145485</v>
          </cell>
          <cell r="B2512">
            <v>10.3</v>
          </cell>
        </row>
        <row r="2513">
          <cell r="A2513">
            <v>145585</v>
          </cell>
          <cell r="B2513">
            <v>10.3</v>
          </cell>
        </row>
        <row r="2514">
          <cell r="A2514">
            <v>145585</v>
          </cell>
          <cell r="B2514">
            <v>8</v>
          </cell>
        </row>
        <row r="2515">
          <cell r="A2515">
            <v>145685</v>
          </cell>
          <cell r="B2515">
            <v>8</v>
          </cell>
        </row>
        <row r="2516">
          <cell r="A2516">
            <v>145685</v>
          </cell>
          <cell r="B2516">
            <v>7.2</v>
          </cell>
        </row>
        <row r="2517">
          <cell r="A2517">
            <v>145785</v>
          </cell>
          <cell r="B2517">
            <v>7.2</v>
          </cell>
        </row>
        <row r="2518">
          <cell r="A2518">
            <v>145785</v>
          </cell>
          <cell r="B2518">
            <v>6.4</v>
          </cell>
        </row>
        <row r="2519">
          <cell r="A2519">
            <v>145885</v>
          </cell>
          <cell r="B2519">
            <v>6.4</v>
          </cell>
        </row>
        <row r="2520">
          <cell r="A2520">
            <v>145885</v>
          </cell>
          <cell r="B2520">
            <v>6.5</v>
          </cell>
        </row>
        <row r="2521">
          <cell r="A2521">
            <v>145985</v>
          </cell>
          <cell r="B2521">
            <v>6.5</v>
          </cell>
        </row>
        <row r="2522">
          <cell r="A2522">
            <v>145985</v>
          </cell>
          <cell r="B2522">
            <v>8.1999999999999993</v>
          </cell>
        </row>
        <row r="2523">
          <cell r="A2523">
            <v>146090</v>
          </cell>
          <cell r="B2523">
            <v>8.1999999999999993</v>
          </cell>
        </row>
        <row r="2524">
          <cell r="A2524">
            <v>146090</v>
          </cell>
          <cell r="B2524">
            <v>11.6</v>
          </cell>
        </row>
        <row r="2525">
          <cell r="A2525">
            <v>146190</v>
          </cell>
          <cell r="B2525">
            <v>11.6</v>
          </cell>
        </row>
        <row r="2526">
          <cell r="A2526">
            <v>146190</v>
          </cell>
          <cell r="B2526">
            <v>7.2</v>
          </cell>
        </row>
        <row r="2527">
          <cell r="A2527">
            <v>146290</v>
          </cell>
          <cell r="B2527">
            <v>7.2</v>
          </cell>
        </row>
        <row r="2528">
          <cell r="A2528">
            <v>146290</v>
          </cell>
          <cell r="B2528">
            <v>7</v>
          </cell>
        </row>
        <row r="2529">
          <cell r="A2529">
            <v>146390</v>
          </cell>
          <cell r="B2529">
            <v>7</v>
          </cell>
        </row>
        <row r="2530">
          <cell r="A2530">
            <v>146390</v>
          </cell>
          <cell r="B2530">
            <v>7.4</v>
          </cell>
        </row>
        <row r="2531">
          <cell r="A2531">
            <v>146490</v>
          </cell>
          <cell r="B2531">
            <v>7.4</v>
          </cell>
        </row>
        <row r="2532">
          <cell r="A2532">
            <v>146490</v>
          </cell>
          <cell r="B2532">
            <v>7.9</v>
          </cell>
        </row>
        <row r="2533">
          <cell r="A2533">
            <v>146590</v>
          </cell>
          <cell r="B2533">
            <v>7.9</v>
          </cell>
        </row>
        <row r="2534">
          <cell r="A2534">
            <v>146590</v>
          </cell>
          <cell r="B2534">
            <v>9.9</v>
          </cell>
        </row>
        <row r="2535">
          <cell r="A2535">
            <v>146690</v>
          </cell>
          <cell r="B2535">
            <v>9.9</v>
          </cell>
        </row>
        <row r="2536">
          <cell r="A2536">
            <v>146690</v>
          </cell>
          <cell r="B2536">
            <v>8.6999999999999993</v>
          </cell>
        </row>
        <row r="2537">
          <cell r="A2537">
            <v>146790</v>
          </cell>
          <cell r="B2537">
            <v>8.6999999999999993</v>
          </cell>
        </row>
        <row r="2538">
          <cell r="A2538">
            <v>146790</v>
          </cell>
          <cell r="B2538">
            <v>7.6</v>
          </cell>
        </row>
        <row r="2539">
          <cell r="A2539">
            <v>146890</v>
          </cell>
          <cell r="B2539">
            <v>7.6</v>
          </cell>
        </row>
        <row r="2540">
          <cell r="A2540">
            <v>146890</v>
          </cell>
          <cell r="B2540">
            <v>8.6999999999999993</v>
          </cell>
        </row>
        <row r="2541">
          <cell r="A2541">
            <v>146990</v>
          </cell>
          <cell r="B2541">
            <v>8.6999999999999993</v>
          </cell>
        </row>
        <row r="2542">
          <cell r="A2542">
            <v>146990</v>
          </cell>
          <cell r="B2542">
            <v>8.4</v>
          </cell>
        </row>
        <row r="2543">
          <cell r="A2543">
            <v>147088</v>
          </cell>
          <cell r="B2543">
            <v>8.4</v>
          </cell>
        </row>
        <row r="2544">
          <cell r="A2544">
            <v>147088</v>
          </cell>
          <cell r="B2544">
            <v>10.6</v>
          </cell>
        </row>
        <row r="2545">
          <cell r="A2545">
            <v>147188</v>
          </cell>
          <cell r="B2545">
            <v>10.6</v>
          </cell>
        </row>
        <row r="2546">
          <cell r="A2546">
            <v>147188</v>
          </cell>
          <cell r="B2546">
            <v>11.7</v>
          </cell>
        </row>
        <row r="2547">
          <cell r="A2547">
            <v>147288</v>
          </cell>
          <cell r="B2547">
            <v>11.7</v>
          </cell>
        </row>
        <row r="2548">
          <cell r="A2548">
            <v>147288</v>
          </cell>
          <cell r="B2548">
            <v>11.9</v>
          </cell>
        </row>
        <row r="2549">
          <cell r="A2549">
            <v>147388</v>
          </cell>
          <cell r="B2549">
            <v>11.9</v>
          </cell>
        </row>
        <row r="2550">
          <cell r="A2550">
            <v>147388</v>
          </cell>
          <cell r="B2550">
            <v>12.5</v>
          </cell>
        </row>
        <row r="2551">
          <cell r="A2551">
            <v>147488</v>
          </cell>
          <cell r="B2551">
            <v>12.5</v>
          </cell>
        </row>
        <row r="2552">
          <cell r="A2552">
            <v>147488</v>
          </cell>
          <cell r="B2552">
            <v>8.9</v>
          </cell>
        </row>
        <row r="2553">
          <cell r="A2553">
            <v>147588</v>
          </cell>
          <cell r="B2553">
            <v>8.9</v>
          </cell>
        </row>
        <row r="2554">
          <cell r="A2554">
            <v>147588</v>
          </cell>
          <cell r="B2554">
            <v>16.399999999999999</v>
          </cell>
        </row>
        <row r="2555">
          <cell r="A2555">
            <v>147688</v>
          </cell>
          <cell r="B2555">
            <v>16.399999999999999</v>
          </cell>
        </row>
        <row r="2556">
          <cell r="A2556">
            <v>147688</v>
          </cell>
          <cell r="B2556">
            <v>12.1</v>
          </cell>
        </row>
        <row r="2557">
          <cell r="A2557">
            <v>147788</v>
          </cell>
          <cell r="B2557">
            <v>12.1</v>
          </cell>
        </row>
        <row r="2558">
          <cell r="A2558">
            <v>147788</v>
          </cell>
          <cell r="B2558">
            <v>13.7</v>
          </cell>
        </row>
        <row r="2559">
          <cell r="A2559">
            <v>147888</v>
          </cell>
          <cell r="B2559">
            <v>13.7</v>
          </cell>
        </row>
        <row r="2560">
          <cell r="A2560">
            <v>147888</v>
          </cell>
          <cell r="B2560">
            <v>12.6</v>
          </cell>
        </row>
        <row r="2561">
          <cell r="A2561">
            <v>147988</v>
          </cell>
          <cell r="B2561">
            <v>12.6</v>
          </cell>
        </row>
        <row r="2562">
          <cell r="A2562">
            <v>147988</v>
          </cell>
          <cell r="B2562">
            <v>4.7</v>
          </cell>
        </row>
        <row r="2563">
          <cell r="A2563">
            <v>148094</v>
          </cell>
          <cell r="B2563">
            <v>4.7</v>
          </cell>
        </row>
        <row r="2564">
          <cell r="A2564">
            <v>148094</v>
          </cell>
          <cell r="B2564">
            <v>4.0999999999999996</v>
          </cell>
        </row>
        <row r="2565">
          <cell r="A2565">
            <v>148148</v>
          </cell>
          <cell r="B2565">
            <v>4.0999999999999996</v>
          </cell>
        </row>
        <row r="2566">
          <cell r="A2566">
            <v>148148</v>
          </cell>
          <cell r="B2566">
            <v>3.9</v>
          </cell>
        </row>
        <row r="2567">
          <cell r="A2567">
            <v>148248</v>
          </cell>
          <cell r="B2567">
            <v>3.9</v>
          </cell>
        </row>
        <row r="2568">
          <cell r="A2568">
            <v>148248</v>
          </cell>
          <cell r="B2568">
            <v>3.6</v>
          </cell>
        </row>
        <row r="2569">
          <cell r="A2569">
            <v>148348</v>
          </cell>
          <cell r="B2569">
            <v>3.6</v>
          </cell>
        </row>
        <row r="2570">
          <cell r="A2570">
            <v>148348</v>
          </cell>
          <cell r="B2570">
            <v>3.7</v>
          </cell>
        </row>
        <row r="2571">
          <cell r="A2571">
            <v>148448</v>
          </cell>
          <cell r="B2571">
            <v>3.7</v>
          </cell>
        </row>
        <row r="2572">
          <cell r="A2572">
            <v>148448</v>
          </cell>
          <cell r="B2572">
            <v>3.3</v>
          </cell>
        </row>
        <row r="2573">
          <cell r="A2573">
            <v>148548</v>
          </cell>
          <cell r="B2573">
            <v>3.3</v>
          </cell>
        </row>
        <row r="2574">
          <cell r="A2574">
            <v>148548</v>
          </cell>
          <cell r="B2574">
            <v>2.8</v>
          </cell>
        </row>
        <row r="2575">
          <cell r="A2575">
            <v>148648</v>
          </cell>
          <cell r="B2575">
            <v>2.8</v>
          </cell>
        </row>
        <row r="2576">
          <cell r="A2576">
            <v>148648</v>
          </cell>
          <cell r="B2576">
            <v>2.9</v>
          </cell>
        </row>
        <row r="2577">
          <cell r="A2577">
            <v>148748</v>
          </cell>
          <cell r="B2577">
            <v>2.9</v>
          </cell>
        </row>
        <row r="2578">
          <cell r="A2578">
            <v>148748</v>
          </cell>
          <cell r="B2578">
            <v>2.6</v>
          </cell>
        </row>
        <row r="2579">
          <cell r="A2579">
            <v>148948</v>
          </cell>
          <cell r="B2579">
            <v>2.6</v>
          </cell>
        </row>
        <row r="2580">
          <cell r="A2580">
            <v>148948</v>
          </cell>
          <cell r="B2580">
            <v>2.5</v>
          </cell>
        </row>
        <row r="2581">
          <cell r="A2581">
            <v>149148</v>
          </cell>
          <cell r="B2581">
            <v>2.5</v>
          </cell>
        </row>
        <row r="2582">
          <cell r="A2582">
            <v>149148</v>
          </cell>
          <cell r="B2582">
            <v>3.1</v>
          </cell>
        </row>
        <row r="2583">
          <cell r="A2583">
            <v>149348</v>
          </cell>
          <cell r="B2583">
            <v>3.1</v>
          </cell>
        </row>
        <row r="2584">
          <cell r="A2584">
            <v>149348</v>
          </cell>
          <cell r="B2584">
            <v>2.8</v>
          </cell>
        </row>
        <row r="2585">
          <cell r="A2585">
            <v>149448</v>
          </cell>
          <cell r="B2585">
            <v>2.8</v>
          </cell>
        </row>
        <row r="2586">
          <cell r="A2586">
            <v>149448</v>
          </cell>
          <cell r="B2586">
            <v>3.1</v>
          </cell>
        </row>
        <row r="2587">
          <cell r="A2587">
            <v>149548</v>
          </cell>
          <cell r="B2587">
            <v>3.1</v>
          </cell>
        </row>
        <row r="2588">
          <cell r="A2588">
            <v>149548</v>
          </cell>
          <cell r="B2588">
            <v>3.8</v>
          </cell>
        </row>
        <row r="2589">
          <cell r="A2589">
            <v>149648</v>
          </cell>
          <cell r="B2589">
            <v>3.8</v>
          </cell>
        </row>
        <row r="2590">
          <cell r="A2590">
            <v>149648</v>
          </cell>
          <cell r="B2590">
            <v>2.6</v>
          </cell>
        </row>
        <row r="2591">
          <cell r="A2591">
            <v>149748</v>
          </cell>
          <cell r="B2591">
            <v>2.6</v>
          </cell>
        </row>
        <row r="2592">
          <cell r="A2592">
            <v>149748</v>
          </cell>
          <cell r="B2592">
            <v>5</v>
          </cell>
        </row>
        <row r="2593">
          <cell r="A2593">
            <v>149848</v>
          </cell>
          <cell r="B2593">
            <v>5</v>
          </cell>
        </row>
        <row r="2594">
          <cell r="A2594">
            <v>149848</v>
          </cell>
          <cell r="B2594">
            <v>2.7</v>
          </cell>
        </row>
        <row r="2595">
          <cell r="A2595">
            <v>149948</v>
          </cell>
          <cell r="B2595">
            <v>2.7</v>
          </cell>
        </row>
        <row r="2596">
          <cell r="A2596">
            <v>149948</v>
          </cell>
          <cell r="B2596">
            <v>13.4</v>
          </cell>
        </row>
        <row r="2597">
          <cell r="A2597">
            <v>150046</v>
          </cell>
          <cell r="B2597">
            <v>13.4</v>
          </cell>
        </row>
        <row r="2598">
          <cell r="A2598">
            <v>150046</v>
          </cell>
          <cell r="B2598">
            <v>16.7</v>
          </cell>
        </row>
        <row r="2599">
          <cell r="A2599">
            <v>150146</v>
          </cell>
          <cell r="B2599">
            <v>16.7</v>
          </cell>
        </row>
        <row r="2600">
          <cell r="A2600">
            <v>150146</v>
          </cell>
          <cell r="B2600">
            <v>22.3</v>
          </cell>
        </row>
        <row r="2601">
          <cell r="A2601">
            <v>150246</v>
          </cell>
          <cell r="B2601">
            <v>22.3</v>
          </cell>
        </row>
        <row r="2602">
          <cell r="A2602">
            <v>150246</v>
          </cell>
          <cell r="B2602">
            <v>23.4</v>
          </cell>
        </row>
        <row r="2603">
          <cell r="A2603">
            <v>150346</v>
          </cell>
          <cell r="B2603">
            <v>23.4</v>
          </cell>
        </row>
        <row r="2604">
          <cell r="A2604">
            <v>150346</v>
          </cell>
          <cell r="B2604">
            <v>28.8</v>
          </cell>
        </row>
        <row r="2605">
          <cell r="A2605">
            <v>150446</v>
          </cell>
          <cell r="B2605">
            <v>28.8</v>
          </cell>
        </row>
        <row r="2606">
          <cell r="A2606">
            <v>150446</v>
          </cell>
          <cell r="B2606">
            <v>17</v>
          </cell>
        </row>
        <row r="2607">
          <cell r="A2607">
            <v>150546</v>
          </cell>
          <cell r="B2607">
            <v>17</v>
          </cell>
        </row>
        <row r="2608">
          <cell r="A2608">
            <v>150546</v>
          </cell>
          <cell r="B2608">
            <v>22.1</v>
          </cell>
        </row>
        <row r="2609">
          <cell r="A2609">
            <v>150646</v>
          </cell>
          <cell r="B2609">
            <v>22.1</v>
          </cell>
        </row>
        <row r="2610">
          <cell r="A2610">
            <v>150646</v>
          </cell>
          <cell r="B2610">
            <v>14.5</v>
          </cell>
        </row>
        <row r="2611">
          <cell r="A2611">
            <v>150746</v>
          </cell>
          <cell r="B2611">
            <v>14.5</v>
          </cell>
        </row>
        <row r="2612">
          <cell r="A2612">
            <v>150746</v>
          </cell>
          <cell r="B2612">
            <v>15.7</v>
          </cell>
        </row>
        <row r="2613">
          <cell r="A2613">
            <v>150846</v>
          </cell>
          <cell r="B2613">
            <v>15.7</v>
          </cell>
        </row>
        <row r="2614">
          <cell r="A2614">
            <v>150846</v>
          </cell>
          <cell r="B2614">
            <v>11.9</v>
          </cell>
        </row>
        <row r="2615">
          <cell r="A2615">
            <v>150946</v>
          </cell>
          <cell r="B2615">
            <v>11.9</v>
          </cell>
        </row>
        <row r="2616">
          <cell r="A2616">
            <v>150946</v>
          </cell>
          <cell r="B2616">
            <v>10.7</v>
          </cell>
        </row>
        <row r="2617">
          <cell r="A2617">
            <v>151051</v>
          </cell>
          <cell r="B2617">
            <v>10.7</v>
          </cell>
        </row>
        <row r="2618">
          <cell r="A2618">
            <v>151051</v>
          </cell>
          <cell r="B2618">
            <v>13.6</v>
          </cell>
        </row>
        <row r="2619">
          <cell r="A2619">
            <v>151151</v>
          </cell>
          <cell r="B2619">
            <v>13.6</v>
          </cell>
        </row>
        <row r="2620">
          <cell r="A2620">
            <v>151151</v>
          </cell>
          <cell r="B2620">
            <v>17</v>
          </cell>
        </row>
        <row r="2621">
          <cell r="A2621">
            <v>151251</v>
          </cell>
          <cell r="B2621">
            <v>17</v>
          </cell>
        </row>
        <row r="2622">
          <cell r="A2622">
            <v>151251</v>
          </cell>
          <cell r="B2622">
            <v>11.8</v>
          </cell>
        </row>
        <row r="2623">
          <cell r="A2623">
            <v>151351</v>
          </cell>
          <cell r="B2623">
            <v>11.8</v>
          </cell>
        </row>
        <row r="2624">
          <cell r="A2624">
            <v>151351</v>
          </cell>
          <cell r="B2624">
            <v>16</v>
          </cell>
        </row>
        <row r="2625">
          <cell r="A2625">
            <v>151451</v>
          </cell>
          <cell r="B2625">
            <v>16</v>
          </cell>
        </row>
        <row r="2626">
          <cell r="A2626">
            <v>151451</v>
          </cell>
          <cell r="B2626">
            <v>12.7</v>
          </cell>
        </row>
        <row r="2627">
          <cell r="A2627">
            <v>151551</v>
          </cell>
          <cell r="B2627">
            <v>12.7</v>
          </cell>
        </row>
        <row r="2628">
          <cell r="A2628">
            <v>151551</v>
          </cell>
          <cell r="B2628">
            <v>15.5</v>
          </cell>
        </row>
        <row r="2629">
          <cell r="A2629">
            <v>151651</v>
          </cell>
          <cell r="B2629">
            <v>15.5</v>
          </cell>
        </row>
        <row r="2630">
          <cell r="A2630">
            <v>151651</v>
          </cell>
          <cell r="B2630">
            <v>10.7</v>
          </cell>
        </row>
        <row r="2631">
          <cell r="A2631">
            <v>151751</v>
          </cell>
          <cell r="B2631">
            <v>10.7</v>
          </cell>
        </row>
        <row r="2632">
          <cell r="A2632">
            <v>151751</v>
          </cell>
          <cell r="B2632">
            <v>5.6</v>
          </cell>
        </row>
        <row r="2633">
          <cell r="A2633">
            <v>151851</v>
          </cell>
          <cell r="B2633">
            <v>5.6</v>
          </cell>
        </row>
        <row r="2634">
          <cell r="A2634">
            <v>151851</v>
          </cell>
          <cell r="B2634">
            <v>1.9</v>
          </cell>
        </row>
        <row r="2635">
          <cell r="A2635">
            <v>151951</v>
          </cell>
          <cell r="B2635">
            <v>1.9</v>
          </cell>
        </row>
        <row r="2636">
          <cell r="A2636">
            <v>151951</v>
          </cell>
          <cell r="B2636">
            <v>1.3</v>
          </cell>
        </row>
        <row r="2637">
          <cell r="A2637">
            <v>152053</v>
          </cell>
          <cell r="B2637">
            <v>1.3</v>
          </cell>
        </row>
        <row r="2638">
          <cell r="A2638">
            <v>152053</v>
          </cell>
          <cell r="B2638">
            <v>1.7</v>
          </cell>
        </row>
        <row r="2639">
          <cell r="A2639">
            <v>152353</v>
          </cell>
          <cell r="B2639">
            <v>1.7</v>
          </cell>
        </row>
        <row r="2640">
          <cell r="A2640">
            <v>152353</v>
          </cell>
          <cell r="B2640">
            <v>1.9</v>
          </cell>
        </row>
        <row r="2641">
          <cell r="A2641">
            <v>152453</v>
          </cell>
          <cell r="B2641">
            <v>1.9</v>
          </cell>
        </row>
        <row r="2642">
          <cell r="A2642">
            <v>152453</v>
          </cell>
          <cell r="B2642">
            <v>2.4</v>
          </cell>
        </row>
        <row r="2643">
          <cell r="A2643">
            <v>152553</v>
          </cell>
          <cell r="B2643">
            <v>2.4</v>
          </cell>
        </row>
        <row r="2644">
          <cell r="A2644">
            <v>152553</v>
          </cell>
          <cell r="B2644">
            <v>2</v>
          </cell>
        </row>
        <row r="2645">
          <cell r="A2645">
            <v>152653</v>
          </cell>
          <cell r="B2645">
            <v>2</v>
          </cell>
        </row>
        <row r="2646">
          <cell r="A2646">
            <v>152653</v>
          </cell>
          <cell r="B2646">
            <v>1.6</v>
          </cell>
        </row>
        <row r="2647">
          <cell r="A2647">
            <v>152853</v>
          </cell>
          <cell r="B2647">
            <v>1.6</v>
          </cell>
        </row>
        <row r="2648">
          <cell r="A2648">
            <v>152853</v>
          </cell>
          <cell r="B2648">
            <v>1.5</v>
          </cell>
        </row>
        <row r="2649">
          <cell r="A2649">
            <v>152953</v>
          </cell>
          <cell r="B2649">
            <v>1.5</v>
          </cell>
        </row>
        <row r="2650">
          <cell r="A2650">
            <v>152953</v>
          </cell>
          <cell r="B2650">
            <v>1.6</v>
          </cell>
        </row>
        <row r="2651">
          <cell r="A2651">
            <v>153055</v>
          </cell>
          <cell r="B2651">
            <v>1.6</v>
          </cell>
        </row>
        <row r="2652">
          <cell r="A2652">
            <v>153055</v>
          </cell>
          <cell r="B2652">
            <v>2</v>
          </cell>
        </row>
        <row r="2653">
          <cell r="A2653">
            <v>153155</v>
          </cell>
          <cell r="B2653">
            <v>2</v>
          </cell>
        </row>
        <row r="2654">
          <cell r="A2654">
            <v>153155</v>
          </cell>
          <cell r="B2654">
            <v>2.6</v>
          </cell>
        </row>
        <row r="2655">
          <cell r="A2655">
            <v>153255</v>
          </cell>
          <cell r="B2655">
            <v>2.6</v>
          </cell>
        </row>
        <row r="2656">
          <cell r="A2656">
            <v>153255</v>
          </cell>
          <cell r="B2656">
            <v>2.9</v>
          </cell>
        </row>
        <row r="2657">
          <cell r="A2657">
            <v>153355</v>
          </cell>
          <cell r="B2657">
            <v>2.9</v>
          </cell>
        </row>
        <row r="2658">
          <cell r="A2658">
            <v>153355</v>
          </cell>
          <cell r="B2658">
            <v>4.9000000000000004</v>
          </cell>
        </row>
        <row r="2659">
          <cell r="A2659">
            <v>153455</v>
          </cell>
          <cell r="B2659">
            <v>4.9000000000000004</v>
          </cell>
        </row>
        <row r="2660">
          <cell r="A2660">
            <v>153455</v>
          </cell>
          <cell r="B2660">
            <v>7.8</v>
          </cell>
        </row>
        <row r="2661">
          <cell r="A2661">
            <v>153555</v>
          </cell>
          <cell r="B2661">
            <v>7.8</v>
          </cell>
        </row>
        <row r="2662">
          <cell r="A2662">
            <v>153555</v>
          </cell>
          <cell r="B2662">
            <v>5</v>
          </cell>
        </row>
        <row r="2663">
          <cell r="A2663">
            <v>153655</v>
          </cell>
          <cell r="B2663">
            <v>5</v>
          </cell>
        </row>
        <row r="2664">
          <cell r="A2664">
            <v>153655</v>
          </cell>
          <cell r="B2664">
            <v>6.9</v>
          </cell>
        </row>
        <row r="2665">
          <cell r="A2665">
            <v>153755</v>
          </cell>
          <cell r="B2665">
            <v>6.9</v>
          </cell>
        </row>
        <row r="2666">
          <cell r="A2666">
            <v>153755</v>
          </cell>
          <cell r="B2666">
            <v>6.2</v>
          </cell>
        </row>
        <row r="2667">
          <cell r="A2667">
            <v>153855</v>
          </cell>
          <cell r="B2667">
            <v>6.2</v>
          </cell>
        </row>
        <row r="2668">
          <cell r="A2668">
            <v>153855</v>
          </cell>
          <cell r="B2668">
            <v>10.5</v>
          </cell>
        </row>
        <row r="2669">
          <cell r="A2669">
            <v>153955</v>
          </cell>
          <cell r="B2669">
            <v>10.5</v>
          </cell>
        </row>
        <row r="2670">
          <cell r="A2670">
            <v>153955</v>
          </cell>
          <cell r="B2670">
            <v>11.6</v>
          </cell>
        </row>
        <row r="2671">
          <cell r="A2671">
            <v>154056</v>
          </cell>
          <cell r="B2671">
            <v>11.6</v>
          </cell>
        </row>
        <row r="2672">
          <cell r="A2672">
            <v>154056</v>
          </cell>
          <cell r="B2672">
            <v>6.6</v>
          </cell>
        </row>
        <row r="2673">
          <cell r="A2673">
            <v>154156</v>
          </cell>
          <cell r="B2673">
            <v>6.6</v>
          </cell>
        </row>
        <row r="2674">
          <cell r="A2674">
            <v>154156</v>
          </cell>
          <cell r="B2674">
            <v>5.6</v>
          </cell>
        </row>
        <row r="2675">
          <cell r="A2675">
            <v>154256</v>
          </cell>
          <cell r="B2675">
            <v>5.6</v>
          </cell>
        </row>
        <row r="2676">
          <cell r="A2676">
            <v>154256</v>
          </cell>
          <cell r="B2676">
            <v>9.8000000000000007</v>
          </cell>
        </row>
        <row r="2677">
          <cell r="A2677">
            <v>154356</v>
          </cell>
          <cell r="B2677">
            <v>9.8000000000000007</v>
          </cell>
        </row>
        <row r="2678">
          <cell r="A2678">
            <v>154356</v>
          </cell>
          <cell r="B2678">
            <v>6.7</v>
          </cell>
        </row>
        <row r="2679">
          <cell r="A2679">
            <v>154456</v>
          </cell>
          <cell r="B2679">
            <v>6.7</v>
          </cell>
        </row>
        <row r="2680">
          <cell r="A2680">
            <v>154456</v>
          </cell>
          <cell r="B2680">
            <v>4.4000000000000004</v>
          </cell>
        </row>
        <row r="2681">
          <cell r="A2681">
            <v>154556</v>
          </cell>
          <cell r="B2681">
            <v>4.4000000000000004</v>
          </cell>
        </row>
        <row r="2682">
          <cell r="A2682">
            <v>154556</v>
          </cell>
          <cell r="B2682">
            <v>3.7</v>
          </cell>
        </row>
        <row r="2683">
          <cell r="A2683">
            <v>154656</v>
          </cell>
          <cell r="B2683">
            <v>3.7</v>
          </cell>
        </row>
        <row r="2684">
          <cell r="A2684">
            <v>154656</v>
          </cell>
          <cell r="B2684">
            <v>3.4</v>
          </cell>
        </row>
        <row r="2685">
          <cell r="A2685">
            <v>154756</v>
          </cell>
          <cell r="B2685">
            <v>3.4</v>
          </cell>
        </row>
        <row r="2686">
          <cell r="A2686">
            <v>154756</v>
          </cell>
          <cell r="B2686">
            <v>8.6</v>
          </cell>
        </row>
        <row r="2687">
          <cell r="A2687">
            <v>154856</v>
          </cell>
          <cell r="B2687">
            <v>8.6</v>
          </cell>
        </row>
        <row r="2688">
          <cell r="A2688">
            <v>154856</v>
          </cell>
          <cell r="B2688">
            <v>6.7</v>
          </cell>
        </row>
        <row r="2689">
          <cell r="A2689">
            <v>154956</v>
          </cell>
          <cell r="B2689">
            <v>6.7</v>
          </cell>
        </row>
        <row r="2690">
          <cell r="A2690">
            <v>154956</v>
          </cell>
          <cell r="B2690">
            <v>9</v>
          </cell>
        </row>
        <row r="2691">
          <cell r="A2691">
            <v>155060</v>
          </cell>
          <cell r="B2691">
            <v>9</v>
          </cell>
        </row>
        <row r="2692">
          <cell r="A2692">
            <v>155060</v>
          </cell>
          <cell r="B2692">
            <v>10.6</v>
          </cell>
        </row>
        <row r="2693">
          <cell r="A2693">
            <v>155160</v>
          </cell>
          <cell r="B2693">
            <v>10.6</v>
          </cell>
        </row>
        <row r="2694">
          <cell r="A2694">
            <v>155160</v>
          </cell>
          <cell r="B2694">
            <v>9.1</v>
          </cell>
        </row>
        <row r="2695">
          <cell r="A2695">
            <v>155260</v>
          </cell>
          <cell r="B2695">
            <v>9.1</v>
          </cell>
        </row>
        <row r="2696">
          <cell r="A2696">
            <v>155260</v>
          </cell>
          <cell r="B2696">
            <v>7.7</v>
          </cell>
        </row>
        <row r="2697">
          <cell r="A2697">
            <v>155360</v>
          </cell>
          <cell r="B2697">
            <v>7.7</v>
          </cell>
        </row>
        <row r="2698">
          <cell r="A2698">
            <v>155360</v>
          </cell>
          <cell r="B2698">
            <v>5.9</v>
          </cell>
        </row>
        <row r="2699">
          <cell r="A2699">
            <v>155460</v>
          </cell>
          <cell r="B2699">
            <v>5.9</v>
          </cell>
        </row>
        <row r="2700">
          <cell r="A2700">
            <v>155460</v>
          </cell>
          <cell r="B2700">
            <v>3.1</v>
          </cell>
        </row>
        <row r="2701">
          <cell r="A2701">
            <v>155560</v>
          </cell>
          <cell r="B2701">
            <v>3.1</v>
          </cell>
        </row>
        <row r="2702">
          <cell r="A2702">
            <v>155560</v>
          </cell>
          <cell r="B2702">
            <v>3.2</v>
          </cell>
        </row>
        <row r="2703">
          <cell r="A2703">
            <v>155660</v>
          </cell>
          <cell r="B2703">
            <v>3.2</v>
          </cell>
        </row>
        <row r="2704">
          <cell r="A2704">
            <v>155660</v>
          </cell>
          <cell r="B2704">
            <v>3</v>
          </cell>
        </row>
        <row r="2705">
          <cell r="A2705">
            <v>155760</v>
          </cell>
          <cell r="B2705">
            <v>3</v>
          </cell>
        </row>
        <row r="2706">
          <cell r="A2706">
            <v>155760</v>
          </cell>
          <cell r="B2706">
            <v>3.5</v>
          </cell>
        </row>
        <row r="2707">
          <cell r="A2707">
            <v>155860</v>
          </cell>
          <cell r="B2707">
            <v>3.5</v>
          </cell>
        </row>
        <row r="2708">
          <cell r="A2708">
            <v>155860</v>
          </cell>
          <cell r="B2708">
            <v>4.5</v>
          </cell>
        </row>
        <row r="2709">
          <cell r="A2709">
            <v>155960</v>
          </cell>
          <cell r="B2709">
            <v>4.5</v>
          </cell>
        </row>
        <row r="2710">
          <cell r="A2710">
            <v>155960</v>
          </cell>
          <cell r="B2710">
            <v>2.9</v>
          </cell>
        </row>
        <row r="2711">
          <cell r="A2711">
            <v>156051</v>
          </cell>
          <cell r="B2711">
            <v>2.9</v>
          </cell>
        </row>
        <row r="2712">
          <cell r="A2712">
            <v>156051</v>
          </cell>
          <cell r="B2712">
            <v>2.8</v>
          </cell>
        </row>
        <row r="2713">
          <cell r="A2713">
            <v>156151</v>
          </cell>
          <cell r="B2713">
            <v>2.8</v>
          </cell>
        </row>
        <row r="2714">
          <cell r="A2714">
            <v>156151</v>
          </cell>
          <cell r="B2714">
            <v>4.2</v>
          </cell>
        </row>
        <row r="2715">
          <cell r="A2715">
            <v>156251</v>
          </cell>
          <cell r="B2715">
            <v>4.2</v>
          </cell>
        </row>
        <row r="2716">
          <cell r="A2716">
            <v>156251</v>
          </cell>
          <cell r="B2716">
            <v>1.8</v>
          </cell>
        </row>
        <row r="2717">
          <cell r="A2717">
            <v>156351</v>
          </cell>
          <cell r="B2717">
            <v>1.8</v>
          </cell>
        </row>
        <row r="2718">
          <cell r="A2718">
            <v>156351</v>
          </cell>
          <cell r="B2718">
            <v>2</v>
          </cell>
        </row>
        <row r="2719">
          <cell r="A2719">
            <v>156451</v>
          </cell>
          <cell r="B2719">
            <v>2</v>
          </cell>
        </row>
        <row r="2720">
          <cell r="A2720">
            <v>156451</v>
          </cell>
          <cell r="B2720">
            <v>2.4</v>
          </cell>
        </row>
        <row r="2721">
          <cell r="A2721">
            <v>156551</v>
          </cell>
          <cell r="B2721">
            <v>2.4</v>
          </cell>
        </row>
        <row r="2722">
          <cell r="A2722">
            <v>156551</v>
          </cell>
          <cell r="B2722">
            <v>2.8</v>
          </cell>
        </row>
        <row r="2723">
          <cell r="A2723">
            <v>156651</v>
          </cell>
          <cell r="B2723">
            <v>2.8</v>
          </cell>
        </row>
        <row r="2724">
          <cell r="A2724">
            <v>156651</v>
          </cell>
          <cell r="B2724">
            <v>3.7</v>
          </cell>
        </row>
        <row r="2725">
          <cell r="A2725">
            <v>156751</v>
          </cell>
          <cell r="B2725">
            <v>3.7</v>
          </cell>
        </row>
        <row r="2726">
          <cell r="A2726">
            <v>156751</v>
          </cell>
          <cell r="B2726">
            <v>2.2999999999999998</v>
          </cell>
        </row>
        <row r="2727">
          <cell r="A2727">
            <v>156851</v>
          </cell>
          <cell r="B2727">
            <v>2.2999999999999998</v>
          </cell>
        </row>
        <row r="2728">
          <cell r="A2728">
            <v>156851</v>
          </cell>
          <cell r="B2728">
            <v>1.7</v>
          </cell>
        </row>
        <row r="2729">
          <cell r="A2729">
            <v>156951</v>
          </cell>
          <cell r="B2729">
            <v>1.7</v>
          </cell>
        </row>
        <row r="2730">
          <cell r="A2730">
            <v>156951</v>
          </cell>
          <cell r="B2730">
            <v>3.6</v>
          </cell>
        </row>
        <row r="2731">
          <cell r="A2731">
            <v>157067</v>
          </cell>
          <cell r="B2731">
            <v>3.6</v>
          </cell>
        </row>
        <row r="2732">
          <cell r="A2732">
            <v>157067</v>
          </cell>
          <cell r="B2732">
            <v>3.8</v>
          </cell>
        </row>
        <row r="2733">
          <cell r="A2733">
            <v>157167</v>
          </cell>
          <cell r="B2733">
            <v>3.8</v>
          </cell>
        </row>
        <row r="2734">
          <cell r="A2734">
            <v>157167</v>
          </cell>
          <cell r="B2734">
            <v>7.3</v>
          </cell>
        </row>
        <row r="2735">
          <cell r="A2735">
            <v>157267</v>
          </cell>
          <cell r="B2735">
            <v>7.3</v>
          </cell>
        </row>
        <row r="2736">
          <cell r="A2736">
            <v>157267</v>
          </cell>
          <cell r="B2736">
            <v>5.8</v>
          </cell>
        </row>
        <row r="2737">
          <cell r="A2737">
            <v>157367</v>
          </cell>
          <cell r="B2737">
            <v>5.8</v>
          </cell>
        </row>
        <row r="2738">
          <cell r="A2738">
            <v>157367</v>
          </cell>
          <cell r="B2738">
            <v>7.5</v>
          </cell>
        </row>
        <row r="2739">
          <cell r="A2739">
            <v>157420</v>
          </cell>
          <cell r="B2739">
            <v>7.5</v>
          </cell>
        </row>
        <row r="2740">
          <cell r="A2740">
            <v>157420</v>
          </cell>
          <cell r="B2740">
            <v>9.8000000000000007</v>
          </cell>
        </row>
        <row r="2741">
          <cell r="A2741">
            <v>157520</v>
          </cell>
          <cell r="B2741">
            <v>9.8000000000000007</v>
          </cell>
        </row>
        <row r="2742">
          <cell r="A2742">
            <v>157520</v>
          </cell>
          <cell r="B2742">
            <v>9.3000000000000007</v>
          </cell>
        </row>
        <row r="2743">
          <cell r="A2743">
            <v>157620</v>
          </cell>
          <cell r="B2743">
            <v>9.3000000000000007</v>
          </cell>
        </row>
        <row r="2744">
          <cell r="A2744">
            <v>157620</v>
          </cell>
          <cell r="B2744">
            <v>10</v>
          </cell>
        </row>
        <row r="2745">
          <cell r="A2745">
            <v>157720</v>
          </cell>
          <cell r="B2745">
            <v>10</v>
          </cell>
        </row>
        <row r="2746">
          <cell r="A2746">
            <v>157720</v>
          </cell>
          <cell r="B2746">
            <v>9.9</v>
          </cell>
        </row>
        <row r="2747">
          <cell r="A2747">
            <v>157820</v>
          </cell>
          <cell r="B2747">
            <v>9.9</v>
          </cell>
        </row>
        <row r="2748">
          <cell r="A2748">
            <v>157820</v>
          </cell>
          <cell r="B2748">
            <v>10.1</v>
          </cell>
        </row>
        <row r="2749">
          <cell r="A2749">
            <v>157920</v>
          </cell>
          <cell r="B2749">
            <v>10.1</v>
          </cell>
        </row>
        <row r="2750">
          <cell r="A2750">
            <v>157920</v>
          </cell>
          <cell r="B2750">
            <v>11.6</v>
          </cell>
        </row>
        <row r="2751">
          <cell r="A2751">
            <v>158020</v>
          </cell>
          <cell r="B2751">
            <v>11.6</v>
          </cell>
        </row>
        <row r="2752">
          <cell r="A2752">
            <v>158020</v>
          </cell>
          <cell r="B2752">
            <v>7.6</v>
          </cell>
        </row>
        <row r="2753">
          <cell r="A2753">
            <v>158120</v>
          </cell>
          <cell r="B2753">
            <v>7.6</v>
          </cell>
        </row>
        <row r="2754">
          <cell r="A2754">
            <v>158120</v>
          </cell>
          <cell r="B2754">
            <v>8.5</v>
          </cell>
        </row>
        <row r="2755">
          <cell r="A2755">
            <v>158220</v>
          </cell>
          <cell r="B2755">
            <v>8.5</v>
          </cell>
        </row>
        <row r="2756">
          <cell r="A2756">
            <v>158220</v>
          </cell>
          <cell r="B2756">
            <v>14.1</v>
          </cell>
        </row>
        <row r="2757">
          <cell r="A2757">
            <v>158320</v>
          </cell>
          <cell r="B2757">
            <v>14.1</v>
          </cell>
        </row>
        <row r="2758">
          <cell r="A2758">
            <v>158320</v>
          </cell>
          <cell r="B2758">
            <v>9.9</v>
          </cell>
        </row>
        <row r="2759">
          <cell r="A2759">
            <v>158420</v>
          </cell>
          <cell r="B2759">
            <v>9.9</v>
          </cell>
        </row>
        <row r="2760">
          <cell r="A2760">
            <v>158420</v>
          </cell>
          <cell r="B2760">
            <v>11</v>
          </cell>
        </row>
        <row r="2761">
          <cell r="A2761">
            <v>158520</v>
          </cell>
          <cell r="B2761">
            <v>11</v>
          </cell>
        </row>
        <row r="2762">
          <cell r="A2762">
            <v>158520</v>
          </cell>
          <cell r="B2762">
            <v>13.6</v>
          </cell>
        </row>
        <row r="2763">
          <cell r="A2763">
            <v>158620</v>
          </cell>
          <cell r="B2763">
            <v>13.6</v>
          </cell>
        </row>
        <row r="2764">
          <cell r="A2764">
            <v>158620</v>
          </cell>
          <cell r="B2764">
            <v>9</v>
          </cell>
        </row>
        <row r="2765">
          <cell r="A2765">
            <v>158720</v>
          </cell>
          <cell r="B2765">
            <v>9</v>
          </cell>
        </row>
        <row r="2766">
          <cell r="A2766">
            <v>158720</v>
          </cell>
          <cell r="B2766">
            <v>7.8</v>
          </cell>
        </row>
        <row r="2767">
          <cell r="A2767">
            <v>158820</v>
          </cell>
          <cell r="B2767">
            <v>7.8</v>
          </cell>
        </row>
        <row r="2768">
          <cell r="A2768">
            <v>158820</v>
          </cell>
          <cell r="B2768">
            <v>6.6</v>
          </cell>
        </row>
        <row r="2769">
          <cell r="A2769">
            <v>158920</v>
          </cell>
          <cell r="B2769">
            <v>6.6</v>
          </cell>
        </row>
        <row r="2770">
          <cell r="A2770">
            <v>158920</v>
          </cell>
          <cell r="B2770">
            <v>8.1999999999999993</v>
          </cell>
        </row>
        <row r="2771">
          <cell r="A2771">
            <v>159011</v>
          </cell>
          <cell r="B2771">
            <v>8.1999999999999993</v>
          </cell>
        </row>
        <row r="2772">
          <cell r="A2772">
            <v>159011</v>
          </cell>
          <cell r="B2772">
            <v>5.0999999999999996</v>
          </cell>
        </row>
        <row r="2773">
          <cell r="A2773">
            <v>159111</v>
          </cell>
          <cell r="B2773">
            <v>5.0999999999999996</v>
          </cell>
        </row>
        <row r="2774">
          <cell r="A2774">
            <v>159111</v>
          </cell>
          <cell r="B2774">
            <v>5.5</v>
          </cell>
        </row>
        <row r="2775">
          <cell r="A2775">
            <v>159211</v>
          </cell>
          <cell r="B2775">
            <v>5.5</v>
          </cell>
        </row>
        <row r="2776">
          <cell r="A2776">
            <v>159211</v>
          </cell>
          <cell r="B2776">
            <v>5.9</v>
          </cell>
        </row>
        <row r="2777">
          <cell r="A2777">
            <v>159311</v>
          </cell>
          <cell r="B2777">
            <v>5.9</v>
          </cell>
        </row>
        <row r="2778">
          <cell r="A2778">
            <v>159311</v>
          </cell>
          <cell r="B2778">
            <v>5.0999999999999996</v>
          </cell>
        </row>
        <row r="2779">
          <cell r="A2779">
            <v>159411</v>
          </cell>
          <cell r="B2779">
            <v>5.0999999999999996</v>
          </cell>
        </row>
        <row r="2780">
          <cell r="A2780">
            <v>159411</v>
          </cell>
          <cell r="B2780">
            <v>3.9</v>
          </cell>
        </row>
        <row r="2781">
          <cell r="A2781">
            <v>159511</v>
          </cell>
          <cell r="B2781">
            <v>3.9</v>
          </cell>
        </row>
        <row r="2782">
          <cell r="A2782">
            <v>159511</v>
          </cell>
          <cell r="B2782">
            <v>5.2</v>
          </cell>
        </row>
        <row r="2783">
          <cell r="A2783">
            <v>159611</v>
          </cell>
          <cell r="B2783">
            <v>5.2</v>
          </cell>
        </row>
        <row r="2784">
          <cell r="A2784">
            <v>159611</v>
          </cell>
          <cell r="B2784">
            <v>4.5</v>
          </cell>
        </row>
        <row r="2785">
          <cell r="A2785">
            <v>159711</v>
          </cell>
          <cell r="B2785">
            <v>4.5</v>
          </cell>
        </row>
        <row r="2786">
          <cell r="A2786">
            <v>159711</v>
          </cell>
          <cell r="B2786">
            <v>5.3</v>
          </cell>
        </row>
        <row r="2787">
          <cell r="A2787">
            <v>159811</v>
          </cell>
          <cell r="B2787">
            <v>5.3</v>
          </cell>
        </row>
        <row r="2788">
          <cell r="A2788">
            <v>159811</v>
          </cell>
          <cell r="B2788">
            <v>4.2</v>
          </cell>
        </row>
        <row r="2789">
          <cell r="A2789">
            <v>159911</v>
          </cell>
          <cell r="B2789">
            <v>4.2</v>
          </cell>
        </row>
        <row r="2790">
          <cell r="A2790">
            <v>159911</v>
          </cell>
          <cell r="B2790">
            <v>2.7</v>
          </cell>
        </row>
        <row r="2791">
          <cell r="A2791">
            <v>159928</v>
          </cell>
          <cell r="B2791">
            <v>2.7</v>
          </cell>
        </row>
        <row r="2792">
          <cell r="A2792">
            <v>159928</v>
          </cell>
          <cell r="B2792">
            <v>2.5</v>
          </cell>
        </row>
        <row r="2793">
          <cell r="A2793">
            <v>160020</v>
          </cell>
          <cell r="B2793">
            <v>2.5</v>
          </cell>
        </row>
        <row r="2794">
          <cell r="A2794">
            <v>160020</v>
          </cell>
          <cell r="B2794">
            <v>5.2</v>
          </cell>
        </row>
        <row r="2795">
          <cell r="A2795">
            <v>160120</v>
          </cell>
          <cell r="B2795">
            <v>5.2</v>
          </cell>
        </row>
        <row r="2796">
          <cell r="A2796">
            <v>160120</v>
          </cell>
          <cell r="B2796">
            <v>2.7</v>
          </cell>
        </row>
        <row r="2797">
          <cell r="A2797">
            <v>160220</v>
          </cell>
          <cell r="B2797">
            <v>2.7</v>
          </cell>
        </row>
        <row r="2798">
          <cell r="A2798">
            <v>160220</v>
          </cell>
          <cell r="B2798">
            <v>4.4000000000000004</v>
          </cell>
        </row>
        <row r="2799">
          <cell r="A2799">
            <v>160320</v>
          </cell>
          <cell r="B2799">
            <v>4.4000000000000004</v>
          </cell>
        </row>
        <row r="2800">
          <cell r="A2800">
            <v>160320</v>
          </cell>
          <cell r="B2800">
            <v>5.6</v>
          </cell>
        </row>
        <row r="2801">
          <cell r="A2801">
            <v>160420</v>
          </cell>
          <cell r="B2801">
            <v>5.6</v>
          </cell>
        </row>
        <row r="2802">
          <cell r="A2802">
            <v>160420</v>
          </cell>
          <cell r="B2802">
            <v>10.4</v>
          </cell>
        </row>
        <row r="2803">
          <cell r="A2803">
            <v>160520</v>
          </cell>
          <cell r="B2803">
            <v>10.4</v>
          </cell>
        </row>
        <row r="2804">
          <cell r="A2804">
            <v>160520</v>
          </cell>
          <cell r="B2804">
            <v>7.2</v>
          </cell>
        </row>
        <row r="2805">
          <cell r="A2805">
            <v>160620</v>
          </cell>
          <cell r="B2805">
            <v>7.2</v>
          </cell>
        </row>
        <row r="2806">
          <cell r="A2806">
            <v>160620</v>
          </cell>
          <cell r="B2806">
            <v>10.3</v>
          </cell>
        </row>
        <row r="2807">
          <cell r="A2807">
            <v>160720</v>
          </cell>
          <cell r="B2807">
            <v>10.3</v>
          </cell>
        </row>
        <row r="2808">
          <cell r="A2808">
            <v>160720</v>
          </cell>
          <cell r="B2808">
            <v>19</v>
          </cell>
        </row>
        <row r="2809">
          <cell r="A2809">
            <v>160820</v>
          </cell>
          <cell r="B2809">
            <v>19</v>
          </cell>
        </row>
        <row r="2810">
          <cell r="A2810">
            <v>160820</v>
          </cell>
          <cell r="B2810">
            <v>18.600000000000001</v>
          </cell>
        </row>
        <row r="2811">
          <cell r="A2811">
            <v>160920</v>
          </cell>
          <cell r="B2811">
            <v>18.600000000000001</v>
          </cell>
        </row>
        <row r="2812">
          <cell r="A2812">
            <v>160920</v>
          </cell>
          <cell r="B2812">
            <v>21.1</v>
          </cell>
        </row>
        <row r="2813">
          <cell r="A2813">
            <v>161004</v>
          </cell>
          <cell r="B2813">
            <v>21.1</v>
          </cell>
        </row>
        <row r="2814">
          <cell r="A2814">
            <v>161004</v>
          </cell>
          <cell r="B2814">
            <v>15.1</v>
          </cell>
        </row>
        <row r="2815">
          <cell r="A2815">
            <v>161104</v>
          </cell>
          <cell r="B2815">
            <v>15.1</v>
          </cell>
        </row>
        <row r="2816">
          <cell r="A2816">
            <v>161104</v>
          </cell>
          <cell r="B2816">
            <v>13.5</v>
          </cell>
        </row>
        <row r="2817">
          <cell r="A2817">
            <v>161204</v>
          </cell>
          <cell r="B2817">
            <v>13.5</v>
          </cell>
        </row>
        <row r="2818">
          <cell r="A2818">
            <v>161204</v>
          </cell>
          <cell r="B2818">
            <v>18.100000000000001</v>
          </cell>
        </row>
        <row r="2819">
          <cell r="A2819">
            <v>161304</v>
          </cell>
          <cell r="B2819">
            <v>18.100000000000001</v>
          </cell>
        </row>
        <row r="2820">
          <cell r="A2820">
            <v>161304</v>
          </cell>
          <cell r="B2820">
            <v>19.7</v>
          </cell>
        </row>
        <row r="2821">
          <cell r="A2821">
            <v>161404</v>
          </cell>
          <cell r="B2821">
            <v>19.7</v>
          </cell>
        </row>
        <row r="2822">
          <cell r="A2822">
            <v>161404</v>
          </cell>
          <cell r="B2822">
            <v>18.5</v>
          </cell>
        </row>
        <row r="2823">
          <cell r="A2823">
            <v>161504</v>
          </cell>
          <cell r="B2823">
            <v>18.5</v>
          </cell>
        </row>
        <row r="2824">
          <cell r="A2824">
            <v>161504</v>
          </cell>
          <cell r="B2824">
            <v>17.7</v>
          </cell>
        </row>
        <row r="2825">
          <cell r="A2825">
            <v>161604</v>
          </cell>
          <cell r="B2825">
            <v>17.7</v>
          </cell>
        </row>
        <row r="2826">
          <cell r="A2826">
            <v>161604</v>
          </cell>
          <cell r="B2826">
            <v>15.8</v>
          </cell>
        </row>
        <row r="2827">
          <cell r="A2827">
            <v>161704</v>
          </cell>
          <cell r="B2827">
            <v>15.8</v>
          </cell>
        </row>
        <row r="2828">
          <cell r="A2828">
            <v>161704</v>
          </cell>
          <cell r="B2828">
            <v>13.9</v>
          </cell>
        </row>
        <row r="2829">
          <cell r="A2829">
            <v>161804</v>
          </cell>
          <cell r="B2829">
            <v>13.9</v>
          </cell>
        </row>
        <row r="2830">
          <cell r="A2830">
            <v>161804</v>
          </cell>
          <cell r="B2830">
            <v>10.199999999999999</v>
          </cell>
        </row>
        <row r="2831">
          <cell r="A2831">
            <v>161904</v>
          </cell>
          <cell r="B2831">
            <v>10.199999999999999</v>
          </cell>
        </row>
        <row r="2832">
          <cell r="A2832">
            <v>161904</v>
          </cell>
          <cell r="B2832">
            <v>9.4</v>
          </cell>
        </row>
        <row r="2833">
          <cell r="A2833">
            <v>162004</v>
          </cell>
          <cell r="B2833">
            <v>9.4</v>
          </cell>
        </row>
        <row r="2834">
          <cell r="A2834">
            <v>162004</v>
          </cell>
          <cell r="B2834">
            <v>10</v>
          </cell>
        </row>
        <row r="2835">
          <cell r="A2835">
            <v>162030</v>
          </cell>
          <cell r="B2835">
            <v>10</v>
          </cell>
        </row>
        <row r="2836">
          <cell r="A2836">
            <v>162030</v>
          </cell>
          <cell r="B2836">
            <v>8.6</v>
          </cell>
        </row>
        <row r="2837">
          <cell r="A2837">
            <v>162130</v>
          </cell>
          <cell r="B2837">
            <v>8.6</v>
          </cell>
        </row>
        <row r="2838">
          <cell r="A2838">
            <v>162130</v>
          </cell>
          <cell r="B2838">
            <v>7</v>
          </cell>
        </row>
        <row r="2839">
          <cell r="A2839">
            <v>162230</v>
          </cell>
          <cell r="B2839">
            <v>7</v>
          </cell>
        </row>
        <row r="2840">
          <cell r="A2840">
            <v>162230</v>
          </cell>
          <cell r="B2840">
            <v>7.5</v>
          </cell>
        </row>
        <row r="2841">
          <cell r="A2841">
            <v>162330</v>
          </cell>
          <cell r="B2841">
            <v>7.5</v>
          </cell>
        </row>
        <row r="2842">
          <cell r="A2842">
            <v>162330</v>
          </cell>
          <cell r="B2842">
            <v>10.6</v>
          </cell>
        </row>
        <row r="2843">
          <cell r="A2843">
            <v>162430</v>
          </cell>
          <cell r="B2843">
            <v>10.6</v>
          </cell>
        </row>
        <row r="2844">
          <cell r="A2844">
            <v>162430</v>
          </cell>
          <cell r="B2844">
            <v>10.5</v>
          </cell>
        </row>
        <row r="2845">
          <cell r="A2845">
            <v>162530</v>
          </cell>
          <cell r="B2845">
            <v>10.5</v>
          </cell>
        </row>
        <row r="2846">
          <cell r="A2846">
            <v>162530</v>
          </cell>
          <cell r="B2846">
            <v>14.7</v>
          </cell>
        </row>
        <row r="2847">
          <cell r="A2847">
            <v>162630</v>
          </cell>
          <cell r="B2847">
            <v>14.7</v>
          </cell>
        </row>
        <row r="2848">
          <cell r="A2848">
            <v>162630</v>
          </cell>
          <cell r="B2848">
            <v>14</v>
          </cell>
        </row>
        <row r="2849">
          <cell r="A2849">
            <v>162730</v>
          </cell>
          <cell r="B2849">
            <v>14</v>
          </cell>
        </row>
        <row r="2850">
          <cell r="A2850">
            <v>162730</v>
          </cell>
          <cell r="B2850">
            <v>11.6</v>
          </cell>
        </row>
        <row r="2851">
          <cell r="A2851">
            <v>162830</v>
          </cell>
          <cell r="B2851">
            <v>11.6</v>
          </cell>
        </row>
        <row r="2852">
          <cell r="A2852">
            <v>162830</v>
          </cell>
          <cell r="B2852">
            <v>11.7</v>
          </cell>
        </row>
        <row r="2853">
          <cell r="A2853">
            <v>162930</v>
          </cell>
          <cell r="B2853">
            <v>11.7</v>
          </cell>
        </row>
        <row r="2854">
          <cell r="A2854">
            <v>162930</v>
          </cell>
          <cell r="B2854">
            <v>10.4</v>
          </cell>
        </row>
        <row r="2855">
          <cell r="A2855">
            <v>163030</v>
          </cell>
          <cell r="B2855">
            <v>10.4</v>
          </cell>
        </row>
        <row r="2856">
          <cell r="A2856">
            <v>163030</v>
          </cell>
          <cell r="B2856">
            <v>9.6</v>
          </cell>
        </row>
        <row r="2857">
          <cell r="A2857">
            <v>163093</v>
          </cell>
          <cell r="B2857">
            <v>9.6</v>
          </cell>
        </row>
        <row r="2858">
          <cell r="A2858">
            <v>163093</v>
          </cell>
          <cell r="B2858">
            <v>10.8</v>
          </cell>
        </row>
        <row r="2859">
          <cell r="A2859">
            <v>163193</v>
          </cell>
          <cell r="B2859">
            <v>10.8</v>
          </cell>
        </row>
        <row r="2860">
          <cell r="A2860">
            <v>163193</v>
          </cell>
          <cell r="B2860">
            <v>12.6</v>
          </cell>
        </row>
        <row r="2861">
          <cell r="A2861">
            <v>163393</v>
          </cell>
          <cell r="B2861">
            <v>12.6</v>
          </cell>
        </row>
        <row r="2862">
          <cell r="A2862">
            <v>163393</v>
          </cell>
          <cell r="B2862">
            <v>6.7</v>
          </cell>
        </row>
        <row r="2863">
          <cell r="A2863">
            <v>163493</v>
          </cell>
          <cell r="B2863">
            <v>6.7</v>
          </cell>
        </row>
        <row r="2864">
          <cell r="A2864">
            <v>163493</v>
          </cell>
          <cell r="B2864">
            <v>5.5</v>
          </cell>
        </row>
        <row r="2865">
          <cell r="A2865">
            <v>163593</v>
          </cell>
          <cell r="B2865">
            <v>5.5</v>
          </cell>
        </row>
        <row r="2866">
          <cell r="A2866">
            <v>163593</v>
          </cell>
          <cell r="B2866">
            <v>5.4</v>
          </cell>
        </row>
        <row r="2867">
          <cell r="A2867">
            <v>163693</v>
          </cell>
          <cell r="B2867">
            <v>5.4</v>
          </cell>
        </row>
        <row r="2868">
          <cell r="A2868">
            <v>163693</v>
          </cell>
          <cell r="B2868">
            <v>7.2</v>
          </cell>
        </row>
        <row r="2869">
          <cell r="A2869">
            <v>163793</v>
          </cell>
          <cell r="B2869">
            <v>7.2</v>
          </cell>
        </row>
        <row r="2870">
          <cell r="A2870">
            <v>163793</v>
          </cell>
          <cell r="B2870">
            <v>9.4</v>
          </cell>
        </row>
        <row r="2871">
          <cell r="A2871">
            <v>163893</v>
          </cell>
          <cell r="B2871">
            <v>9.4</v>
          </cell>
        </row>
        <row r="2872">
          <cell r="A2872">
            <v>163893</v>
          </cell>
          <cell r="B2872">
            <v>14.3</v>
          </cell>
        </row>
        <row r="2873">
          <cell r="A2873">
            <v>164041</v>
          </cell>
          <cell r="B2873">
            <v>14.3</v>
          </cell>
        </row>
        <row r="2874">
          <cell r="A2874">
            <v>164041</v>
          </cell>
          <cell r="B2874">
            <v>7</v>
          </cell>
        </row>
        <row r="2875">
          <cell r="A2875">
            <v>164141</v>
          </cell>
          <cell r="B2875">
            <v>7</v>
          </cell>
        </row>
        <row r="2876">
          <cell r="A2876">
            <v>164141</v>
          </cell>
          <cell r="B2876">
            <v>11.6</v>
          </cell>
        </row>
        <row r="2877">
          <cell r="A2877">
            <v>164241</v>
          </cell>
          <cell r="B2877">
            <v>11.6</v>
          </cell>
        </row>
        <row r="2878">
          <cell r="A2878">
            <v>164241</v>
          </cell>
          <cell r="B2878">
            <v>7.6</v>
          </cell>
        </row>
        <row r="2879">
          <cell r="A2879">
            <v>164341</v>
          </cell>
          <cell r="B2879">
            <v>7.6</v>
          </cell>
        </row>
        <row r="2880">
          <cell r="A2880">
            <v>164341</v>
          </cell>
          <cell r="B2880">
            <v>12</v>
          </cell>
        </row>
        <row r="2881">
          <cell r="A2881">
            <v>164441</v>
          </cell>
          <cell r="B2881">
            <v>12</v>
          </cell>
        </row>
        <row r="2882">
          <cell r="A2882">
            <v>164441</v>
          </cell>
          <cell r="B2882">
            <v>9.6</v>
          </cell>
        </row>
        <row r="2883">
          <cell r="A2883">
            <v>164541</v>
          </cell>
          <cell r="B2883">
            <v>9.6</v>
          </cell>
        </row>
        <row r="2884">
          <cell r="A2884">
            <v>164541</v>
          </cell>
          <cell r="B2884">
            <v>9.8000000000000007</v>
          </cell>
        </row>
        <row r="2885">
          <cell r="A2885">
            <v>164641</v>
          </cell>
          <cell r="B2885">
            <v>9.8000000000000007</v>
          </cell>
        </row>
        <row r="2886">
          <cell r="A2886">
            <v>164641</v>
          </cell>
          <cell r="B2886">
            <v>12.9</v>
          </cell>
        </row>
        <row r="2887">
          <cell r="A2887">
            <v>164741</v>
          </cell>
          <cell r="B2887">
            <v>12.9</v>
          </cell>
        </row>
        <row r="2888">
          <cell r="A2888">
            <v>164741</v>
          </cell>
          <cell r="B2888">
            <v>10.9</v>
          </cell>
        </row>
        <row r="2889">
          <cell r="A2889">
            <v>164841</v>
          </cell>
          <cell r="B2889">
            <v>10.9</v>
          </cell>
        </row>
        <row r="2890">
          <cell r="A2890">
            <v>164841</v>
          </cell>
          <cell r="B2890">
            <v>9.3000000000000007</v>
          </cell>
        </row>
        <row r="2891">
          <cell r="A2891">
            <v>164941</v>
          </cell>
          <cell r="B2891">
            <v>9.3000000000000007</v>
          </cell>
        </row>
        <row r="2892">
          <cell r="A2892">
            <v>164941</v>
          </cell>
          <cell r="B2892">
            <v>6.3</v>
          </cell>
        </row>
        <row r="2893">
          <cell r="A2893">
            <v>165035</v>
          </cell>
          <cell r="B2893">
            <v>6.3</v>
          </cell>
        </row>
        <row r="2894">
          <cell r="A2894">
            <v>165035</v>
          </cell>
          <cell r="B2894">
            <v>5.5</v>
          </cell>
        </row>
        <row r="2895">
          <cell r="A2895">
            <v>165135</v>
          </cell>
          <cell r="B2895">
            <v>5.5</v>
          </cell>
        </row>
        <row r="2896">
          <cell r="A2896">
            <v>165135</v>
          </cell>
          <cell r="B2896">
            <v>8.3000000000000007</v>
          </cell>
        </row>
        <row r="2897">
          <cell r="A2897">
            <v>165235</v>
          </cell>
          <cell r="B2897">
            <v>8.3000000000000007</v>
          </cell>
        </row>
        <row r="2898">
          <cell r="A2898">
            <v>165235</v>
          </cell>
          <cell r="B2898">
            <v>7.2</v>
          </cell>
        </row>
        <row r="2899">
          <cell r="A2899">
            <v>165335</v>
          </cell>
          <cell r="B2899">
            <v>7.2</v>
          </cell>
        </row>
        <row r="2900">
          <cell r="A2900">
            <v>165335</v>
          </cell>
          <cell r="B2900">
            <v>9.3000000000000007</v>
          </cell>
        </row>
        <row r="2901">
          <cell r="A2901">
            <v>165435</v>
          </cell>
          <cell r="B2901">
            <v>9.3000000000000007</v>
          </cell>
        </row>
        <row r="2902">
          <cell r="A2902">
            <v>165435</v>
          </cell>
          <cell r="B2902">
            <v>8.3000000000000007</v>
          </cell>
        </row>
        <row r="2903">
          <cell r="A2903">
            <v>165535</v>
          </cell>
          <cell r="B2903">
            <v>8.3000000000000007</v>
          </cell>
        </row>
        <row r="2904">
          <cell r="A2904">
            <v>165535</v>
          </cell>
          <cell r="B2904">
            <v>11.3</v>
          </cell>
        </row>
        <row r="2905">
          <cell r="A2905">
            <v>165635</v>
          </cell>
          <cell r="B2905">
            <v>11.3</v>
          </cell>
        </row>
        <row r="2906">
          <cell r="A2906">
            <v>165635</v>
          </cell>
          <cell r="B2906">
            <v>8.5</v>
          </cell>
        </row>
        <row r="2907">
          <cell r="A2907">
            <v>165735</v>
          </cell>
          <cell r="B2907">
            <v>8.5</v>
          </cell>
        </row>
        <row r="2908">
          <cell r="A2908">
            <v>165735</v>
          </cell>
          <cell r="B2908">
            <v>6.3</v>
          </cell>
        </row>
        <row r="2909">
          <cell r="A2909">
            <v>165835</v>
          </cell>
          <cell r="B2909">
            <v>6.3</v>
          </cell>
        </row>
        <row r="2910">
          <cell r="A2910">
            <v>165835</v>
          </cell>
          <cell r="B2910">
            <v>10</v>
          </cell>
        </row>
        <row r="2911">
          <cell r="A2911">
            <v>165935</v>
          </cell>
          <cell r="B2911">
            <v>10</v>
          </cell>
        </row>
        <row r="2912">
          <cell r="A2912">
            <v>165935</v>
          </cell>
          <cell r="B2912">
            <v>12.2</v>
          </cell>
        </row>
        <row r="2913">
          <cell r="A2913">
            <v>166040</v>
          </cell>
          <cell r="B2913">
            <v>12.2</v>
          </cell>
        </row>
        <row r="2914">
          <cell r="A2914">
            <v>166040</v>
          </cell>
          <cell r="B2914">
            <v>7.5</v>
          </cell>
        </row>
        <row r="2915">
          <cell r="A2915">
            <v>166140</v>
          </cell>
          <cell r="B2915">
            <v>7.5</v>
          </cell>
        </row>
        <row r="2916">
          <cell r="A2916">
            <v>166140</v>
          </cell>
          <cell r="B2916">
            <v>9</v>
          </cell>
        </row>
        <row r="2917">
          <cell r="A2917">
            <v>166240</v>
          </cell>
          <cell r="B2917">
            <v>9</v>
          </cell>
        </row>
        <row r="2918">
          <cell r="A2918">
            <v>166240</v>
          </cell>
          <cell r="B2918">
            <v>9.6</v>
          </cell>
        </row>
        <row r="2919">
          <cell r="A2919">
            <v>166340</v>
          </cell>
          <cell r="B2919">
            <v>9.6</v>
          </cell>
        </row>
        <row r="2920">
          <cell r="A2920">
            <v>166340</v>
          </cell>
          <cell r="B2920">
            <v>8.8000000000000007</v>
          </cell>
        </row>
        <row r="2921">
          <cell r="A2921">
            <v>166440</v>
          </cell>
          <cell r="B2921">
            <v>8.8000000000000007</v>
          </cell>
        </row>
        <row r="2922">
          <cell r="A2922">
            <v>166440</v>
          </cell>
          <cell r="B2922">
            <v>10.1</v>
          </cell>
        </row>
        <row r="2923">
          <cell r="A2923">
            <v>166540</v>
          </cell>
          <cell r="B2923">
            <v>10.1</v>
          </cell>
        </row>
        <row r="2924">
          <cell r="A2924">
            <v>166540</v>
          </cell>
          <cell r="B2924">
            <v>16.399999999999999</v>
          </cell>
        </row>
        <row r="2925">
          <cell r="A2925">
            <v>166640</v>
          </cell>
          <cell r="B2925">
            <v>16.399999999999999</v>
          </cell>
        </row>
        <row r="2926">
          <cell r="A2926">
            <v>166640</v>
          </cell>
          <cell r="B2926">
            <v>19</v>
          </cell>
        </row>
        <row r="2927">
          <cell r="A2927">
            <v>166740</v>
          </cell>
          <cell r="B2927">
            <v>19</v>
          </cell>
        </row>
        <row r="2928">
          <cell r="A2928">
            <v>166740</v>
          </cell>
          <cell r="B2928">
            <v>23.8</v>
          </cell>
        </row>
        <row r="2929">
          <cell r="A2929">
            <v>166840</v>
          </cell>
          <cell r="B2929">
            <v>23.8</v>
          </cell>
        </row>
        <row r="2930">
          <cell r="A2930">
            <v>166840</v>
          </cell>
          <cell r="B2930">
            <v>20.6</v>
          </cell>
        </row>
        <row r="2931">
          <cell r="A2931">
            <v>166940</v>
          </cell>
          <cell r="B2931">
            <v>20.6</v>
          </cell>
        </row>
        <row r="2932">
          <cell r="A2932">
            <v>166940</v>
          </cell>
          <cell r="B2932">
            <v>20.100000000000001</v>
          </cell>
        </row>
        <row r="2933">
          <cell r="A2933">
            <v>167040</v>
          </cell>
          <cell r="B2933">
            <v>20.100000000000001</v>
          </cell>
        </row>
        <row r="2934">
          <cell r="A2934">
            <v>167040</v>
          </cell>
          <cell r="B2934">
            <v>12.2</v>
          </cell>
        </row>
        <row r="2935">
          <cell r="A2935">
            <v>167140</v>
          </cell>
          <cell r="B2935">
            <v>12.2</v>
          </cell>
        </row>
        <row r="2936">
          <cell r="A2936">
            <v>167140</v>
          </cell>
          <cell r="B2936">
            <v>9.3000000000000007</v>
          </cell>
        </row>
        <row r="2937">
          <cell r="A2937">
            <v>167240</v>
          </cell>
          <cell r="B2937">
            <v>9.3000000000000007</v>
          </cell>
        </row>
        <row r="2938">
          <cell r="A2938">
            <v>167240</v>
          </cell>
          <cell r="B2938">
            <v>10.7</v>
          </cell>
        </row>
        <row r="2939">
          <cell r="A2939">
            <v>167340</v>
          </cell>
          <cell r="B2939">
            <v>10.7</v>
          </cell>
        </row>
        <row r="2940">
          <cell r="A2940">
            <v>167340</v>
          </cell>
          <cell r="B2940">
            <v>10.1</v>
          </cell>
        </row>
        <row r="2941">
          <cell r="A2941">
            <v>167440</v>
          </cell>
          <cell r="B2941">
            <v>10.1</v>
          </cell>
        </row>
        <row r="2942">
          <cell r="A2942">
            <v>167440</v>
          </cell>
          <cell r="B2942">
            <v>9.1</v>
          </cell>
        </row>
        <row r="2943">
          <cell r="A2943">
            <v>167540</v>
          </cell>
          <cell r="B2943">
            <v>9.1</v>
          </cell>
        </row>
        <row r="2944">
          <cell r="A2944">
            <v>167540</v>
          </cell>
          <cell r="B2944">
            <v>11.9</v>
          </cell>
        </row>
        <row r="2945">
          <cell r="A2945">
            <v>167640</v>
          </cell>
          <cell r="B2945">
            <v>11.9</v>
          </cell>
        </row>
        <row r="2946">
          <cell r="A2946">
            <v>167640</v>
          </cell>
          <cell r="B2946">
            <v>15.4</v>
          </cell>
        </row>
        <row r="2947">
          <cell r="A2947">
            <v>167671</v>
          </cell>
          <cell r="B2947">
            <v>15.4</v>
          </cell>
        </row>
        <row r="2948">
          <cell r="A2948">
            <v>167671</v>
          </cell>
          <cell r="B2948">
            <v>12.2</v>
          </cell>
        </row>
        <row r="2949">
          <cell r="A2949">
            <v>167771</v>
          </cell>
          <cell r="B2949">
            <v>12.2</v>
          </cell>
        </row>
        <row r="2950">
          <cell r="A2950">
            <v>167771</v>
          </cell>
          <cell r="B2950">
            <v>19.899999999999999</v>
          </cell>
        </row>
        <row r="2951">
          <cell r="A2951">
            <v>167871</v>
          </cell>
          <cell r="B2951">
            <v>19.899999999999999</v>
          </cell>
        </row>
        <row r="2952">
          <cell r="A2952">
            <v>167871</v>
          </cell>
          <cell r="B2952">
            <v>18.5</v>
          </cell>
        </row>
        <row r="2953">
          <cell r="A2953">
            <v>167971</v>
          </cell>
          <cell r="B2953">
            <v>18.5</v>
          </cell>
        </row>
        <row r="2954">
          <cell r="A2954">
            <v>167971</v>
          </cell>
          <cell r="B2954">
            <v>16.2</v>
          </cell>
        </row>
        <row r="2955">
          <cell r="A2955">
            <v>168042</v>
          </cell>
          <cell r="B2955">
            <v>16.2</v>
          </cell>
        </row>
        <row r="2956">
          <cell r="A2956">
            <v>168042</v>
          </cell>
          <cell r="B2956">
            <v>14.5</v>
          </cell>
        </row>
        <row r="2957">
          <cell r="A2957">
            <v>168142</v>
          </cell>
          <cell r="B2957">
            <v>14.5</v>
          </cell>
        </row>
        <row r="2958">
          <cell r="A2958">
            <v>168142</v>
          </cell>
          <cell r="B2958">
            <v>15.2</v>
          </cell>
        </row>
        <row r="2959">
          <cell r="A2959">
            <v>168242</v>
          </cell>
          <cell r="B2959">
            <v>15.2</v>
          </cell>
        </row>
        <row r="2960">
          <cell r="A2960">
            <v>168242</v>
          </cell>
          <cell r="B2960">
            <v>15.8</v>
          </cell>
        </row>
        <row r="2961">
          <cell r="A2961">
            <v>168342</v>
          </cell>
          <cell r="B2961">
            <v>15.8</v>
          </cell>
        </row>
        <row r="2962">
          <cell r="A2962">
            <v>168342</v>
          </cell>
          <cell r="B2962">
            <v>15.4</v>
          </cell>
        </row>
        <row r="2963">
          <cell r="A2963">
            <v>168442</v>
          </cell>
          <cell r="B2963">
            <v>15.4</v>
          </cell>
        </row>
        <row r="2964">
          <cell r="A2964">
            <v>168442</v>
          </cell>
          <cell r="B2964">
            <v>18.2</v>
          </cell>
        </row>
        <row r="2965">
          <cell r="A2965">
            <v>168542</v>
          </cell>
          <cell r="B2965">
            <v>18.2</v>
          </cell>
        </row>
        <row r="2966">
          <cell r="A2966">
            <v>168542</v>
          </cell>
          <cell r="B2966">
            <v>11.4</v>
          </cell>
        </row>
        <row r="2967">
          <cell r="A2967">
            <v>168642</v>
          </cell>
          <cell r="B2967">
            <v>11.4</v>
          </cell>
        </row>
        <row r="2968">
          <cell r="A2968">
            <v>168642</v>
          </cell>
          <cell r="B2968">
            <v>10.199999999999999</v>
          </cell>
        </row>
        <row r="2969">
          <cell r="A2969">
            <v>168742</v>
          </cell>
          <cell r="B2969">
            <v>10.199999999999999</v>
          </cell>
        </row>
        <row r="2970">
          <cell r="A2970">
            <v>168742</v>
          </cell>
          <cell r="B2970">
            <v>6</v>
          </cell>
        </row>
        <row r="2971">
          <cell r="A2971">
            <v>168842</v>
          </cell>
          <cell r="B2971">
            <v>6</v>
          </cell>
        </row>
        <row r="2972">
          <cell r="A2972">
            <v>168842</v>
          </cell>
          <cell r="B2972">
            <v>4</v>
          </cell>
        </row>
        <row r="2973">
          <cell r="A2973">
            <v>168942</v>
          </cell>
          <cell r="B2973">
            <v>4</v>
          </cell>
        </row>
        <row r="2974">
          <cell r="A2974">
            <v>168942</v>
          </cell>
          <cell r="B2974">
            <v>3.9</v>
          </cell>
        </row>
        <row r="2975">
          <cell r="A2975">
            <v>169030</v>
          </cell>
          <cell r="B2975">
            <v>3.9</v>
          </cell>
        </row>
        <row r="2976">
          <cell r="A2976">
            <v>169030</v>
          </cell>
          <cell r="B2976">
            <v>2.2999999999999998</v>
          </cell>
        </row>
        <row r="2977">
          <cell r="A2977">
            <v>169130</v>
          </cell>
          <cell r="B2977">
            <v>2.2999999999999998</v>
          </cell>
        </row>
        <row r="2978">
          <cell r="A2978">
            <v>169130</v>
          </cell>
          <cell r="B2978">
            <v>2.5</v>
          </cell>
        </row>
        <row r="2979">
          <cell r="A2979">
            <v>169230</v>
          </cell>
          <cell r="B2979">
            <v>2.5</v>
          </cell>
        </row>
        <row r="2980">
          <cell r="A2980">
            <v>169230</v>
          </cell>
          <cell r="B2980">
            <v>2.4</v>
          </cell>
        </row>
        <row r="2981">
          <cell r="A2981">
            <v>169330</v>
          </cell>
          <cell r="B2981">
            <v>2.4</v>
          </cell>
        </row>
        <row r="2982">
          <cell r="A2982">
            <v>169330</v>
          </cell>
          <cell r="B2982">
            <v>4.0999999999999996</v>
          </cell>
        </row>
        <row r="2983">
          <cell r="A2983">
            <v>169430</v>
          </cell>
          <cell r="B2983">
            <v>4.0999999999999996</v>
          </cell>
        </row>
        <row r="2984">
          <cell r="A2984">
            <v>169430</v>
          </cell>
          <cell r="B2984">
            <v>3</v>
          </cell>
        </row>
        <row r="2985">
          <cell r="A2985">
            <v>169530</v>
          </cell>
          <cell r="B2985">
            <v>3</v>
          </cell>
        </row>
        <row r="2986">
          <cell r="A2986">
            <v>169530</v>
          </cell>
          <cell r="B2986">
            <v>2.4</v>
          </cell>
        </row>
        <row r="2987">
          <cell r="A2987">
            <v>169630</v>
          </cell>
          <cell r="B2987">
            <v>2.4</v>
          </cell>
        </row>
        <row r="2988">
          <cell r="A2988">
            <v>169630</v>
          </cell>
          <cell r="B2988">
            <v>3.6</v>
          </cell>
        </row>
        <row r="2989">
          <cell r="A2989">
            <v>169730</v>
          </cell>
          <cell r="B2989">
            <v>3.6</v>
          </cell>
        </row>
        <row r="2990">
          <cell r="A2990">
            <v>169730</v>
          </cell>
          <cell r="B2990">
            <v>4.3</v>
          </cell>
        </row>
        <row r="2991">
          <cell r="A2991">
            <v>169830</v>
          </cell>
          <cell r="B2991">
            <v>4.3</v>
          </cell>
        </row>
        <row r="2992">
          <cell r="A2992">
            <v>169830</v>
          </cell>
          <cell r="B2992">
            <v>2</v>
          </cell>
        </row>
        <row r="2993">
          <cell r="A2993">
            <v>169930</v>
          </cell>
          <cell r="B2993">
            <v>2</v>
          </cell>
        </row>
        <row r="2994">
          <cell r="A2994">
            <v>169930</v>
          </cell>
          <cell r="B2994">
            <v>3.4</v>
          </cell>
        </row>
        <row r="2995">
          <cell r="A2995">
            <v>170018</v>
          </cell>
          <cell r="B2995">
            <v>3.4</v>
          </cell>
        </row>
        <row r="2996">
          <cell r="A2996">
            <v>170018</v>
          </cell>
          <cell r="B2996">
            <v>3.9</v>
          </cell>
        </row>
        <row r="2997">
          <cell r="A2997">
            <v>170118</v>
          </cell>
          <cell r="B2997">
            <v>3.9</v>
          </cell>
        </row>
        <row r="2998">
          <cell r="A2998">
            <v>170118</v>
          </cell>
          <cell r="B2998">
            <v>3.4</v>
          </cell>
        </row>
        <row r="2999">
          <cell r="A2999">
            <v>170218</v>
          </cell>
          <cell r="B2999">
            <v>3.4</v>
          </cell>
        </row>
        <row r="3000">
          <cell r="A3000">
            <v>170218</v>
          </cell>
          <cell r="B3000">
            <v>3.7</v>
          </cell>
        </row>
        <row r="3001">
          <cell r="A3001">
            <v>170318</v>
          </cell>
          <cell r="B3001">
            <v>3.7</v>
          </cell>
        </row>
        <row r="3002">
          <cell r="A3002">
            <v>170318</v>
          </cell>
          <cell r="B3002">
            <v>4.4000000000000004</v>
          </cell>
        </row>
        <row r="3003">
          <cell r="A3003">
            <v>170418</v>
          </cell>
          <cell r="B3003">
            <v>4.4000000000000004</v>
          </cell>
        </row>
        <row r="3004">
          <cell r="A3004">
            <v>170418</v>
          </cell>
          <cell r="B3004">
            <v>6.3</v>
          </cell>
        </row>
        <row r="3005">
          <cell r="A3005">
            <v>170518</v>
          </cell>
          <cell r="B3005">
            <v>6.3</v>
          </cell>
        </row>
        <row r="3006">
          <cell r="A3006">
            <v>170518</v>
          </cell>
          <cell r="B3006">
            <v>6.5</v>
          </cell>
        </row>
        <row r="3007">
          <cell r="A3007">
            <v>170618</v>
          </cell>
          <cell r="B3007">
            <v>6.5</v>
          </cell>
        </row>
        <row r="3008">
          <cell r="A3008">
            <v>170618</v>
          </cell>
          <cell r="B3008">
            <v>4.5</v>
          </cell>
        </row>
        <row r="3009">
          <cell r="A3009">
            <v>170718</v>
          </cell>
          <cell r="B3009">
            <v>4.5</v>
          </cell>
        </row>
        <row r="3010">
          <cell r="A3010">
            <v>170718</v>
          </cell>
          <cell r="B3010">
            <v>3.1</v>
          </cell>
        </row>
        <row r="3011">
          <cell r="A3011">
            <v>170818</v>
          </cell>
          <cell r="B3011">
            <v>3.1</v>
          </cell>
        </row>
        <row r="3012">
          <cell r="A3012">
            <v>170818</v>
          </cell>
          <cell r="B3012">
            <v>3.6</v>
          </cell>
        </row>
        <row r="3013">
          <cell r="A3013">
            <v>170918</v>
          </cell>
          <cell r="B3013">
            <v>3.6</v>
          </cell>
        </row>
        <row r="3014">
          <cell r="A3014">
            <v>170918</v>
          </cell>
          <cell r="B3014">
            <v>3.1</v>
          </cell>
        </row>
        <row r="3015">
          <cell r="A3015">
            <v>171026</v>
          </cell>
          <cell r="B3015">
            <v>3.1</v>
          </cell>
        </row>
        <row r="3016">
          <cell r="A3016">
            <v>171026</v>
          </cell>
          <cell r="B3016">
            <v>5.3</v>
          </cell>
        </row>
        <row r="3017">
          <cell r="A3017">
            <v>171126</v>
          </cell>
          <cell r="B3017">
            <v>5.3</v>
          </cell>
        </row>
        <row r="3018">
          <cell r="A3018">
            <v>171126</v>
          </cell>
          <cell r="B3018">
            <v>9.9</v>
          </cell>
        </row>
        <row r="3019">
          <cell r="A3019">
            <v>171226</v>
          </cell>
          <cell r="B3019">
            <v>9.9</v>
          </cell>
        </row>
        <row r="3020">
          <cell r="A3020">
            <v>171226</v>
          </cell>
          <cell r="B3020">
            <v>5.2</v>
          </cell>
        </row>
        <row r="3021">
          <cell r="A3021">
            <v>171326</v>
          </cell>
          <cell r="B3021">
            <v>5.2</v>
          </cell>
        </row>
        <row r="3022">
          <cell r="A3022">
            <v>171326</v>
          </cell>
          <cell r="B3022">
            <v>4.7</v>
          </cell>
        </row>
        <row r="3023">
          <cell r="A3023">
            <v>171426</v>
          </cell>
          <cell r="B3023">
            <v>4.7</v>
          </cell>
        </row>
        <row r="3024">
          <cell r="A3024">
            <v>171426</v>
          </cell>
          <cell r="B3024">
            <v>5.5</v>
          </cell>
        </row>
        <row r="3025">
          <cell r="A3025">
            <v>171526</v>
          </cell>
          <cell r="B3025">
            <v>5.5</v>
          </cell>
        </row>
        <row r="3026">
          <cell r="A3026">
            <v>171526</v>
          </cell>
          <cell r="B3026">
            <v>5.4</v>
          </cell>
        </row>
        <row r="3027">
          <cell r="A3027">
            <v>171626</v>
          </cell>
          <cell r="B3027">
            <v>5.4</v>
          </cell>
        </row>
        <row r="3028">
          <cell r="A3028">
            <v>171626</v>
          </cell>
          <cell r="B3028">
            <v>4.0999999999999996</v>
          </cell>
        </row>
        <row r="3029">
          <cell r="A3029">
            <v>171726</v>
          </cell>
          <cell r="B3029">
            <v>4.0999999999999996</v>
          </cell>
        </row>
        <row r="3030">
          <cell r="A3030">
            <v>171726</v>
          </cell>
          <cell r="B3030">
            <v>8.6999999999999993</v>
          </cell>
        </row>
        <row r="3031">
          <cell r="A3031">
            <v>171826</v>
          </cell>
          <cell r="B3031">
            <v>8.6999999999999993</v>
          </cell>
        </row>
        <row r="3032">
          <cell r="A3032">
            <v>171826</v>
          </cell>
          <cell r="B3032">
            <v>15.6</v>
          </cell>
        </row>
        <row r="3033">
          <cell r="A3033">
            <v>171926</v>
          </cell>
          <cell r="B3033">
            <v>15.6</v>
          </cell>
        </row>
        <row r="3034">
          <cell r="A3034">
            <v>171926</v>
          </cell>
          <cell r="B3034">
            <v>16.100000000000001</v>
          </cell>
        </row>
        <row r="3035">
          <cell r="A3035">
            <v>171970</v>
          </cell>
          <cell r="B3035">
            <v>16.100000000000001</v>
          </cell>
        </row>
        <row r="3036">
          <cell r="A3036">
            <v>171970</v>
          </cell>
          <cell r="B3036">
            <v>11.3</v>
          </cell>
        </row>
        <row r="3037">
          <cell r="A3037">
            <v>172059</v>
          </cell>
          <cell r="B3037">
            <v>11.3</v>
          </cell>
        </row>
        <row r="3038">
          <cell r="A3038">
            <v>172059</v>
          </cell>
          <cell r="B3038">
            <v>7.2</v>
          </cell>
        </row>
        <row r="3039">
          <cell r="A3039">
            <v>172159</v>
          </cell>
          <cell r="B3039">
            <v>7.2</v>
          </cell>
        </row>
        <row r="3040">
          <cell r="A3040">
            <v>172159</v>
          </cell>
          <cell r="B3040">
            <v>6.4</v>
          </cell>
        </row>
        <row r="3041">
          <cell r="A3041">
            <v>172259</v>
          </cell>
          <cell r="B3041">
            <v>6.4</v>
          </cell>
        </row>
        <row r="3042">
          <cell r="A3042">
            <v>172259</v>
          </cell>
          <cell r="B3042">
            <v>8.8000000000000007</v>
          </cell>
        </row>
        <row r="3043">
          <cell r="A3043">
            <v>172359</v>
          </cell>
          <cell r="B3043">
            <v>8.8000000000000007</v>
          </cell>
        </row>
        <row r="3044">
          <cell r="A3044">
            <v>172359</v>
          </cell>
          <cell r="B3044">
            <v>7.1</v>
          </cell>
        </row>
        <row r="3045">
          <cell r="A3045">
            <v>172459</v>
          </cell>
          <cell r="B3045">
            <v>7.1</v>
          </cell>
        </row>
        <row r="3046">
          <cell r="A3046">
            <v>172459</v>
          </cell>
          <cell r="B3046">
            <v>9.5</v>
          </cell>
        </row>
        <row r="3047">
          <cell r="A3047">
            <v>172559</v>
          </cell>
          <cell r="B3047">
            <v>9.5</v>
          </cell>
        </row>
        <row r="3048">
          <cell r="A3048">
            <v>172559</v>
          </cell>
          <cell r="B3048">
            <v>7.6</v>
          </cell>
        </row>
        <row r="3049">
          <cell r="A3049">
            <v>172659</v>
          </cell>
          <cell r="B3049">
            <v>7.6</v>
          </cell>
        </row>
        <row r="3050">
          <cell r="A3050">
            <v>172659</v>
          </cell>
          <cell r="B3050">
            <v>6.6</v>
          </cell>
        </row>
        <row r="3051">
          <cell r="A3051">
            <v>172759</v>
          </cell>
          <cell r="B3051">
            <v>6.6</v>
          </cell>
        </row>
        <row r="3052">
          <cell r="A3052">
            <v>172759</v>
          </cell>
          <cell r="B3052">
            <v>3.9</v>
          </cell>
        </row>
        <row r="3053">
          <cell r="A3053">
            <v>172859</v>
          </cell>
          <cell r="B3053">
            <v>3.9</v>
          </cell>
        </row>
        <row r="3054">
          <cell r="A3054">
            <v>172859</v>
          </cell>
          <cell r="B3054">
            <v>3.7</v>
          </cell>
        </row>
        <row r="3055">
          <cell r="A3055">
            <v>172959</v>
          </cell>
          <cell r="B3055">
            <v>3.7</v>
          </cell>
        </row>
        <row r="3056">
          <cell r="A3056">
            <v>172959</v>
          </cell>
          <cell r="B3056">
            <v>6.1</v>
          </cell>
        </row>
        <row r="3057">
          <cell r="A3057">
            <v>173069</v>
          </cell>
          <cell r="B3057">
            <v>6.1</v>
          </cell>
        </row>
        <row r="3058">
          <cell r="A3058">
            <v>173069</v>
          </cell>
          <cell r="B3058">
            <v>8</v>
          </cell>
        </row>
        <row r="3059">
          <cell r="A3059">
            <v>173169</v>
          </cell>
          <cell r="B3059">
            <v>8</v>
          </cell>
        </row>
        <row r="3060">
          <cell r="A3060">
            <v>173169</v>
          </cell>
          <cell r="B3060">
            <v>3.2</v>
          </cell>
        </row>
        <row r="3061">
          <cell r="A3061">
            <v>173185</v>
          </cell>
          <cell r="B3061">
            <v>3.2</v>
          </cell>
        </row>
        <row r="3062">
          <cell r="A3062">
            <v>173185</v>
          </cell>
          <cell r="B3062">
            <v>5.3</v>
          </cell>
        </row>
        <row r="3063">
          <cell r="A3063">
            <v>173285</v>
          </cell>
          <cell r="B3063">
            <v>5.3</v>
          </cell>
        </row>
        <row r="3064">
          <cell r="A3064">
            <v>173285</v>
          </cell>
          <cell r="B3064">
            <v>6.7</v>
          </cell>
        </row>
        <row r="3065">
          <cell r="A3065">
            <v>173385</v>
          </cell>
          <cell r="B3065">
            <v>6.7</v>
          </cell>
        </row>
        <row r="3066">
          <cell r="A3066">
            <v>173385</v>
          </cell>
          <cell r="B3066">
            <v>7.1</v>
          </cell>
        </row>
        <row r="3067">
          <cell r="A3067">
            <v>173485</v>
          </cell>
          <cell r="B3067">
            <v>7.1</v>
          </cell>
        </row>
        <row r="3068">
          <cell r="A3068">
            <v>173485</v>
          </cell>
          <cell r="B3068">
            <v>7.5</v>
          </cell>
        </row>
        <row r="3069">
          <cell r="A3069">
            <v>173585</v>
          </cell>
          <cell r="B3069">
            <v>7.5</v>
          </cell>
        </row>
        <row r="3070">
          <cell r="A3070">
            <v>173585</v>
          </cell>
          <cell r="B3070">
            <v>6.1</v>
          </cell>
        </row>
        <row r="3071">
          <cell r="A3071">
            <v>173685</v>
          </cell>
          <cell r="B3071">
            <v>6.1</v>
          </cell>
        </row>
        <row r="3072">
          <cell r="A3072">
            <v>173685</v>
          </cell>
          <cell r="B3072">
            <v>7.3</v>
          </cell>
        </row>
        <row r="3073">
          <cell r="A3073">
            <v>173785</v>
          </cell>
          <cell r="B3073">
            <v>7.3</v>
          </cell>
        </row>
        <row r="3074">
          <cell r="A3074">
            <v>173785</v>
          </cell>
          <cell r="B3074">
            <v>8.9</v>
          </cell>
        </row>
        <row r="3075">
          <cell r="A3075">
            <v>173885</v>
          </cell>
          <cell r="B3075">
            <v>8.9</v>
          </cell>
        </row>
        <row r="3076">
          <cell r="A3076">
            <v>173885</v>
          </cell>
          <cell r="B3076">
            <v>10</v>
          </cell>
        </row>
        <row r="3077">
          <cell r="A3077">
            <v>173985</v>
          </cell>
          <cell r="B3077">
            <v>10</v>
          </cell>
        </row>
        <row r="3078">
          <cell r="A3078">
            <v>173985</v>
          </cell>
          <cell r="B3078">
            <v>8.6999999999999993</v>
          </cell>
        </row>
        <row r="3079">
          <cell r="A3079">
            <v>174083</v>
          </cell>
          <cell r="B3079">
            <v>8.6999999999999993</v>
          </cell>
        </row>
        <row r="3080">
          <cell r="A3080">
            <v>174083</v>
          </cell>
          <cell r="B3080">
            <v>10.4</v>
          </cell>
        </row>
        <row r="3081">
          <cell r="A3081">
            <v>174183</v>
          </cell>
          <cell r="B3081">
            <v>10.4</v>
          </cell>
        </row>
        <row r="3082">
          <cell r="A3082">
            <v>174183</v>
          </cell>
          <cell r="B3082">
            <v>7.7</v>
          </cell>
        </row>
        <row r="3083">
          <cell r="A3083">
            <v>174283</v>
          </cell>
          <cell r="B3083">
            <v>7.7</v>
          </cell>
        </row>
        <row r="3084">
          <cell r="A3084">
            <v>174283</v>
          </cell>
          <cell r="B3084">
            <v>8.1999999999999993</v>
          </cell>
        </row>
        <row r="3085">
          <cell r="A3085">
            <v>174383</v>
          </cell>
          <cell r="B3085">
            <v>8.1999999999999993</v>
          </cell>
        </row>
        <row r="3086">
          <cell r="A3086">
            <v>174383</v>
          </cell>
          <cell r="B3086">
            <v>10.7</v>
          </cell>
        </row>
        <row r="3087">
          <cell r="A3087">
            <v>174483</v>
          </cell>
          <cell r="B3087">
            <v>10.7</v>
          </cell>
        </row>
        <row r="3088">
          <cell r="A3088">
            <v>174483</v>
          </cell>
          <cell r="B3088">
            <v>12.6</v>
          </cell>
        </row>
        <row r="3089">
          <cell r="A3089">
            <v>174583</v>
          </cell>
          <cell r="B3089">
            <v>12.6</v>
          </cell>
        </row>
        <row r="3090">
          <cell r="A3090">
            <v>174583</v>
          </cell>
          <cell r="B3090">
            <v>18.7</v>
          </cell>
        </row>
        <row r="3091">
          <cell r="A3091">
            <v>174585</v>
          </cell>
          <cell r="B3091">
            <v>18.7</v>
          </cell>
        </row>
        <row r="3092">
          <cell r="A3092">
            <v>174585</v>
          </cell>
          <cell r="B3092">
            <v>11.3</v>
          </cell>
        </row>
        <row r="3093">
          <cell r="A3093">
            <v>174685</v>
          </cell>
          <cell r="B3093">
            <v>11.3</v>
          </cell>
        </row>
        <row r="3094">
          <cell r="A3094">
            <v>174685</v>
          </cell>
          <cell r="B3094">
            <v>10.1</v>
          </cell>
        </row>
        <row r="3095">
          <cell r="A3095">
            <v>174785</v>
          </cell>
          <cell r="B3095">
            <v>10.1</v>
          </cell>
        </row>
        <row r="3096">
          <cell r="A3096">
            <v>174785</v>
          </cell>
          <cell r="B3096">
            <v>12</v>
          </cell>
        </row>
        <row r="3097">
          <cell r="A3097">
            <v>174985</v>
          </cell>
          <cell r="B3097">
            <v>12</v>
          </cell>
        </row>
        <row r="3098">
          <cell r="A3098">
            <v>174985</v>
          </cell>
          <cell r="B3098">
            <v>10.6</v>
          </cell>
        </row>
        <row r="3099">
          <cell r="A3099">
            <v>175076</v>
          </cell>
          <cell r="B3099">
            <v>10.6</v>
          </cell>
        </row>
        <row r="3100">
          <cell r="A3100">
            <v>175076</v>
          </cell>
          <cell r="B3100">
            <v>7.1</v>
          </cell>
        </row>
        <row r="3101">
          <cell r="A3101">
            <v>175176</v>
          </cell>
          <cell r="B3101">
            <v>7.1</v>
          </cell>
        </row>
        <row r="3102">
          <cell r="A3102">
            <v>175176</v>
          </cell>
          <cell r="B3102">
            <v>8.9</v>
          </cell>
        </row>
        <row r="3103">
          <cell r="A3103">
            <v>175276</v>
          </cell>
          <cell r="B3103">
            <v>8.9</v>
          </cell>
        </row>
        <row r="3104">
          <cell r="A3104">
            <v>175276</v>
          </cell>
          <cell r="B3104">
            <v>8.4</v>
          </cell>
        </row>
        <row r="3105">
          <cell r="A3105">
            <v>175376</v>
          </cell>
          <cell r="B3105">
            <v>8.4</v>
          </cell>
        </row>
        <row r="3106">
          <cell r="A3106">
            <v>175376</v>
          </cell>
          <cell r="B3106">
            <v>7.5</v>
          </cell>
        </row>
        <row r="3107">
          <cell r="A3107">
            <v>175476</v>
          </cell>
          <cell r="B3107">
            <v>7.5</v>
          </cell>
        </row>
        <row r="3108">
          <cell r="A3108">
            <v>175476</v>
          </cell>
          <cell r="B3108">
            <v>7.8</v>
          </cell>
        </row>
        <row r="3109">
          <cell r="A3109">
            <v>175576</v>
          </cell>
          <cell r="B3109">
            <v>7.8</v>
          </cell>
        </row>
        <row r="3110">
          <cell r="A3110">
            <v>175576</v>
          </cell>
          <cell r="B3110">
            <v>5.6</v>
          </cell>
        </row>
        <row r="3111">
          <cell r="A3111">
            <v>175676</v>
          </cell>
          <cell r="B3111">
            <v>5.6</v>
          </cell>
        </row>
        <row r="3112">
          <cell r="A3112">
            <v>175676</v>
          </cell>
          <cell r="B3112">
            <v>2.9</v>
          </cell>
        </row>
        <row r="3113">
          <cell r="A3113">
            <v>175776</v>
          </cell>
          <cell r="B3113">
            <v>2.9</v>
          </cell>
        </row>
        <row r="3114">
          <cell r="A3114">
            <v>175776</v>
          </cell>
          <cell r="B3114">
            <v>4.8</v>
          </cell>
        </row>
        <row r="3115">
          <cell r="A3115">
            <v>175876</v>
          </cell>
          <cell r="B3115">
            <v>4.8</v>
          </cell>
        </row>
        <row r="3116">
          <cell r="A3116">
            <v>175876</v>
          </cell>
          <cell r="B3116">
            <v>5.5</v>
          </cell>
        </row>
        <row r="3117">
          <cell r="A3117">
            <v>175976</v>
          </cell>
          <cell r="B3117">
            <v>5.5</v>
          </cell>
        </row>
        <row r="3118">
          <cell r="A3118">
            <v>175976</v>
          </cell>
          <cell r="B3118">
            <v>6.7</v>
          </cell>
        </row>
        <row r="3119">
          <cell r="A3119">
            <v>176085</v>
          </cell>
          <cell r="B3119">
            <v>6.7</v>
          </cell>
        </row>
        <row r="3120">
          <cell r="A3120">
            <v>176085</v>
          </cell>
          <cell r="B3120">
            <v>5.5</v>
          </cell>
        </row>
        <row r="3121">
          <cell r="A3121">
            <v>176185</v>
          </cell>
          <cell r="B3121">
            <v>5.5</v>
          </cell>
        </row>
        <row r="3122">
          <cell r="A3122">
            <v>176185</v>
          </cell>
          <cell r="B3122">
            <v>5.7</v>
          </cell>
        </row>
        <row r="3123">
          <cell r="A3123">
            <v>176285</v>
          </cell>
          <cell r="B3123">
            <v>5.7</v>
          </cell>
        </row>
        <row r="3124">
          <cell r="A3124">
            <v>176285</v>
          </cell>
          <cell r="B3124">
            <v>5.3</v>
          </cell>
        </row>
        <row r="3125">
          <cell r="A3125">
            <v>176385</v>
          </cell>
          <cell r="B3125">
            <v>5.3</v>
          </cell>
        </row>
        <row r="3126">
          <cell r="A3126">
            <v>176385</v>
          </cell>
          <cell r="B3126">
            <v>8</v>
          </cell>
        </row>
        <row r="3127">
          <cell r="A3127">
            <v>176485</v>
          </cell>
          <cell r="B3127">
            <v>8</v>
          </cell>
        </row>
        <row r="3128">
          <cell r="A3128">
            <v>176485</v>
          </cell>
          <cell r="B3128">
            <v>6.9</v>
          </cell>
        </row>
        <row r="3129">
          <cell r="A3129">
            <v>176585</v>
          </cell>
          <cell r="B3129">
            <v>6.9</v>
          </cell>
        </row>
        <row r="3130">
          <cell r="A3130">
            <v>176585</v>
          </cell>
          <cell r="B3130">
            <v>6.5</v>
          </cell>
        </row>
        <row r="3131">
          <cell r="A3131">
            <v>176685</v>
          </cell>
          <cell r="B3131">
            <v>6.5</v>
          </cell>
        </row>
        <row r="3132">
          <cell r="A3132">
            <v>176685</v>
          </cell>
          <cell r="B3132">
            <v>5.6</v>
          </cell>
        </row>
        <row r="3133">
          <cell r="A3133">
            <v>176785</v>
          </cell>
          <cell r="B3133">
            <v>5.6</v>
          </cell>
        </row>
        <row r="3134">
          <cell r="A3134">
            <v>176785</v>
          </cell>
          <cell r="B3134">
            <v>5.3</v>
          </cell>
        </row>
        <row r="3135">
          <cell r="A3135">
            <v>176890</v>
          </cell>
          <cell r="B3135">
            <v>5.3</v>
          </cell>
        </row>
        <row r="3136">
          <cell r="A3136">
            <v>176890</v>
          </cell>
          <cell r="B3136">
            <v>4</v>
          </cell>
        </row>
        <row r="3137">
          <cell r="A3137">
            <v>176990</v>
          </cell>
          <cell r="B3137">
            <v>4</v>
          </cell>
        </row>
        <row r="3138">
          <cell r="A3138">
            <v>176990</v>
          </cell>
          <cell r="B3138">
            <v>4.5999999999999996</v>
          </cell>
        </row>
        <row r="3139">
          <cell r="A3139">
            <v>177091</v>
          </cell>
          <cell r="B3139">
            <v>4.5999999999999996</v>
          </cell>
        </row>
        <row r="3140">
          <cell r="A3140">
            <v>177091</v>
          </cell>
          <cell r="B3140">
            <v>3.9</v>
          </cell>
        </row>
        <row r="3141">
          <cell r="A3141">
            <v>177191</v>
          </cell>
          <cell r="B3141">
            <v>3.9</v>
          </cell>
        </row>
        <row r="3142">
          <cell r="A3142">
            <v>177191</v>
          </cell>
          <cell r="B3142">
            <v>3.4</v>
          </cell>
        </row>
        <row r="3143">
          <cell r="A3143">
            <v>177291</v>
          </cell>
          <cell r="B3143">
            <v>3.4</v>
          </cell>
        </row>
        <row r="3144">
          <cell r="A3144">
            <v>177291</v>
          </cell>
          <cell r="B3144">
            <v>4</v>
          </cell>
        </row>
        <row r="3145">
          <cell r="A3145">
            <v>177391</v>
          </cell>
          <cell r="B3145">
            <v>4</v>
          </cell>
        </row>
        <row r="3146">
          <cell r="A3146">
            <v>177391</v>
          </cell>
          <cell r="B3146">
            <v>3.6</v>
          </cell>
        </row>
        <row r="3147">
          <cell r="A3147">
            <v>177491</v>
          </cell>
          <cell r="B3147">
            <v>3.6</v>
          </cell>
        </row>
        <row r="3148">
          <cell r="A3148">
            <v>177491</v>
          </cell>
          <cell r="B3148">
            <v>4.0999999999999996</v>
          </cell>
        </row>
        <row r="3149">
          <cell r="A3149">
            <v>177540</v>
          </cell>
          <cell r="B3149">
            <v>4.0999999999999996</v>
          </cell>
        </row>
        <row r="3150">
          <cell r="A3150">
            <v>177540</v>
          </cell>
          <cell r="B3150">
            <v>4.3</v>
          </cell>
        </row>
        <row r="3151">
          <cell r="A3151">
            <v>177640</v>
          </cell>
          <cell r="B3151">
            <v>4.3</v>
          </cell>
        </row>
        <row r="3152">
          <cell r="A3152">
            <v>177640</v>
          </cell>
          <cell r="B3152">
            <v>6</v>
          </cell>
        </row>
        <row r="3153">
          <cell r="A3153">
            <v>177740</v>
          </cell>
          <cell r="B3153">
            <v>6</v>
          </cell>
        </row>
        <row r="3154">
          <cell r="A3154">
            <v>177740</v>
          </cell>
          <cell r="B3154">
            <v>8.1999999999999993</v>
          </cell>
        </row>
        <row r="3155">
          <cell r="A3155">
            <v>177840</v>
          </cell>
          <cell r="B3155">
            <v>8.1999999999999993</v>
          </cell>
        </row>
        <row r="3156">
          <cell r="A3156">
            <v>177840</v>
          </cell>
          <cell r="B3156">
            <v>4.8</v>
          </cell>
        </row>
        <row r="3157">
          <cell r="A3157">
            <v>177940</v>
          </cell>
          <cell r="B3157">
            <v>4.8</v>
          </cell>
        </row>
        <row r="3158">
          <cell r="A3158">
            <v>177940</v>
          </cell>
          <cell r="B3158">
            <v>7</v>
          </cell>
        </row>
        <row r="3159">
          <cell r="A3159">
            <v>178043</v>
          </cell>
          <cell r="B3159">
            <v>7</v>
          </cell>
        </row>
        <row r="3160">
          <cell r="A3160">
            <v>178043</v>
          </cell>
          <cell r="B3160">
            <v>7.6</v>
          </cell>
        </row>
        <row r="3161">
          <cell r="A3161">
            <v>178143</v>
          </cell>
          <cell r="B3161">
            <v>7.6</v>
          </cell>
        </row>
        <row r="3162">
          <cell r="A3162">
            <v>178143</v>
          </cell>
          <cell r="B3162">
            <v>9.9</v>
          </cell>
        </row>
        <row r="3163">
          <cell r="A3163">
            <v>178243</v>
          </cell>
          <cell r="B3163">
            <v>9.9</v>
          </cell>
        </row>
        <row r="3164">
          <cell r="A3164">
            <v>178243</v>
          </cell>
          <cell r="B3164">
            <v>6.9</v>
          </cell>
        </row>
        <row r="3165">
          <cell r="A3165">
            <v>178343</v>
          </cell>
          <cell r="B3165">
            <v>6.9</v>
          </cell>
        </row>
        <row r="3166">
          <cell r="A3166">
            <v>178343</v>
          </cell>
          <cell r="B3166">
            <v>6.3</v>
          </cell>
        </row>
        <row r="3167">
          <cell r="A3167">
            <v>178443</v>
          </cell>
          <cell r="B3167">
            <v>6.3</v>
          </cell>
        </row>
        <row r="3168">
          <cell r="A3168">
            <v>178443</v>
          </cell>
          <cell r="B3168">
            <v>5.8</v>
          </cell>
        </row>
        <row r="3169">
          <cell r="A3169">
            <v>178543</v>
          </cell>
          <cell r="B3169">
            <v>5.8</v>
          </cell>
        </row>
        <row r="3170">
          <cell r="A3170">
            <v>178543</v>
          </cell>
          <cell r="B3170">
            <v>5.7</v>
          </cell>
        </row>
        <row r="3171">
          <cell r="A3171">
            <v>178643</v>
          </cell>
          <cell r="B3171">
            <v>5.7</v>
          </cell>
        </row>
        <row r="3172">
          <cell r="A3172">
            <v>178643</v>
          </cell>
          <cell r="B3172">
            <v>6.4</v>
          </cell>
        </row>
        <row r="3173">
          <cell r="A3173">
            <v>178743</v>
          </cell>
          <cell r="B3173">
            <v>6.4</v>
          </cell>
        </row>
        <row r="3174">
          <cell r="A3174">
            <v>178743</v>
          </cell>
          <cell r="B3174">
            <v>7.4</v>
          </cell>
        </row>
        <row r="3175">
          <cell r="A3175">
            <v>178745</v>
          </cell>
          <cell r="B3175">
            <v>7.4</v>
          </cell>
        </row>
        <row r="3176">
          <cell r="A3176">
            <v>178745</v>
          </cell>
          <cell r="B3176">
            <v>17.100000000000001</v>
          </cell>
        </row>
        <row r="3177">
          <cell r="A3177">
            <v>178845</v>
          </cell>
          <cell r="B3177">
            <v>17.100000000000001</v>
          </cell>
        </row>
        <row r="3178">
          <cell r="A3178">
            <v>178845</v>
          </cell>
          <cell r="B3178">
            <v>12.1</v>
          </cell>
        </row>
        <row r="3179">
          <cell r="A3179">
            <v>178945</v>
          </cell>
          <cell r="B3179">
            <v>12.1</v>
          </cell>
        </row>
        <row r="3180">
          <cell r="A3180">
            <v>178945</v>
          </cell>
          <cell r="B3180">
            <v>8.6999999999999993</v>
          </cell>
        </row>
        <row r="3181">
          <cell r="A3181">
            <v>179031</v>
          </cell>
          <cell r="B3181">
            <v>8.6999999999999993</v>
          </cell>
        </row>
        <row r="3182">
          <cell r="A3182">
            <v>179031</v>
          </cell>
          <cell r="B3182">
            <v>6.6</v>
          </cell>
        </row>
        <row r="3183">
          <cell r="A3183">
            <v>179131</v>
          </cell>
          <cell r="B3183">
            <v>6.6</v>
          </cell>
        </row>
        <row r="3184">
          <cell r="A3184">
            <v>179131</v>
          </cell>
          <cell r="B3184">
            <v>9.1999999999999993</v>
          </cell>
        </row>
        <row r="3185">
          <cell r="A3185">
            <v>179231</v>
          </cell>
          <cell r="B3185">
            <v>9.1999999999999993</v>
          </cell>
        </row>
        <row r="3186">
          <cell r="A3186">
            <v>179231</v>
          </cell>
          <cell r="B3186">
            <v>10.5</v>
          </cell>
        </row>
        <row r="3187">
          <cell r="A3187">
            <v>179331</v>
          </cell>
          <cell r="B3187">
            <v>10.5</v>
          </cell>
        </row>
        <row r="3188">
          <cell r="A3188">
            <v>179331</v>
          </cell>
          <cell r="B3188">
            <v>10.7</v>
          </cell>
        </row>
        <row r="3189">
          <cell r="A3189">
            <v>179431</v>
          </cell>
          <cell r="B3189">
            <v>10.7</v>
          </cell>
        </row>
        <row r="3190">
          <cell r="A3190">
            <v>179431</v>
          </cell>
          <cell r="B3190">
            <v>10.4</v>
          </cell>
        </row>
        <row r="3191">
          <cell r="A3191">
            <v>179531</v>
          </cell>
          <cell r="B3191">
            <v>10.4</v>
          </cell>
        </row>
        <row r="3192">
          <cell r="A3192">
            <v>179531</v>
          </cell>
          <cell r="B3192">
            <v>9.1</v>
          </cell>
        </row>
        <row r="3193">
          <cell r="A3193">
            <v>179631</v>
          </cell>
          <cell r="B3193">
            <v>9.1</v>
          </cell>
        </row>
        <row r="3194">
          <cell r="A3194">
            <v>179631</v>
          </cell>
          <cell r="B3194">
            <v>14</v>
          </cell>
        </row>
        <row r="3195">
          <cell r="A3195">
            <v>179831</v>
          </cell>
          <cell r="B3195">
            <v>14</v>
          </cell>
        </row>
        <row r="3196">
          <cell r="A3196">
            <v>179831</v>
          </cell>
          <cell r="B3196">
            <v>9.6</v>
          </cell>
        </row>
        <row r="3197">
          <cell r="A3197">
            <v>179931</v>
          </cell>
          <cell r="B3197">
            <v>9.6</v>
          </cell>
        </row>
        <row r="3198">
          <cell r="A3198">
            <v>179931</v>
          </cell>
          <cell r="B3198">
            <v>9.8000000000000007</v>
          </cell>
        </row>
        <row r="3199">
          <cell r="A3199">
            <v>180045</v>
          </cell>
          <cell r="B3199">
            <v>9.8000000000000007</v>
          </cell>
        </row>
        <row r="3200">
          <cell r="A3200">
            <v>180045</v>
          </cell>
          <cell r="B3200">
            <v>15.1</v>
          </cell>
        </row>
        <row r="3201">
          <cell r="A3201">
            <v>180145</v>
          </cell>
          <cell r="B3201">
            <v>15.1</v>
          </cell>
        </row>
        <row r="3202">
          <cell r="A3202">
            <v>180145</v>
          </cell>
          <cell r="B3202">
            <v>14.2</v>
          </cell>
        </row>
        <row r="3203">
          <cell r="A3203">
            <v>180245</v>
          </cell>
          <cell r="B3203">
            <v>14.2</v>
          </cell>
        </row>
        <row r="3204">
          <cell r="A3204">
            <v>180245</v>
          </cell>
          <cell r="B3204">
            <v>11.7</v>
          </cell>
        </row>
        <row r="3205">
          <cell r="A3205">
            <v>180345</v>
          </cell>
          <cell r="B3205">
            <v>11.7</v>
          </cell>
        </row>
        <row r="3206">
          <cell r="A3206">
            <v>180345</v>
          </cell>
          <cell r="B3206">
            <v>5.7</v>
          </cell>
        </row>
        <row r="3207">
          <cell r="A3207">
            <v>180445</v>
          </cell>
          <cell r="B3207">
            <v>5.7</v>
          </cell>
        </row>
        <row r="3208">
          <cell r="A3208">
            <v>180445</v>
          </cell>
          <cell r="B3208">
            <v>2.7</v>
          </cell>
        </row>
        <row r="3209">
          <cell r="A3209">
            <v>180545</v>
          </cell>
          <cell r="B3209">
            <v>2.7</v>
          </cell>
        </row>
        <row r="3210">
          <cell r="A3210">
            <v>180545</v>
          </cell>
          <cell r="B3210">
            <v>3.2</v>
          </cell>
        </row>
        <row r="3211">
          <cell r="A3211">
            <v>180645</v>
          </cell>
          <cell r="B3211">
            <v>3.2</v>
          </cell>
        </row>
        <row r="3212">
          <cell r="A3212">
            <v>180645</v>
          </cell>
          <cell r="B3212">
            <v>5.0999999999999996</v>
          </cell>
        </row>
        <row r="3213">
          <cell r="A3213">
            <v>180745</v>
          </cell>
          <cell r="B3213">
            <v>5.0999999999999996</v>
          </cell>
        </row>
        <row r="3214">
          <cell r="A3214">
            <v>180745</v>
          </cell>
          <cell r="B3214">
            <v>2.8</v>
          </cell>
        </row>
        <row r="3215">
          <cell r="A3215">
            <v>180845</v>
          </cell>
          <cell r="B3215">
            <v>2.8</v>
          </cell>
        </row>
        <row r="3216">
          <cell r="A3216">
            <v>180845</v>
          </cell>
          <cell r="B3216">
            <v>2.2999999999999998</v>
          </cell>
        </row>
        <row r="3217">
          <cell r="A3217">
            <v>180945</v>
          </cell>
          <cell r="B3217">
            <v>2.2999999999999998</v>
          </cell>
        </row>
        <row r="3218">
          <cell r="A3218">
            <v>180945</v>
          </cell>
          <cell r="B3218">
            <v>3.3</v>
          </cell>
        </row>
        <row r="3219">
          <cell r="A3219">
            <v>181031</v>
          </cell>
          <cell r="B3219">
            <v>3.3</v>
          </cell>
        </row>
        <row r="3220">
          <cell r="A3220">
            <v>181031</v>
          </cell>
          <cell r="B3220">
            <v>7.1</v>
          </cell>
        </row>
        <row r="3221">
          <cell r="A3221">
            <v>181131</v>
          </cell>
          <cell r="B3221">
            <v>7.1</v>
          </cell>
        </row>
        <row r="3222">
          <cell r="A3222">
            <v>181131</v>
          </cell>
          <cell r="B3222">
            <v>5.5</v>
          </cell>
        </row>
        <row r="3223">
          <cell r="A3223">
            <v>181231</v>
          </cell>
          <cell r="B3223">
            <v>5.5</v>
          </cell>
        </row>
        <row r="3224">
          <cell r="A3224">
            <v>181231</v>
          </cell>
          <cell r="B3224">
            <v>3.7</v>
          </cell>
        </row>
        <row r="3225">
          <cell r="A3225">
            <v>181331</v>
          </cell>
          <cell r="B3225">
            <v>3.7</v>
          </cell>
        </row>
        <row r="3226">
          <cell r="A3226">
            <v>181331</v>
          </cell>
          <cell r="B3226">
            <v>2.5</v>
          </cell>
        </row>
        <row r="3227">
          <cell r="A3227">
            <v>181431</v>
          </cell>
          <cell r="B3227">
            <v>2.5</v>
          </cell>
        </row>
        <row r="3228">
          <cell r="A3228">
            <v>181431</v>
          </cell>
          <cell r="B3228">
            <v>1.9</v>
          </cell>
        </row>
        <row r="3229">
          <cell r="A3229">
            <v>181531</v>
          </cell>
          <cell r="B3229">
            <v>1.9</v>
          </cell>
        </row>
        <row r="3230">
          <cell r="A3230">
            <v>181531</v>
          </cell>
          <cell r="B3230">
            <v>1.7</v>
          </cell>
        </row>
        <row r="3231">
          <cell r="A3231">
            <v>181631</v>
          </cell>
          <cell r="B3231">
            <v>1.7</v>
          </cell>
        </row>
        <row r="3232">
          <cell r="A3232">
            <v>181631</v>
          </cell>
          <cell r="B3232">
            <v>2.4</v>
          </cell>
        </row>
        <row r="3233">
          <cell r="A3233">
            <v>181731</v>
          </cell>
          <cell r="B3233">
            <v>2.4</v>
          </cell>
        </row>
        <row r="3234">
          <cell r="A3234">
            <v>181731</v>
          </cell>
          <cell r="B3234">
            <v>2.5</v>
          </cell>
        </row>
        <row r="3235">
          <cell r="A3235">
            <v>181831</v>
          </cell>
          <cell r="B3235">
            <v>2.5</v>
          </cell>
        </row>
        <row r="3236">
          <cell r="A3236">
            <v>181831</v>
          </cell>
          <cell r="B3236">
            <v>2.4</v>
          </cell>
        </row>
        <row r="3237">
          <cell r="A3237">
            <v>181931</v>
          </cell>
          <cell r="B3237">
            <v>2.4</v>
          </cell>
        </row>
        <row r="3238">
          <cell r="A3238">
            <v>181931</v>
          </cell>
          <cell r="B3238">
            <v>1.8</v>
          </cell>
        </row>
        <row r="3239">
          <cell r="A3239">
            <v>182031</v>
          </cell>
          <cell r="B3239">
            <v>1.8</v>
          </cell>
        </row>
        <row r="3240">
          <cell r="A3240">
            <v>182031</v>
          </cell>
          <cell r="B3240">
            <v>2.2999999999999998</v>
          </cell>
        </row>
        <row r="3241">
          <cell r="A3241">
            <v>182131</v>
          </cell>
          <cell r="B3241">
            <v>2.2999999999999998</v>
          </cell>
        </row>
        <row r="3242">
          <cell r="A3242">
            <v>182131</v>
          </cell>
          <cell r="B3242">
            <v>1.3</v>
          </cell>
        </row>
        <row r="3243">
          <cell r="A3243">
            <v>182231</v>
          </cell>
          <cell r="B3243">
            <v>1.3</v>
          </cell>
        </row>
        <row r="3244">
          <cell r="A3244">
            <v>182231</v>
          </cell>
          <cell r="B3244">
            <v>1.5</v>
          </cell>
        </row>
        <row r="3245">
          <cell r="A3245">
            <v>182331</v>
          </cell>
          <cell r="B3245">
            <v>1.5</v>
          </cell>
        </row>
        <row r="3246">
          <cell r="A3246">
            <v>182331</v>
          </cell>
          <cell r="B3246">
            <v>2.5</v>
          </cell>
        </row>
        <row r="3247">
          <cell r="A3247">
            <v>182431</v>
          </cell>
          <cell r="B3247">
            <v>2.5</v>
          </cell>
        </row>
        <row r="3248">
          <cell r="A3248">
            <v>182431</v>
          </cell>
          <cell r="B3248">
            <v>5.7</v>
          </cell>
        </row>
        <row r="3249">
          <cell r="A3249">
            <v>182531</v>
          </cell>
          <cell r="B3249">
            <v>5.7</v>
          </cell>
        </row>
        <row r="3250">
          <cell r="A3250">
            <v>182531</v>
          </cell>
          <cell r="B3250">
            <v>19.7</v>
          </cell>
        </row>
        <row r="3251">
          <cell r="A3251">
            <v>182631</v>
          </cell>
          <cell r="B3251">
            <v>19.7</v>
          </cell>
        </row>
        <row r="3252">
          <cell r="A3252">
            <v>182631</v>
          </cell>
          <cell r="B3252">
            <v>18.600000000000001</v>
          </cell>
        </row>
        <row r="3253">
          <cell r="A3253">
            <v>182731</v>
          </cell>
          <cell r="B3253">
            <v>18.600000000000001</v>
          </cell>
        </row>
        <row r="3254">
          <cell r="A3254">
            <v>182731</v>
          </cell>
          <cell r="B3254">
            <v>16.7</v>
          </cell>
        </row>
        <row r="3255">
          <cell r="A3255">
            <v>182831</v>
          </cell>
          <cell r="B3255">
            <v>16.7</v>
          </cell>
        </row>
        <row r="3256">
          <cell r="A3256">
            <v>182831</v>
          </cell>
          <cell r="B3256">
            <v>13.9</v>
          </cell>
        </row>
        <row r="3257">
          <cell r="A3257">
            <v>182931</v>
          </cell>
          <cell r="B3257">
            <v>13.9</v>
          </cell>
        </row>
        <row r="3258">
          <cell r="A3258">
            <v>182931</v>
          </cell>
          <cell r="B3258">
            <v>7.9</v>
          </cell>
        </row>
        <row r="3259">
          <cell r="A3259">
            <v>183031</v>
          </cell>
          <cell r="B3259">
            <v>7.9</v>
          </cell>
        </row>
        <row r="3260">
          <cell r="A3260">
            <v>183031</v>
          </cell>
          <cell r="B3260">
            <v>8.1999999999999993</v>
          </cell>
        </row>
        <row r="3261">
          <cell r="A3261">
            <v>183131</v>
          </cell>
          <cell r="B3261">
            <v>8.1999999999999993</v>
          </cell>
        </row>
        <row r="3262">
          <cell r="A3262">
            <v>183131</v>
          </cell>
          <cell r="B3262">
            <v>6.3</v>
          </cell>
        </row>
        <row r="3263">
          <cell r="A3263">
            <v>183231</v>
          </cell>
          <cell r="B3263">
            <v>6.3</v>
          </cell>
        </row>
        <row r="3264">
          <cell r="A3264">
            <v>183231</v>
          </cell>
          <cell r="B3264">
            <v>5</v>
          </cell>
        </row>
        <row r="3265">
          <cell r="A3265">
            <v>183431</v>
          </cell>
          <cell r="B3265">
            <v>5</v>
          </cell>
        </row>
        <row r="3266">
          <cell r="A3266">
            <v>183431</v>
          </cell>
          <cell r="B3266">
            <v>6.1</v>
          </cell>
        </row>
        <row r="3267">
          <cell r="A3267">
            <v>183531</v>
          </cell>
          <cell r="B3267">
            <v>6.1</v>
          </cell>
        </row>
        <row r="3268">
          <cell r="A3268">
            <v>183531</v>
          </cell>
          <cell r="B3268">
            <v>5.9</v>
          </cell>
        </row>
        <row r="3269">
          <cell r="A3269">
            <v>183631</v>
          </cell>
          <cell r="B3269">
            <v>5.9</v>
          </cell>
        </row>
        <row r="3270">
          <cell r="A3270">
            <v>183631</v>
          </cell>
          <cell r="B3270">
            <v>5</v>
          </cell>
        </row>
        <row r="3271">
          <cell r="A3271">
            <v>183831</v>
          </cell>
          <cell r="B3271">
            <v>5</v>
          </cell>
        </row>
        <row r="3272">
          <cell r="A3272">
            <v>183831</v>
          </cell>
          <cell r="B3272">
            <v>5.6</v>
          </cell>
        </row>
        <row r="3273">
          <cell r="A3273">
            <v>183931</v>
          </cell>
          <cell r="B3273">
            <v>5.6</v>
          </cell>
        </row>
        <row r="3274">
          <cell r="A3274">
            <v>183931</v>
          </cell>
          <cell r="B3274">
            <v>5.9</v>
          </cell>
        </row>
        <row r="3275">
          <cell r="A3275">
            <v>184043</v>
          </cell>
          <cell r="B3275">
            <v>5.9</v>
          </cell>
        </row>
        <row r="3276">
          <cell r="A3276">
            <v>184043</v>
          </cell>
          <cell r="B3276">
            <v>15.8</v>
          </cell>
        </row>
        <row r="3277">
          <cell r="A3277">
            <v>184143</v>
          </cell>
          <cell r="B3277">
            <v>15.8</v>
          </cell>
        </row>
        <row r="3278">
          <cell r="A3278">
            <v>184143</v>
          </cell>
          <cell r="B3278">
            <v>25</v>
          </cell>
        </row>
        <row r="3279">
          <cell r="A3279">
            <v>184185</v>
          </cell>
          <cell r="B3279">
            <v>25</v>
          </cell>
        </row>
        <row r="3280">
          <cell r="A3280">
            <v>184185</v>
          </cell>
          <cell r="B3280">
            <v>13.5</v>
          </cell>
        </row>
        <row r="3281">
          <cell r="A3281">
            <v>184285</v>
          </cell>
          <cell r="B3281">
            <v>13.5</v>
          </cell>
        </row>
        <row r="3282">
          <cell r="A3282">
            <v>184285</v>
          </cell>
          <cell r="B3282">
            <v>19</v>
          </cell>
        </row>
        <row r="3283">
          <cell r="A3283">
            <v>184385</v>
          </cell>
          <cell r="B3283">
            <v>19</v>
          </cell>
        </row>
        <row r="3284">
          <cell r="A3284">
            <v>184385</v>
          </cell>
          <cell r="B3284">
            <v>15.4</v>
          </cell>
        </row>
        <row r="3285">
          <cell r="A3285">
            <v>184485</v>
          </cell>
          <cell r="B3285">
            <v>15.4</v>
          </cell>
        </row>
        <row r="3286">
          <cell r="A3286">
            <v>184485</v>
          </cell>
          <cell r="B3286">
            <v>16.100000000000001</v>
          </cell>
        </row>
        <row r="3287">
          <cell r="A3287">
            <v>184585</v>
          </cell>
          <cell r="B3287">
            <v>16.100000000000001</v>
          </cell>
        </row>
        <row r="3288">
          <cell r="A3288">
            <v>184585</v>
          </cell>
          <cell r="B3288">
            <v>10</v>
          </cell>
        </row>
        <row r="3289">
          <cell r="A3289">
            <v>184685</v>
          </cell>
          <cell r="B3289">
            <v>10</v>
          </cell>
        </row>
        <row r="3290">
          <cell r="A3290">
            <v>184685</v>
          </cell>
          <cell r="B3290">
            <v>11.7</v>
          </cell>
        </row>
        <row r="3291">
          <cell r="A3291">
            <v>184785</v>
          </cell>
          <cell r="B3291">
            <v>11.7</v>
          </cell>
        </row>
        <row r="3292">
          <cell r="A3292">
            <v>184785</v>
          </cell>
          <cell r="B3292">
            <v>10.5</v>
          </cell>
        </row>
        <row r="3293">
          <cell r="A3293">
            <v>184885</v>
          </cell>
          <cell r="B3293">
            <v>10.5</v>
          </cell>
        </row>
        <row r="3294">
          <cell r="A3294">
            <v>184885</v>
          </cell>
          <cell r="B3294">
            <v>8.6999999999999993</v>
          </cell>
        </row>
        <row r="3295">
          <cell r="A3295">
            <v>184985</v>
          </cell>
          <cell r="B3295">
            <v>8.6999999999999993</v>
          </cell>
        </row>
        <row r="3296">
          <cell r="A3296">
            <v>184985</v>
          </cell>
          <cell r="B3296">
            <v>10.6</v>
          </cell>
        </row>
        <row r="3297">
          <cell r="A3297">
            <v>185074</v>
          </cell>
          <cell r="B3297">
            <v>10.6</v>
          </cell>
        </row>
        <row r="3298">
          <cell r="A3298">
            <v>185074</v>
          </cell>
          <cell r="B3298">
            <v>10.3</v>
          </cell>
        </row>
        <row r="3299">
          <cell r="A3299">
            <v>185174</v>
          </cell>
          <cell r="B3299">
            <v>10.3</v>
          </cell>
        </row>
        <row r="3300">
          <cell r="A3300">
            <v>185174</v>
          </cell>
          <cell r="B3300">
            <v>11</v>
          </cell>
        </row>
        <row r="3301">
          <cell r="A3301">
            <v>185274</v>
          </cell>
          <cell r="B3301">
            <v>11</v>
          </cell>
        </row>
        <row r="3302">
          <cell r="A3302">
            <v>185274</v>
          </cell>
          <cell r="B3302">
            <v>6.4</v>
          </cell>
        </row>
        <row r="3303">
          <cell r="A3303">
            <v>185374</v>
          </cell>
          <cell r="B3303">
            <v>6.4</v>
          </cell>
        </row>
        <row r="3304">
          <cell r="A3304">
            <v>185374</v>
          </cell>
          <cell r="B3304">
            <v>5.3</v>
          </cell>
        </row>
        <row r="3305">
          <cell r="A3305">
            <v>185474</v>
          </cell>
          <cell r="B3305">
            <v>5.3</v>
          </cell>
        </row>
        <row r="3306">
          <cell r="A3306">
            <v>185474</v>
          </cell>
          <cell r="B3306">
            <v>2.9</v>
          </cell>
        </row>
        <row r="3307">
          <cell r="A3307">
            <v>185574</v>
          </cell>
          <cell r="B3307">
            <v>2.9</v>
          </cell>
        </row>
        <row r="3308">
          <cell r="A3308">
            <v>185574</v>
          </cell>
          <cell r="B3308">
            <v>1.8</v>
          </cell>
        </row>
        <row r="3309">
          <cell r="A3309">
            <v>185674</v>
          </cell>
          <cell r="B3309">
            <v>1.8</v>
          </cell>
        </row>
        <row r="3310">
          <cell r="A3310">
            <v>185674</v>
          </cell>
          <cell r="B3310">
            <v>2.1</v>
          </cell>
        </row>
        <row r="3311">
          <cell r="A3311">
            <v>185774</v>
          </cell>
          <cell r="B3311">
            <v>2.1</v>
          </cell>
        </row>
        <row r="3312">
          <cell r="A3312">
            <v>185774</v>
          </cell>
          <cell r="B3312">
            <v>2.2000000000000002</v>
          </cell>
        </row>
        <row r="3313">
          <cell r="A3313">
            <v>185874</v>
          </cell>
          <cell r="B3313">
            <v>2.2000000000000002</v>
          </cell>
        </row>
        <row r="3314">
          <cell r="A3314">
            <v>185874</v>
          </cell>
          <cell r="B3314">
            <v>2.9</v>
          </cell>
        </row>
        <row r="3315">
          <cell r="A3315">
            <v>185974</v>
          </cell>
          <cell r="B3315">
            <v>2.9</v>
          </cell>
        </row>
        <row r="3316">
          <cell r="A3316">
            <v>185974</v>
          </cell>
          <cell r="B3316">
            <v>2.6</v>
          </cell>
        </row>
        <row r="3317">
          <cell r="A3317">
            <v>186084</v>
          </cell>
          <cell r="B3317">
            <v>2.6</v>
          </cell>
        </row>
        <row r="3318">
          <cell r="A3318">
            <v>186084</v>
          </cell>
          <cell r="B3318">
            <v>2.7</v>
          </cell>
        </row>
        <row r="3319">
          <cell r="A3319">
            <v>186184</v>
          </cell>
          <cell r="B3319">
            <v>2.7</v>
          </cell>
        </row>
        <row r="3320">
          <cell r="A3320">
            <v>186184</v>
          </cell>
          <cell r="B3320">
            <v>2.8</v>
          </cell>
        </row>
        <row r="3321">
          <cell r="A3321">
            <v>186284</v>
          </cell>
          <cell r="B3321">
            <v>2.8</v>
          </cell>
        </row>
        <row r="3322">
          <cell r="A3322">
            <v>186284</v>
          </cell>
          <cell r="B3322">
            <v>1.7</v>
          </cell>
        </row>
        <row r="3323">
          <cell r="A3323">
            <v>186384</v>
          </cell>
          <cell r="B3323">
            <v>1.7</v>
          </cell>
        </row>
        <row r="3324">
          <cell r="A3324">
            <v>186384</v>
          </cell>
          <cell r="B3324">
            <v>2.2999999999999998</v>
          </cell>
        </row>
        <row r="3325">
          <cell r="A3325">
            <v>186484</v>
          </cell>
          <cell r="B3325">
            <v>2.2999999999999998</v>
          </cell>
        </row>
        <row r="3326">
          <cell r="A3326">
            <v>186484</v>
          </cell>
          <cell r="B3326">
            <v>2.6</v>
          </cell>
        </row>
        <row r="3327">
          <cell r="A3327">
            <v>186584</v>
          </cell>
          <cell r="B3327">
            <v>2.6</v>
          </cell>
        </row>
        <row r="3328">
          <cell r="A3328">
            <v>186584</v>
          </cell>
          <cell r="B3328">
            <v>2.9</v>
          </cell>
        </row>
        <row r="3329">
          <cell r="A3329">
            <v>186784</v>
          </cell>
          <cell r="B3329">
            <v>2.9</v>
          </cell>
        </row>
        <row r="3330">
          <cell r="A3330">
            <v>186784</v>
          </cell>
          <cell r="B3330">
            <v>2.1</v>
          </cell>
        </row>
        <row r="3331">
          <cell r="A3331">
            <v>186820</v>
          </cell>
          <cell r="B3331">
            <v>2.1</v>
          </cell>
        </row>
        <row r="3332">
          <cell r="A3332">
            <v>186820</v>
          </cell>
          <cell r="B3332">
            <v>2.9</v>
          </cell>
        </row>
        <row r="3333">
          <cell r="A3333">
            <v>186920</v>
          </cell>
          <cell r="B3333">
            <v>2.9</v>
          </cell>
        </row>
        <row r="3334">
          <cell r="A3334">
            <v>186920</v>
          </cell>
          <cell r="B3334">
            <v>6.2</v>
          </cell>
        </row>
        <row r="3335">
          <cell r="A3335">
            <v>187020</v>
          </cell>
          <cell r="B3335">
            <v>6.2</v>
          </cell>
        </row>
        <row r="3336">
          <cell r="A3336">
            <v>187020</v>
          </cell>
          <cell r="B3336">
            <v>19.899999999999999</v>
          </cell>
        </row>
        <row r="3337">
          <cell r="A3337">
            <v>187120</v>
          </cell>
          <cell r="B3337">
            <v>19.899999999999999</v>
          </cell>
        </row>
        <row r="3338">
          <cell r="A3338">
            <v>187120</v>
          </cell>
          <cell r="B3338">
            <v>17.600000000000001</v>
          </cell>
        </row>
        <row r="3339">
          <cell r="A3339">
            <v>187180</v>
          </cell>
          <cell r="B3339">
            <v>17.600000000000001</v>
          </cell>
        </row>
        <row r="3340">
          <cell r="A3340">
            <v>187180</v>
          </cell>
          <cell r="B3340">
            <v>16.8</v>
          </cell>
        </row>
        <row r="3341">
          <cell r="A3341">
            <v>187280</v>
          </cell>
          <cell r="B3341">
            <v>16.8</v>
          </cell>
        </row>
        <row r="3342">
          <cell r="A3342">
            <v>187280</v>
          </cell>
          <cell r="B3342">
            <v>12.9</v>
          </cell>
        </row>
        <row r="3343">
          <cell r="A3343">
            <v>187380</v>
          </cell>
          <cell r="B3343">
            <v>12.9</v>
          </cell>
        </row>
        <row r="3344">
          <cell r="A3344">
            <v>187380</v>
          </cell>
          <cell r="B3344">
            <v>13</v>
          </cell>
        </row>
        <row r="3345">
          <cell r="A3345">
            <v>187480</v>
          </cell>
          <cell r="B3345">
            <v>13</v>
          </cell>
        </row>
        <row r="3346">
          <cell r="A3346">
            <v>187480</v>
          </cell>
          <cell r="B3346">
            <v>16.7</v>
          </cell>
        </row>
        <row r="3347">
          <cell r="A3347">
            <v>187580</v>
          </cell>
          <cell r="B3347">
            <v>16.7</v>
          </cell>
        </row>
        <row r="3348">
          <cell r="A3348">
            <v>187580</v>
          </cell>
          <cell r="B3348">
            <v>18.8</v>
          </cell>
        </row>
        <row r="3349">
          <cell r="A3349">
            <v>187680</v>
          </cell>
          <cell r="B3349">
            <v>18.8</v>
          </cell>
        </row>
        <row r="3350">
          <cell r="A3350">
            <v>187680</v>
          </cell>
          <cell r="B3350">
            <v>18</v>
          </cell>
        </row>
        <row r="3351">
          <cell r="A3351">
            <v>187780</v>
          </cell>
          <cell r="B3351">
            <v>18</v>
          </cell>
        </row>
        <row r="3352">
          <cell r="A3352">
            <v>187780</v>
          </cell>
          <cell r="B3352">
            <v>16.600000000000001</v>
          </cell>
        </row>
        <row r="3353">
          <cell r="A3353">
            <v>187880</v>
          </cell>
          <cell r="B3353">
            <v>16.600000000000001</v>
          </cell>
        </row>
        <row r="3354">
          <cell r="A3354">
            <v>187880</v>
          </cell>
          <cell r="B3354">
            <v>11.5</v>
          </cell>
        </row>
        <row r="3355">
          <cell r="A3355">
            <v>187980</v>
          </cell>
          <cell r="B3355">
            <v>11.5</v>
          </cell>
        </row>
        <row r="3356">
          <cell r="A3356">
            <v>187980</v>
          </cell>
          <cell r="B3356">
            <v>11.2</v>
          </cell>
        </row>
        <row r="3357">
          <cell r="A3357">
            <v>188084</v>
          </cell>
          <cell r="B3357">
            <v>11.2</v>
          </cell>
        </row>
        <row r="3358">
          <cell r="A3358">
            <v>188084</v>
          </cell>
          <cell r="B3358">
            <v>11.3</v>
          </cell>
        </row>
        <row r="3359">
          <cell r="A3359">
            <v>188184</v>
          </cell>
          <cell r="B3359">
            <v>11.3</v>
          </cell>
        </row>
        <row r="3360">
          <cell r="A3360">
            <v>188184</v>
          </cell>
          <cell r="B3360">
            <v>10.5</v>
          </cell>
        </row>
        <row r="3361">
          <cell r="A3361">
            <v>188284</v>
          </cell>
          <cell r="B3361">
            <v>10.5</v>
          </cell>
        </row>
        <row r="3362">
          <cell r="A3362">
            <v>188284</v>
          </cell>
          <cell r="B3362">
            <v>10.199999999999999</v>
          </cell>
        </row>
        <row r="3363">
          <cell r="A3363">
            <v>188384</v>
          </cell>
          <cell r="B3363">
            <v>10.199999999999999</v>
          </cell>
        </row>
        <row r="3364">
          <cell r="A3364">
            <v>188384</v>
          </cell>
          <cell r="B3364">
            <v>10</v>
          </cell>
        </row>
        <row r="3365">
          <cell r="A3365">
            <v>188385</v>
          </cell>
          <cell r="B3365">
            <v>10</v>
          </cell>
        </row>
        <row r="3366">
          <cell r="A3366">
            <v>188385</v>
          </cell>
          <cell r="B3366">
            <v>10.9</v>
          </cell>
        </row>
        <row r="3367">
          <cell r="A3367">
            <v>188485</v>
          </cell>
          <cell r="B3367">
            <v>10.9</v>
          </cell>
        </row>
        <row r="3368">
          <cell r="A3368">
            <v>188485</v>
          </cell>
          <cell r="B3368">
            <v>6.4</v>
          </cell>
        </row>
        <row r="3369">
          <cell r="A3369">
            <v>188585</v>
          </cell>
          <cell r="B3369">
            <v>6.4</v>
          </cell>
        </row>
        <row r="3370">
          <cell r="A3370">
            <v>188585</v>
          </cell>
          <cell r="B3370">
            <v>8.3000000000000007</v>
          </cell>
        </row>
        <row r="3371">
          <cell r="A3371">
            <v>188685</v>
          </cell>
          <cell r="B3371">
            <v>8.3000000000000007</v>
          </cell>
        </row>
        <row r="3372">
          <cell r="A3372">
            <v>188685</v>
          </cell>
          <cell r="B3372">
            <v>8.1999999999999993</v>
          </cell>
        </row>
        <row r="3373">
          <cell r="A3373">
            <v>188785</v>
          </cell>
          <cell r="B3373">
            <v>8.1999999999999993</v>
          </cell>
        </row>
        <row r="3374">
          <cell r="A3374">
            <v>188785</v>
          </cell>
          <cell r="B3374">
            <v>8</v>
          </cell>
        </row>
        <row r="3375">
          <cell r="A3375">
            <v>188885</v>
          </cell>
          <cell r="B3375">
            <v>8</v>
          </cell>
        </row>
        <row r="3376">
          <cell r="A3376">
            <v>188885</v>
          </cell>
          <cell r="B3376">
            <v>13.7</v>
          </cell>
        </row>
        <row r="3377">
          <cell r="A3377">
            <v>188985</v>
          </cell>
          <cell r="B3377">
            <v>13.7</v>
          </cell>
        </row>
        <row r="3378">
          <cell r="A3378">
            <v>188985</v>
          </cell>
          <cell r="B3378">
            <v>19.7</v>
          </cell>
        </row>
        <row r="3379">
          <cell r="A3379">
            <v>189079</v>
          </cell>
          <cell r="B3379">
            <v>19.7</v>
          </cell>
        </row>
        <row r="3380">
          <cell r="A3380">
            <v>189079</v>
          </cell>
          <cell r="B3380">
            <v>17.399999999999999</v>
          </cell>
        </row>
        <row r="3381">
          <cell r="A3381">
            <v>189150</v>
          </cell>
          <cell r="B3381">
            <v>17.399999999999999</v>
          </cell>
        </row>
        <row r="3382">
          <cell r="A3382">
            <v>189150</v>
          </cell>
          <cell r="B3382">
            <v>10.1</v>
          </cell>
        </row>
        <row r="3383">
          <cell r="A3383">
            <v>189250</v>
          </cell>
          <cell r="B3383">
            <v>10.1</v>
          </cell>
        </row>
        <row r="3384">
          <cell r="A3384">
            <v>189250</v>
          </cell>
          <cell r="B3384">
            <v>1.1000000000000001</v>
          </cell>
        </row>
        <row r="3385">
          <cell r="A3385">
            <v>189350</v>
          </cell>
          <cell r="B3385">
            <v>1.1000000000000001</v>
          </cell>
        </row>
        <row r="3386">
          <cell r="A3386">
            <v>189350</v>
          </cell>
          <cell r="B3386">
            <v>2</v>
          </cell>
        </row>
        <row r="3387">
          <cell r="A3387">
            <v>189450</v>
          </cell>
          <cell r="B3387">
            <v>2</v>
          </cell>
        </row>
        <row r="3388">
          <cell r="A3388">
            <v>189450</v>
          </cell>
          <cell r="B3388">
            <v>2.2000000000000002</v>
          </cell>
        </row>
        <row r="3389">
          <cell r="A3389">
            <v>189550</v>
          </cell>
          <cell r="B3389">
            <v>2.2000000000000002</v>
          </cell>
        </row>
        <row r="3390">
          <cell r="A3390">
            <v>189550</v>
          </cell>
          <cell r="B3390">
            <v>3</v>
          </cell>
        </row>
        <row r="3391">
          <cell r="A3391">
            <v>189750</v>
          </cell>
          <cell r="B3391">
            <v>3</v>
          </cell>
        </row>
        <row r="3392">
          <cell r="A3392">
            <v>189750</v>
          </cell>
          <cell r="B3392">
            <v>2.5</v>
          </cell>
        </row>
        <row r="3393">
          <cell r="A3393">
            <v>189850</v>
          </cell>
          <cell r="B3393">
            <v>2.5</v>
          </cell>
        </row>
        <row r="3394">
          <cell r="A3394">
            <v>189850</v>
          </cell>
          <cell r="B3394">
            <v>1.6</v>
          </cell>
        </row>
        <row r="3395">
          <cell r="A3395">
            <v>189950</v>
          </cell>
          <cell r="B3395">
            <v>1.6</v>
          </cell>
        </row>
        <row r="3396">
          <cell r="A3396">
            <v>189950</v>
          </cell>
          <cell r="B3396">
            <v>2.7</v>
          </cell>
        </row>
        <row r="3397">
          <cell r="A3397">
            <v>190035</v>
          </cell>
          <cell r="B3397">
            <v>2.7</v>
          </cell>
        </row>
        <row r="3398">
          <cell r="A3398">
            <v>190035</v>
          </cell>
          <cell r="B3398">
            <v>2.5</v>
          </cell>
        </row>
        <row r="3399">
          <cell r="A3399">
            <v>190135</v>
          </cell>
          <cell r="B3399">
            <v>2.5</v>
          </cell>
        </row>
        <row r="3400">
          <cell r="A3400">
            <v>190135</v>
          </cell>
          <cell r="B3400">
            <v>3.1</v>
          </cell>
        </row>
        <row r="3401">
          <cell r="A3401">
            <v>190235</v>
          </cell>
          <cell r="B3401">
            <v>3.1</v>
          </cell>
        </row>
        <row r="3402">
          <cell r="A3402">
            <v>190235</v>
          </cell>
          <cell r="B3402">
            <v>3.3</v>
          </cell>
        </row>
        <row r="3403">
          <cell r="A3403">
            <v>190335</v>
          </cell>
          <cell r="B3403">
            <v>3.3</v>
          </cell>
        </row>
        <row r="3404">
          <cell r="A3404">
            <v>190335</v>
          </cell>
          <cell r="B3404">
            <v>3.6</v>
          </cell>
        </row>
        <row r="3405">
          <cell r="A3405">
            <v>190435</v>
          </cell>
          <cell r="B3405">
            <v>3.6</v>
          </cell>
        </row>
        <row r="3406">
          <cell r="A3406">
            <v>190435</v>
          </cell>
          <cell r="B3406">
            <v>3.4</v>
          </cell>
        </row>
        <row r="3407">
          <cell r="A3407">
            <v>190535</v>
          </cell>
          <cell r="B3407">
            <v>3.4</v>
          </cell>
        </row>
        <row r="3408">
          <cell r="A3408">
            <v>190535</v>
          </cell>
          <cell r="B3408">
            <v>4.7</v>
          </cell>
        </row>
        <row r="3409">
          <cell r="A3409">
            <v>190635</v>
          </cell>
          <cell r="B3409">
            <v>4.7</v>
          </cell>
        </row>
        <row r="3410">
          <cell r="A3410">
            <v>190635</v>
          </cell>
          <cell r="B3410">
            <v>6.4</v>
          </cell>
        </row>
        <row r="3411">
          <cell r="A3411">
            <v>190735</v>
          </cell>
          <cell r="B3411">
            <v>6.4</v>
          </cell>
        </row>
        <row r="3412">
          <cell r="A3412">
            <v>190735</v>
          </cell>
          <cell r="B3412">
            <v>5.2</v>
          </cell>
        </row>
        <row r="3413">
          <cell r="A3413">
            <v>190835</v>
          </cell>
          <cell r="B3413">
            <v>5.2</v>
          </cell>
        </row>
        <row r="3414">
          <cell r="A3414">
            <v>190835</v>
          </cell>
          <cell r="B3414">
            <v>5.7</v>
          </cell>
        </row>
        <row r="3415">
          <cell r="A3415">
            <v>190935</v>
          </cell>
          <cell r="B3415">
            <v>5.7</v>
          </cell>
        </row>
        <row r="3416">
          <cell r="A3416">
            <v>190935</v>
          </cell>
          <cell r="B3416">
            <v>5.6</v>
          </cell>
        </row>
        <row r="3417">
          <cell r="A3417">
            <v>191036</v>
          </cell>
          <cell r="B3417">
            <v>5.6</v>
          </cell>
        </row>
        <row r="3418">
          <cell r="A3418">
            <v>191036</v>
          </cell>
          <cell r="B3418">
            <v>5.0999999999999996</v>
          </cell>
        </row>
        <row r="3419">
          <cell r="A3419">
            <v>191136</v>
          </cell>
          <cell r="B3419">
            <v>5.0999999999999996</v>
          </cell>
        </row>
        <row r="3420">
          <cell r="A3420">
            <v>191136</v>
          </cell>
          <cell r="B3420">
            <v>5.3</v>
          </cell>
        </row>
        <row r="3421">
          <cell r="A3421">
            <v>191236</v>
          </cell>
          <cell r="B3421">
            <v>5.3</v>
          </cell>
        </row>
        <row r="3422">
          <cell r="A3422">
            <v>191236</v>
          </cell>
          <cell r="B3422">
            <v>4.7</v>
          </cell>
        </row>
        <row r="3423">
          <cell r="A3423">
            <v>191336</v>
          </cell>
          <cell r="B3423">
            <v>4.7</v>
          </cell>
        </row>
        <row r="3424">
          <cell r="A3424">
            <v>191336</v>
          </cell>
          <cell r="B3424">
            <v>3.9</v>
          </cell>
        </row>
        <row r="3425">
          <cell r="A3425">
            <v>191436</v>
          </cell>
          <cell r="B3425">
            <v>3.9</v>
          </cell>
        </row>
        <row r="3426">
          <cell r="A3426">
            <v>191436</v>
          </cell>
          <cell r="B3426">
            <v>4</v>
          </cell>
        </row>
        <row r="3427">
          <cell r="A3427">
            <v>191536</v>
          </cell>
          <cell r="B3427">
            <v>4</v>
          </cell>
        </row>
        <row r="3428">
          <cell r="A3428">
            <v>191536</v>
          </cell>
          <cell r="B3428">
            <v>3.1</v>
          </cell>
        </row>
        <row r="3429">
          <cell r="A3429">
            <v>191636</v>
          </cell>
          <cell r="B3429">
            <v>3.1</v>
          </cell>
        </row>
        <row r="3430">
          <cell r="A3430">
            <v>191636</v>
          </cell>
          <cell r="B3430">
            <v>4.2</v>
          </cell>
        </row>
        <row r="3431">
          <cell r="A3431">
            <v>191736</v>
          </cell>
          <cell r="B3431">
            <v>4.2</v>
          </cell>
        </row>
        <row r="3432">
          <cell r="A3432">
            <v>191736</v>
          </cell>
          <cell r="B3432">
            <v>7</v>
          </cell>
        </row>
        <row r="3433">
          <cell r="A3433">
            <v>191836</v>
          </cell>
          <cell r="B3433">
            <v>7</v>
          </cell>
        </row>
        <row r="3434">
          <cell r="A3434">
            <v>191836</v>
          </cell>
          <cell r="B3434">
            <v>12.8</v>
          </cell>
        </row>
        <row r="3435">
          <cell r="A3435">
            <v>191936</v>
          </cell>
          <cell r="B3435">
            <v>12.8</v>
          </cell>
        </row>
        <row r="3436">
          <cell r="A3436">
            <v>191936</v>
          </cell>
          <cell r="B3436">
            <v>11.9</v>
          </cell>
        </row>
        <row r="3437">
          <cell r="A3437">
            <v>192054</v>
          </cell>
          <cell r="B3437">
            <v>11.9</v>
          </cell>
        </row>
        <row r="3438">
          <cell r="A3438">
            <v>192054</v>
          </cell>
          <cell r="B3438">
            <v>10.4</v>
          </cell>
        </row>
        <row r="3439">
          <cell r="A3439">
            <v>192154</v>
          </cell>
          <cell r="B3439">
            <v>10.4</v>
          </cell>
        </row>
        <row r="3440">
          <cell r="A3440">
            <v>192154</v>
          </cell>
          <cell r="B3440">
            <v>11</v>
          </cell>
        </row>
        <row r="3441">
          <cell r="A3441">
            <v>192254</v>
          </cell>
          <cell r="B3441">
            <v>11</v>
          </cell>
        </row>
        <row r="3442">
          <cell r="A3442">
            <v>192254</v>
          </cell>
          <cell r="B3442">
            <v>9.8000000000000007</v>
          </cell>
        </row>
        <row r="3443">
          <cell r="A3443">
            <v>192449</v>
          </cell>
          <cell r="B3443">
            <v>9.8000000000000007</v>
          </cell>
        </row>
        <row r="3444">
          <cell r="A3444">
            <v>192449</v>
          </cell>
          <cell r="B3444">
            <v>7</v>
          </cell>
        </row>
        <row r="3445">
          <cell r="A3445">
            <v>192549</v>
          </cell>
          <cell r="B3445">
            <v>7</v>
          </cell>
        </row>
        <row r="3446">
          <cell r="A3446">
            <v>192549</v>
          </cell>
          <cell r="B3446">
            <v>8.3000000000000007</v>
          </cell>
        </row>
        <row r="3447">
          <cell r="A3447">
            <v>192647</v>
          </cell>
          <cell r="B3447">
            <v>8.3000000000000007</v>
          </cell>
        </row>
        <row r="3448">
          <cell r="A3448">
            <v>192647</v>
          </cell>
          <cell r="B3448">
            <v>7.9</v>
          </cell>
        </row>
        <row r="3449">
          <cell r="A3449">
            <v>192747</v>
          </cell>
          <cell r="B3449">
            <v>7.9</v>
          </cell>
        </row>
        <row r="3450">
          <cell r="A3450">
            <v>192747</v>
          </cell>
          <cell r="B3450">
            <v>3.6</v>
          </cell>
        </row>
        <row r="3451">
          <cell r="A3451">
            <v>192750</v>
          </cell>
          <cell r="B3451">
            <v>3.6</v>
          </cell>
        </row>
        <row r="3452">
          <cell r="A3452">
            <v>192750</v>
          </cell>
          <cell r="B3452">
            <v>2.7</v>
          </cell>
        </row>
        <row r="3453">
          <cell r="A3453">
            <v>192850</v>
          </cell>
          <cell r="B3453">
            <v>2.7</v>
          </cell>
        </row>
        <row r="3454">
          <cell r="A3454">
            <v>192850</v>
          </cell>
          <cell r="B3454">
            <v>1.9</v>
          </cell>
        </row>
        <row r="3455">
          <cell r="A3455">
            <v>192950</v>
          </cell>
          <cell r="B3455">
            <v>1.9</v>
          </cell>
        </row>
        <row r="3456">
          <cell r="A3456">
            <v>192950</v>
          </cell>
          <cell r="B3456">
            <v>2.7</v>
          </cell>
        </row>
        <row r="3457">
          <cell r="A3457">
            <v>193043</v>
          </cell>
          <cell r="B3457">
            <v>2.7</v>
          </cell>
        </row>
        <row r="3458">
          <cell r="A3458">
            <v>193043</v>
          </cell>
          <cell r="B3458">
            <v>4.9000000000000004</v>
          </cell>
        </row>
        <row r="3459">
          <cell r="A3459">
            <v>193143</v>
          </cell>
          <cell r="B3459">
            <v>4.9000000000000004</v>
          </cell>
        </row>
        <row r="3460">
          <cell r="A3460">
            <v>193143</v>
          </cell>
          <cell r="B3460">
            <v>6.9</v>
          </cell>
        </row>
        <row r="3461">
          <cell r="A3461">
            <v>193243</v>
          </cell>
          <cell r="B3461">
            <v>6.9</v>
          </cell>
        </row>
        <row r="3462">
          <cell r="A3462">
            <v>193243</v>
          </cell>
          <cell r="B3462">
            <v>9.1999999999999993</v>
          </cell>
        </row>
        <row r="3463">
          <cell r="A3463">
            <v>193343</v>
          </cell>
          <cell r="B3463">
            <v>9.1999999999999993</v>
          </cell>
        </row>
        <row r="3464">
          <cell r="A3464">
            <v>193343</v>
          </cell>
          <cell r="B3464">
            <v>4.5999999999999996</v>
          </cell>
        </row>
        <row r="3465">
          <cell r="A3465">
            <v>193443</v>
          </cell>
          <cell r="B3465">
            <v>4.5999999999999996</v>
          </cell>
        </row>
        <row r="3466">
          <cell r="A3466">
            <v>193443</v>
          </cell>
          <cell r="B3466">
            <v>5.3</v>
          </cell>
        </row>
        <row r="3467">
          <cell r="A3467">
            <v>193543</v>
          </cell>
          <cell r="B3467">
            <v>5.3</v>
          </cell>
        </row>
        <row r="3468">
          <cell r="A3468">
            <v>193543</v>
          </cell>
          <cell r="B3468">
            <v>10.199999999999999</v>
          </cell>
        </row>
        <row r="3469">
          <cell r="A3469">
            <v>193643</v>
          </cell>
          <cell r="B3469">
            <v>10.199999999999999</v>
          </cell>
        </row>
        <row r="3470">
          <cell r="A3470">
            <v>193643</v>
          </cell>
          <cell r="B3470">
            <v>34.5</v>
          </cell>
        </row>
        <row r="3471">
          <cell r="A3471">
            <v>193693</v>
          </cell>
          <cell r="B3471">
            <v>34.5</v>
          </cell>
        </row>
        <row r="3472">
          <cell r="A3472">
            <v>193693</v>
          </cell>
          <cell r="B3472">
            <v>7.2</v>
          </cell>
        </row>
        <row r="3473">
          <cell r="A3473">
            <v>193793</v>
          </cell>
          <cell r="B3473">
            <v>7.2</v>
          </cell>
        </row>
        <row r="3474">
          <cell r="A3474">
            <v>193793</v>
          </cell>
          <cell r="B3474">
            <v>10.7</v>
          </cell>
        </row>
        <row r="3475">
          <cell r="A3475">
            <v>193893</v>
          </cell>
          <cell r="B3475">
            <v>10.7</v>
          </cell>
        </row>
        <row r="3476">
          <cell r="A3476">
            <v>193893</v>
          </cell>
          <cell r="B3476">
            <v>7.7</v>
          </cell>
        </row>
        <row r="3477">
          <cell r="A3477">
            <v>194008</v>
          </cell>
          <cell r="B3477">
            <v>7.7</v>
          </cell>
        </row>
        <row r="3478">
          <cell r="A3478">
            <v>194008</v>
          </cell>
          <cell r="B3478">
            <v>3.4</v>
          </cell>
        </row>
        <row r="3479">
          <cell r="A3479">
            <v>194108</v>
          </cell>
          <cell r="B3479">
            <v>3.4</v>
          </cell>
        </row>
        <row r="3480">
          <cell r="A3480">
            <v>194108</v>
          </cell>
          <cell r="B3480">
            <v>5.0999999999999996</v>
          </cell>
        </row>
        <row r="3481">
          <cell r="A3481">
            <v>194208</v>
          </cell>
          <cell r="B3481">
            <v>5.0999999999999996</v>
          </cell>
        </row>
        <row r="3482">
          <cell r="A3482">
            <v>194208</v>
          </cell>
          <cell r="B3482">
            <v>8.8000000000000007</v>
          </cell>
        </row>
        <row r="3483">
          <cell r="A3483">
            <v>194308</v>
          </cell>
          <cell r="B3483">
            <v>8.8000000000000007</v>
          </cell>
        </row>
        <row r="3484">
          <cell r="A3484">
            <v>194308</v>
          </cell>
          <cell r="B3484">
            <v>4.3</v>
          </cell>
        </row>
        <row r="3485">
          <cell r="A3485">
            <v>194408</v>
          </cell>
          <cell r="B3485">
            <v>4.3</v>
          </cell>
        </row>
        <row r="3486">
          <cell r="A3486">
            <v>194408</v>
          </cell>
          <cell r="B3486">
            <v>11.8</v>
          </cell>
        </row>
        <row r="3487">
          <cell r="A3487">
            <v>194508</v>
          </cell>
          <cell r="B3487">
            <v>11.8</v>
          </cell>
        </row>
        <row r="3488">
          <cell r="A3488">
            <v>194508</v>
          </cell>
          <cell r="B3488">
            <v>11.7</v>
          </cell>
        </row>
        <row r="3489">
          <cell r="A3489">
            <v>194608</v>
          </cell>
          <cell r="B3489">
            <v>11.7</v>
          </cell>
        </row>
        <row r="3490">
          <cell r="A3490">
            <v>194608</v>
          </cell>
          <cell r="B3490">
            <v>21.7</v>
          </cell>
        </row>
        <row r="3491">
          <cell r="A3491">
            <v>194708</v>
          </cell>
          <cell r="B3491">
            <v>21.7</v>
          </cell>
        </row>
        <row r="3492">
          <cell r="A3492">
            <v>194708</v>
          </cell>
          <cell r="B3492">
            <v>27.9</v>
          </cell>
        </row>
        <row r="3493">
          <cell r="A3493">
            <v>194725</v>
          </cell>
          <cell r="B3493">
            <v>27.9</v>
          </cell>
        </row>
        <row r="3494">
          <cell r="A3494">
            <v>194725</v>
          </cell>
          <cell r="B3494">
            <v>27.5</v>
          </cell>
        </row>
        <row r="3495">
          <cell r="A3495">
            <v>194825</v>
          </cell>
          <cell r="B3495">
            <v>27.5</v>
          </cell>
        </row>
        <row r="3496">
          <cell r="A3496">
            <v>194825</v>
          </cell>
          <cell r="B3496">
            <v>18.399999999999999</v>
          </cell>
        </row>
        <row r="3497">
          <cell r="A3497">
            <v>194925</v>
          </cell>
          <cell r="B3497">
            <v>18.399999999999999</v>
          </cell>
        </row>
        <row r="3498">
          <cell r="A3498">
            <v>194925</v>
          </cell>
          <cell r="B3498">
            <v>16.8</v>
          </cell>
        </row>
        <row r="3499">
          <cell r="A3499">
            <v>195010</v>
          </cell>
          <cell r="B3499">
            <v>16.8</v>
          </cell>
        </row>
        <row r="3500">
          <cell r="A3500">
            <v>195010</v>
          </cell>
          <cell r="B3500">
            <v>22.6</v>
          </cell>
        </row>
        <row r="3501">
          <cell r="A3501">
            <v>195110</v>
          </cell>
          <cell r="B3501">
            <v>22.6</v>
          </cell>
        </row>
        <row r="3502">
          <cell r="A3502">
            <v>195110</v>
          </cell>
          <cell r="B3502">
            <v>22.3</v>
          </cell>
        </row>
        <row r="3503">
          <cell r="A3503">
            <v>195210</v>
          </cell>
          <cell r="B3503">
            <v>22.3</v>
          </cell>
        </row>
        <row r="3504">
          <cell r="A3504">
            <v>195210</v>
          </cell>
          <cell r="B3504">
            <v>19</v>
          </cell>
        </row>
        <row r="3505">
          <cell r="A3505">
            <v>195310</v>
          </cell>
          <cell r="B3505">
            <v>19</v>
          </cell>
        </row>
        <row r="3506">
          <cell r="A3506">
            <v>195310</v>
          </cell>
          <cell r="B3506">
            <v>16.5</v>
          </cell>
        </row>
        <row r="3507">
          <cell r="A3507">
            <v>195410</v>
          </cell>
          <cell r="B3507">
            <v>16.5</v>
          </cell>
        </row>
        <row r="3508">
          <cell r="A3508">
            <v>195410</v>
          </cell>
          <cell r="B3508">
            <v>19.5</v>
          </cell>
        </row>
        <row r="3509">
          <cell r="A3509">
            <v>195510</v>
          </cell>
          <cell r="B3509">
            <v>19.5</v>
          </cell>
        </row>
        <row r="3510">
          <cell r="A3510">
            <v>195510</v>
          </cell>
          <cell r="B3510">
            <v>18.7</v>
          </cell>
        </row>
        <row r="3511">
          <cell r="A3511">
            <v>195610</v>
          </cell>
          <cell r="B3511">
            <v>18.7</v>
          </cell>
        </row>
        <row r="3512">
          <cell r="A3512">
            <v>195610</v>
          </cell>
          <cell r="B3512">
            <v>27.7</v>
          </cell>
        </row>
        <row r="3513">
          <cell r="A3513">
            <v>195710</v>
          </cell>
          <cell r="B3513">
            <v>27.7</v>
          </cell>
        </row>
        <row r="3514">
          <cell r="A3514">
            <v>195710</v>
          </cell>
          <cell r="B3514">
            <v>22.8</v>
          </cell>
        </row>
        <row r="3515">
          <cell r="A3515">
            <v>195810</v>
          </cell>
          <cell r="B3515">
            <v>22.8</v>
          </cell>
        </row>
        <row r="3516">
          <cell r="A3516">
            <v>195810</v>
          </cell>
          <cell r="B3516">
            <v>27</v>
          </cell>
        </row>
        <row r="3517">
          <cell r="A3517">
            <v>195910</v>
          </cell>
          <cell r="B3517">
            <v>27</v>
          </cell>
        </row>
        <row r="3518">
          <cell r="A3518">
            <v>195910</v>
          </cell>
          <cell r="B3518">
            <v>26.1</v>
          </cell>
        </row>
        <row r="3519">
          <cell r="A3519">
            <v>196018</v>
          </cell>
          <cell r="B3519">
            <v>26.1</v>
          </cell>
        </row>
        <row r="3520">
          <cell r="A3520">
            <v>196018</v>
          </cell>
          <cell r="B3520">
            <v>25.6</v>
          </cell>
        </row>
        <row r="3521">
          <cell r="A3521">
            <v>196118</v>
          </cell>
          <cell r="B3521">
            <v>25.6</v>
          </cell>
        </row>
        <row r="3522">
          <cell r="A3522">
            <v>196118</v>
          </cell>
          <cell r="B3522">
            <v>25.3</v>
          </cell>
        </row>
        <row r="3523">
          <cell r="A3523">
            <v>196218</v>
          </cell>
          <cell r="B3523">
            <v>25.3</v>
          </cell>
        </row>
        <row r="3524">
          <cell r="A3524">
            <v>196218</v>
          </cell>
          <cell r="B3524">
            <v>23.1</v>
          </cell>
        </row>
        <row r="3525">
          <cell r="A3525">
            <v>196318</v>
          </cell>
          <cell r="B3525">
            <v>23.1</v>
          </cell>
        </row>
        <row r="3526">
          <cell r="A3526">
            <v>196318</v>
          </cell>
          <cell r="B3526">
            <v>10.1</v>
          </cell>
        </row>
        <row r="3527">
          <cell r="A3527">
            <v>196418</v>
          </cell>
          <cell r="B3527">
            <v>10.1</v>
          </cell>
        </row>
        <row r="3528">
          <cell r="A3528">
            <v>196418</v>
          </cell>
          <cell r="B3528">
            <v>30.2</v>
          </cell>
        </row>
        <row r="3529">
          <cell r="A3529">
            <v>196518</v>
          </cell>
          <cell r="B3529">
            <v>30.2</v>
          </cell>
        </row>
        <row r="3530">
          <cell r="A3530">
            <v>196518</v>
          </cell>
          <cell r="B3530">
            <v>22</v>
          </cell>
        </row>
        <row r="3531">
          <cell r="A3531">
            <v>196618</v>
          </cell>
          <cell r="B3531">
            <v>22</v>
          </cell>
        </row>
        <row r="3532">
          <cell r="A3532">
            <v>196618</v>
          </cell>
          <cell r="B3532">
            <v>15.3</v>
          </cell>
        </row>
        <row r="3533">
          <cell r="A3533">
            <v>196718</v>
          </cell>
          <cell r="B3533">
            <v>15.3</v>
          </cell>
        </row>
        <row r="3534">
          <cell r="A3534">
            <v>196718</v>
          </cell>
          <cell r="B3534">
            <v>23.5</v>
          </cell>
        </row>
        <row r="3535">
          <cell r="A3535">
            <v>196818</v>
          </cell>
          <cell r="B3535">
            <v>23.5</v>
          </cell>
        </row>
        <row r="3536">
          <cell r="A3536">
            <v>196818</v>
          </cell>
          <cell r="B3536">
            <v>15.8</v>
          </cell>
        </row>
        <row r="3537">
          <cell r="A3537">
            <v>196918</v>
          </cell>
          <cell r="B3537">
            <v>15.8</v>
          </cell>
        </row>
        <row r="3538">
          <cell r="A3538">
            <v>196918</v>
          </cell>
          <cell r="B3538">
            <v>20.6</v>
          </cell>
        </row>
        <row r="3539">
          <cell r="A3539">
            <v>197030</v>
          </cell>
          <cell r="B3539">
            <v>20.6</v>
          </cell>
        </row>
        <row r="3540">
          <cell r="A3540">
            <v>197030</v>
          </cell>
          <cell r="B3540">
            <v>30.7</v>
          </cell>
        </row>
        <row r="3541">
          <cell r="A3541">
            <v>197130</v>
          </cell>
          <cell r="B3541">
            <v>30.7</v>
          </cell>
        </row>
        <row r="3542">
          <cell r="A3542">
            <v>197130</v>
          </cell>
          <cell r="B3542">
            <v>28.9</v>
          </cell>
        </row>
        <row r="3543">
          <cell r="A3543">
            <v>197145</v>
          </cell>
          <cell r="B3543">
            <v>28.9</v>
          </cell>
        </row>
        <row r="3544">
          <cell r="A3544">
            <v>197145</v>
          </cell>
          <cell r="B3544">
            <v>17.5</v>
          </cell>
        </row>
        <row r="3545">
          <cell r="A3545">
            <v>197245</v>
          </cell>
          <cell r="B3545">
            <v>17.5</v>
          </cell>
        </row>
        <row r="3546">
          <cell r="A3546">
            <v>197245</v>
          </cell>
          <cell r="B3546">
            <v>18.899999999999999</v>
          </cell>
        </row>
        <row r="3547">
          <cell r="A3547">
            <v>197345</v>
          </cell>
          <cell r="B3547">
            <v>18.899999999999999</v>
          </cell>
        </row>
        <row r="3548">
          <cell r="A3548">
            <v>197345</v>
          </cell>
          <cell r="B3548">
            <v>19.600000000000001</v>
          </cell>
        </row>
        <row r="3549">
          <cell r="A3549">
            <v>197445</v>
          </cell>
          <cell r="B3549">
            <v>19.600000000000001</v>
          </cell>
        </row>
        <row r="3550">
          <cell r="A3550">
            <v>197445</v>
          </cell>
          <cell r="B3550">
            <v>17.5</v>
          </cell>
        </row>
        <row r="3551">
          <cell r="A3551">
            <v>197545</v>
          </cell>
          <cell r="B3551">
            <v>17.5</v>
          </cell>
        </row>
        <row r="3552">
          <cell r="A3552">
            <v>197545</v>
          </cell>
          <cell r="B3552">
            <v>15.4</v>
          </cell>
        </row>
        <row r="3553">
          <cell r="A3553">
            <v>197645</v>
          </cell>
          <cell r="B3553">
            <v>15.4</v>
          </cell>
        </row>
        <row r="3554">
          <cell r="A3554">
            <v>197645</v>
          </cell>
          <cell r="B3554">
            <v>13.9</v>
          </cell>
        </row>
        <row r="3555">
          <cell r="A3555">
            <v>197745</v>
          </cell>
          <cell r="B3555">
            <v>13.9</v>
          </cell>
        </row>
        <row r="3556">
          <cell r="A3556">
            <v>197745</v>
          </cell>
          <cell r="B3556">
            <v>15.9</v>
          </cell>
        </row>
        <row r="3557">
          <cell r="A3557">
            <v>197845</v>
          </cell>
          <cell r="B3557">
            <v>15.9</v>
          </cell>
        </row>
        <row r="3558">
          <cell r="A3558">
            <v>197845</v>
          </cell>
          <cell r="B3558">
            <v>15.3</v>
          </cell>
        </row>
        <row r="3559">
          <cell r="A3559">
            <v>197945</v>
          </cell>
          <cell r="B3559">
            <v>15.3</v>
          </cell>
        </row>
        <row r="3560">
          <cell r="A3560">
            <v>197945</v>
          </cell>
          <cell r="B3560">
            <v>17.399999999999999</v>
          </cell>
        </row>
        <row r="3561">
          <cell r="A3561">
            <v>198027</v>
          </cell>
          <cell r="B3561">
            <v>17.399999999999999</v>
          </cell>
        </row>
        <row r="3562">
          <cell r="A3562">
            <v>198027</v>
          </cell>
          <cell r="B3562">
            <v>12</v>
          </cell>
        </row>
        <row r="3563">
          <cell r="A3563">
            <v>198127</v>
          </cell>
          <cell r="B3563">
            <v>12</v>
          </cell>
        </row>
        <row r="3564">
          <cell r="A3564">
            <v>198127</v>
          </cell>
          <cell r="B3564">
            <v>18.899999999999999</v>
          </cell>
        </row>
        <row r="3565">
          <cell r="A3565">
            <v>198227</v>
          </cell>
          <cell r="B3565">
            <v>18.899999999999999</v>
          </cell>
        </row>
        <row r="3566">
          <cell r="A3566">
            <v>198227</v>
          </cell>
          <cell r="B3566">
            <v>12.9</v>
          </cell>
        </row>
        <row r="3567">
          <cell r="A3567">
            <v>198327</v>
          </cell>
          <cell r="B3567">
            <v>12.9</v>
          </cell>
        </row>
        <row r="3568">
          <cell r="A3568">
            <v>198327</v>
          </cell>
          <cell r="B3568">
            <v>12</v>
          </cell>
        </row>
        <row r="3569">
          <cell r="A3569">
            <v>198427</v>
          </cell>
          <cell r="B3569">
            <v>12</v>
          </cell>
        </row>
        <row r="3570">
          <cell r="A3570">
            <v>198427</v>
          </cell>
          <cell r="B3570">
            <v>10.5</v>
          </cell>
        </row>
        <row r="3571">
          <cell r="A3571">
            <v>198527</v>
          </cell>
          <cell r="B3571">
            <v>10.5</v>
          </cell>
        </row>
        <row r="3572">
          <cell r="A3572">
            <v>198527</v>
          </cell>
          <cell r="B3572">
            <v>12.1</v>
          </cell>
        </row>
        <row r="3573">
          <cell r="A3573">
            <v>198627</v>
          </cell>
          <cell r="B3573">
            <v>12.1</v>
          </cell>
        </row>
        <row r="3574">
          <cell r="A3574">
            <v>198627</v>
          </cell>
          <cell r="B3574">
            <v>10.5</v>
          </cell>
        </row>
        <row r="3575">
          <cell r="A3575">
            <v>198827</v>
          </cell>
          <cell r="B3575">
            <v>10.5</v>
          </cell>
        </row>
        <row r="3576">
          <cell r="A3576">
            <v>198827</v>
          </cell>
          <cell r="B3576">
            <v>9.1</v>
          </cell>
        </row>
        <row r="3577">
          <cell r="A3577">
            <v>198927</v>
          </cell>
          <cell r="B3577">
            <v>9.1</v>
          </cell>
        </row>
        <row r="3578">
          <cell r="A3578">
            <v>198927</v>
          </cell>
          <cell r="B3578">
            <v>8.9</v>
          </cell>
        </row>
        <row r="3579">
          <cell r="A3579">
            <v>199007</v>
          </cell>
          <cell r="B3579">
            <v>8.9</v>
          </cell>
        </row>
        <row r="3580">
          <cell r="A3580">
            <v>199007</v>
          </cell>
          <cell r="B3580">
            <v>11</v>
          </cell>
        </row>
        <row r="3581">
          <cell r="A3581">
            <v>199107</v>
          </cell>
          <cell r="B3581">
            <v>11</v>
          </cell>
        </row>
        <row r="3582">
          <cell r="A3582">
            <v>199107</v>
          </cell>
          <cell r="B3582">
            <v>10.4</v>
          </cell>
        </row>
        <row r="3583">
          <cell r="A3583">
            <v>199207</v>
          </cell>
          <cell r="B3583">
            <v>10.4</v>
          </cell>
        </row>
        <row r="3584">
          <cell r="A3584">
            <v>199207</v>
          </cell>
          <cell r="B3584">
            <v>10.7</v>
          </cell>
        </row>
        <row r="3585">
          <cell r="A3585">
            <v>199307</v>
          </cell>
          <cell r="B3585">
            <v>10.7</v>
          </cell>
        </row>
        <row r="3586">
          <cell r="A3586">
            <v>199307</v>
          </cell>
          <cell r="B3586">
            <v>11.5</v>
          </cell>
        </row>
        <row r="3587">
          <cell r="A3587">
            <v>199407</v>
          </cell>
          <cell r="B3587">
            <v>11.5</v>
          </cell>
        </row>
        <row r="3588">
          <cell r="A3588">
            <v>199407</v>
          </cell>
          <cell r="B3588">
            <v>6.7</v>
          </cell>
        </row>
        <row r="3589">
          <cell r="A3589">
            <v>199507</v>
          </cell>
          <cell r="B3589">
            <v>6.7</v>
          </cell>
        </row>
        <row r="3590">
          <cell r="A3590">
            <v>199507</v>
          </cell>
          <cell r="B3590">
            <v>9.1999999999999993</v>
          </cell>
        </row>
        <row r="3591">
          <cell r="A3591">
            <v>199607</v>
          </cell>
          <cell r="B3591">
            <v>9.1999999999999993</v>
          </cell>
        </row>
        <row r="3592">
          <cell r="A3592">
            <v>199607</v>
          </cell>
          <cell r="B3592">
            <v>6</v>
          </cell>
        </row>
        <row r="3593">
          <cell r="A3593">
            <v>199707</v>
          </cell>
          <cell r="B3593">
            <v>6</v>
          </cell>
        </row>
        <row r="3594">
          <cell r="A3594">
            <v>199707</v>
          </cell>
          <cell r="B3594">
            <v>5.8</v>
          </cell>
        </row>
        <row r="3595">
          <cell r="A3595">
            <v>199807</v>
          </cell>
          <cell r="B3595">
            <v>5.8</v>
          </cell>
        </row>
        <row r="3596">
          <cell r="A3596">
            <v>199807</v>
          </cell>
          <cell r="B3596">
            <v>9.9</v>
          </cell>
        </row>
        <row r="3597">
          <cell r="A3597">
            <v>200041</v>
          </cell>
          <cell r="B3597">
            <v>9.9</v>
          </cell>
        </row>
        <row r="3598">
          <cell r="A3598">
            <v>200041</v>
          </cell>
          <cell r="B3598">
            <v>10.4</v>
          </cell>
        </row>
        <row r="3599">
          <cell r="A3599">
            <v>200141</v>
          </cell>
          <cell r="B3599">
            <v>10.4</v>
          </cell>
        </row>
        <row r="3600">
          <cell r="A3600">
            <v>200141</v>
          </cell>
          <cell r="B3600">
            <v>10.6</v>
          </cell>
        </row>
        <row r="3601">
          <cell r="A3601">
            <v>200241</v>
          </cell>
          <cell r="B3601">
            <v>10.6</v>
          </cell>
        </row>
        <row r="3602">
          <cell r="A3602">
            <v>200241</v>
          </cell>
          <cell r="B3602">
            <v>9.8000000000000007</v>
          </cell>
        </row>
        <row r="3603">
          <cell r="A3603">
            <v>200341</v>
          </cell>
          <cell r="B3603">
            <v>9.8000000000000007</v>
          </cell>
        </row>
        <row r="3604">
          <cell r="A3604">
            <v>200341</v>
          </cell>
          <cell r="B3604">
            <v>12.9</v>
          </cell>
        </row>
        <row r="3605">
          <cell r="A3605">
            <v>200441</v>
          </cell>
          <cell r="B3605">
            <v>12.9</v>
          </cell>
        </row>
        <row r="3606">
          <cell r="A3606">
            <v>200441</v>
          </cell>
          <cell r="B3606">
            <v>12.4</v>
          </cell>
        </row>
        <row r="3607">
          <cell r="A3607">
            <v>200541</v>
          </cell>
          <cell r="B3607">
            <v>12.4</v>
          </cell>
        </row>
        <row r="3608">
          <cell r="A3608">
            <v>200541</v>
          </cell>
          <cell r="B3608">
            <v>11.8</v>
          </cell>
        </row>
        <row r="3609">
          <cell r="A3609">
            <v>200641</v>
          </cell>
          <cell r="B3609">
            <v>11.8</v>
          </cell>
        </row>
        <row r="3610">
          <cell r="A3610">
            <v>200641</v>
          </cell>
          <cell r="B3610">
            <v>18.600000000000001</v>
          </cell>
        </row>
        <row r="3611">
          <cell r="A3611">
            <v>200675</v>
          </cell>
          <cell r="B3611">
            <v>18.600000000000001</v>
          </cell>
        </row>
        <row r="3612">
          <cell r="A3612">
            <v>200675</v>
          </cell>
          <cell r="B3612">
            <v>18.2</v>
          </cell>
        </row>
        <row r="3613">
          <cell r="A3613">
            <v>200775</v>
          </cell>
          <cell r="B3613">
            <v>18.2</v>
          </cell>
        </row>
        <row r="3614">
          <cell r="A3614">
            <v>200775</v>
          </cell>
          <cell r="B3614">
            <v>16.3</v>
          </cell>
        </row>
        <row r="3615">
          <cell r="A3615">
            <v>200875</v>
          </cell>
          <cell r="B3615">
            <v>16.3</v>
          </cell>
        </row>
        <row r="3616">
          <cell r="A3616">
            <v>200875</v>
          </cell>
          <cell r="B3616">
            <v>11.4</v>
          </cell>
        </row>
        <row r="3617">
          <cell r="A3617">
            <v>200975</v>
          </cell>
          <cell r="B3617">
            <v>11.4</v>
          </cell>
        </row>
        <row r="3618">
          <cell r="A3618">
            <v>200975</v>
          </cell>
          <cell r="B3618">
            <v>11.1</v>
          </cell>
        </row>
        <row r="3619">
          <cell r="A3619">
            <v>201152</v>
          </cell>
          <cell r="B3619">
            <v>11.1</v>
          </cell>
        </row>
        <row r="3620">
          <cell r="A3620">
            <v>201152</v>
          </cell>
          <cell r="B3620">
            <v>10.199999999999999</v>
          </cell>
        </row>
        <row r="3621">
          <cell r="A3621">
            <v>201252</v>
          </cell>
          <cell r="B3621">
            <v>10.199999999999999</v>
          </cell>
        </row>
        <row r="3622">
          <cell r="A3622">
            <v>201252</v>
          </cell>
          <cell r="B3622">
            <v>5.5</v>
          </cell>
        </row>
        <row r="3623">
          <cell r="A3623">
            <v>201352</v>
          </cell>
          <cell r="B3623">
            <v>5.5</v>
          </cell>
        </row>
        <row r="3624">
          <cell r="A3624">
            <v>201352</v>
          </cell>
          <cell r="B3624">
            <v>9.3000000000000007</v>
          </cell>
        </row>
        <row r="3625">
          <cell r="A3625">
            <v>201452</v>
          </cell>
          <cell r="B3625">
            <v>9.3000000000000007</v>
          </cell>
        </row>
        <row r="3626">
          <cell r="A3626">
            <v>201452</v>
          </cell>
          <cell r="B3626">
            <v>7.5</v>
          </cell>
        </row>
        <row r="3627">
          <cell r="A3627">
            <v>201552</v>
          </cell>
          <cell r="B3627">
            <v>7.5</v>
          </cell>
        </row>
        <row r="3628">
          <cell r="A3628">
            <v>201552</v>
          </cell>
          <cell r="B3628">
            <v>8.6</v>
          </cell>
        </row>
        <row r="3629">
          <cell r="A3629">
            <v>201652</v>
          </cell>
          <cell r="B3629">
            <v>8.6</v>
          </cell>
        </row>
        <row r="3630">
          <cell r="A3630">
            <v>201652</v>
          </cell>
          <cell r="B3630">
            <v>6.9</v>
          </cell>
        </row>
        <row r="3631">
          <cell r="A3631">
            <v>201752</v>
          </cell>
          <cell r="B3631">
            <v>6.9</v>
          </cell>
        </row>
        <row r="3632">
          <cell r="A3632">
            <v>201752</v>
          </cell>
          <cell r="B3632">
            <v>5.8</v>
          </cell>
        </row>
        <row r="3633">
          <cell r="A3633">
            <v>201852</v>
          </cell>
          <cell r="B3633">
            <v>5.8</v>
          </cell>
        </row>
        <row r="3634">
          <cell r="A3634">
            <v>201852</v>
          </cell>
          <cell r="B3634">
            <v>7</v>
          </cell>
        </row>
        <row r="3635">
          <cell r="A3635">
            <v>201952</v>
          </cell>
          <cell r="B3635">
            <v>7</v>
          </cell>
        </row>
        <row r="3636">
          <cell r="A3636">
            <v>201952</v>
          </cell>
          <cell r="B3636">
            <v>11.3</v>
          </cell>
        </row>
        <row r="3637">
          <cell r="A3637">
            <v>202053</v>
          </cell>
          <cell r="B3637">
            <v>11.3</v>
          </cell>
        </row>
        <row r="3638">
          <cell r="A3638">
            <v>202053</v>
          </cell>
          <cell r="B3638">
            <v>7.9</v>
          </cell>
        </row>
        <row r="3639">
          <cell r="A3639">
            <v>202153</v>
          </cell>
          <cell r="B3639">
            <v>7.9</v>
          </cell>
        </row>
        <row r="3640">
          <cell r="A3640">
            <v>202153</v>
          </cell>
          <cell r="B3640">
            <v>6.7</v>
          </cell>
        </row>
        <row r="3641">
          <cell r="A3641">
            <v>202253</v>
          </cell>
          <cell r="B3641">
            <v>6.7</v>
          </cell>
        </row>
        <row r="3642">
          <cell r="A3642">
            <v>202253</v>
          </cell>
          <cell r="B3642">
            <v>7.1</v>
          </cell>
        </row>
        <row r="3643">
          <cell r="A3643">
            <v>202353</v>
          </cell>
          <cell r="B3643">
            <v>7.1</v>
          </cell>
        </row>
        <row r="3644">
          <cell r="A3644">
            <v>202353</v>
          </cell>
          <cell r="B3644">
            <v>5.8</v>
          </cell>
        </row>
        <row r="3645">
          <cell r="A3645">
            <v>202453</v>
          </cell>
          <cell r="B3645">
            <v>5.8</v>
          </cell>
        </row>
        <row r="3646">
          <cell r="A3646">
            <v>202453</v>
          </cell>
          <cell r="B3646">
            <v>5.4</v>
          </cell>
        </row>
        <row r="3647">
          <cell r="A3647">
            <v>202553</v>
          </cell>
          <cell r="B3647">
            <v>5.4</v>
          </cell>
        </row>
        <row r="3648">
          <cell r="A3648">
            <v>202553</v>
          </cell>
          <cell r="B3648">
            <v>3.8</v>
          </cell>
        </row>
        <row r="3649">
          <cell r="A3649">
            <v>202653</v>
          </cell>
          <cell r="B3649">
            <v>3.8</v>
          </cell>
        </row>
        <row r="3650">
          <cell r="A3650">
            <v>202653</v>
          </cell>
          <cell r="B3650">
            <v>6.8</v>
          </cell>
        </row>
        <row r="3651">
          <cell r="A3651">
            <v>202753</v>
          </cell>
          <cell r="B3651">
            <v>6.8</v>
          </cell>
        </row>
        <row r="3652">
          <cell r="A3652">
            <v>202753</v>
          </cell>
          <cell r="B3652">
            <v>6</v>
          </cell>
        </row>
        <row r="3653">
          <cell r="A3653">
            <v>202853</v>
          </cell>
          <cell r="B3653">
            <v>6</v>
          </cell>
        </row>
        <row r="3654">
          <cell r="A3654">
            <v>202853</v>
          </cell>
          <cell r="B3654">
            <v>11.7</v>
          </cell>
        </row>
        <row r="3655">
          <cell r="A3655">
            <v>202953</v>
          </cell>
          <cell r="B3655">
            <v>11.7</v>
          </cell>
        </row>
        <row r="3656">
          <cell r="A3656">
            <v>202953</v>
          </cell>
          <cell r="B3656">
            <v>5</v>
          </cell>
        </row>
        <row r="3657">
          <cell r="A3657">
            <v>203076</v>
          </cell>
          <cell r="B3657">
            <v>5</v>
          </cell>
        </row>
        <row r="3658">
          <cell r="A3658">
            <v>203076</v>
          </cell>
          <cell r="B3658">
            <v>3.3</v>
          </cell>
        </row>
        <row r="3659">
          <cell r="A3659">
            <v>203176</v>
          </cell>
          <cell r="B3659">
            <v>3.3</v>
          </cell>
        </row>
        <row r="3660">
          <cell r="A3660">
            <v>203176</v>
          </cell>
          <cell r="B3660">
            <v>3.8</v>
          </cell>
        </row>
        <row r="3661">
          <cell r="A3661">
            <v>203390</v>
          </cell>
          <cell r="B3661">
            <v>3.8</v>
          </cell>
        </row>
        <row r="3662">
          <cell r="A3662">
            <v>203390</v>
          </cell>
          <cell r="B3662">
            <v>5</v>
          </cell>
        </row>
        <row r="3663">
          <cell r="A3663">
            <v>203490</v>
          </cell>
          <cell r="B3663">
            <v>5</v>
          </cell>
        </row>
        <row r="3664">
          <cell r="A3664">
            <v>203490</v>
          </cell>
          <cell r="B3664">
            <v>12.6</v>
          </cell>
        </row>
        <row r="3665">
          <cell r="A3665">
            <v>203590</v>
          </cell>
          <cell r="B3665">
            <v>12.6</v>
          </cell>
        </row>
        <row r="3666">
          <cell r="A3666">
            <v>203590</v>
          </cell>
          <cell r="B3666">
            <v>20.2</v>
          </cell>
        </row>
        <row r="3667">
          <cell r="A3667">
            <v>203690</v>
          </cell>
          <cell r="B3667">
            <v>20.2</v>
          </cell>
        </row>
        <row r="3668">
          <cell r="A3668">
            <v>203690</v>
          </cell>
          <cell r="B3668">
            <v>17.100000000000001</v>
          </cell>
        </row>
        <row r="3669">
          <cell r="A3669">
            <v>203790</v>
          </cell>
          <cell r="B3669">
            <v>17.100000000000001</v>
          </cell>
        </row>
        <row r="3670">
          <cell r="A3670">
            <v>203790</v>
          </cell>
          <cell r="B3670">
            <v>15.8</v>
          </cell>
        </row>
        <row r="3671">
          <cell r="A3671">
            <v>203890</v>
          </cell>
          <cell r="B3671">
            <v>15.8</v>
          </cell>
        </row>
        <row r="3672">
          <cell r="A3672">
            <v>203890</v>
          </cell>
          <cell r="B3672">
            <v>20.5</v>
          </cell>
        </row>
        <row r="3673">
          <cell r="A3673">
            <v>203990</v>
          </cell>
          <cell r="B3673">
            <v>20.5</v>
          </cell>
        </row>
        <row r="3674">
          <cell r="A3674">
            <v>203990</v>
          </cell>
          <cell r="B3674">
            <v>16.399999999999999</v>
          </cell>
        </row>
        <row r="3675">
          <cell r="A3675">
            <v>204072</v>
          </cell>
          <cell r="B3675">
            <v>16.399999999999999</v>
          </cell>
        </row>
        <row r="3676">
          <cell r="A3676">
            <v>204072</v>
          </cell>
          <cell r="B3676">
            <v>11.1</v>
          </cell>
        </row>
        <row r="3677">
          <cell r="A3677">
            <v>204172</v>
          </cell>
          <cell r="B3677">
            <v>11.1</v>
          </cell>
        </row>
        <row r="3678">
          <cell r="A3678">
            <v>204172</v>
          </cell>
          <cell r="B3678">
            <v>14.7</v>
          </cell>
        </row>
        <row r="3679">
          <cell r="A3679">
            <v>204272</v>
          </cell>
          <cell r="B3679">
            <v>14.7</v>
          </cell>
        </row>
        <row r="3680">
          <cell r="A3680">
            <v>204272</v>
          </cell>
          <cell r="B3680">
            <v>13.1</v>
          </cell>
        </row>
        <row r="3681">
          <cell r="A3681">
            <v>204372</v>
          </cell>
          <cell r="B3681">
            <v>13.1</v>
          </cell>
        </row>
        <row r="3682">
          <cell r="A3682">
            <v>204372</v>
          </cell>
          <cell r="B3682">
            <v>16.899999999999999</v>
          </cell>
        </row>
        <row r="3683">
          <cell r="A3683">
            <v>204472</v>
          </cell>
          <cell r="B3683">
            <v>16.899999999999999</v>
          </cell>
        </row>
        <row r="3684">
          <cell r="A3684">
            <v>204472</v>
          </cell>
          <cell r="B3684">
            <v>13.4</v>
          </cell>
        </row>
        <row r="3685">
          <cell r="A3685">
            <v>204572</v>
          </cell>
          <cell r="B3685">
            <v>13.4</v>
          </cell>
        </row>
        <row r="3686">
          <cell r="A3686">
            <v>204572</v>
          </cell>
          <cell r="B3686">
            <v>9.3000000000000007</v>
          </cell>
        </row>
        <row r="3687">
          <cell r="A3687">
            <v>204672</v>
          </cell>
          <cell r="B3687">
            <v>9.3000000000000007</v>
          </cell>
        </row>
        <row r="3688">
          <cell r="A3688">
            <v>204672</v>
          </cell>
          <cell r="B3688">
            <v>18.8</v>
          </cell>
        </row>
        <row r="3689">
          <cell r="A3689">
            <v>204772</v>
          </cell>
          <cell r="B3689">
            <v>18.8</v>
          </cell>
        </row>
        <row r="3690">
          <cell r="A3690">
            <v>204772</v>
          </cell>
          <cell r="B3690">
            <v>19</v>
          </cell>
        </row>
        <row r="3691">
          <cell r="A3691">
            <v>204872</v>
          </cell>
          <cell r="B3691">
            <v>19</v>
          </cell>
        </row>
        <row r="3692">
          <cell r="A3692">
            <v>204872</v>
          </cell>
          <cell r="B3692">
            <v>13.1</v>
          </cell>
        </row>
        <row r="3693">
          <cell r="A3693">
            <v>204972</v>
          </cell>
          <cell r="B3693">
            <v>13.1</v>
          </cell>
        </row>
        <row r="3694">
          <cell r="A3694">
            <v>204972</v>
          </cell>
          <cell r="B3694">
            <v>14</v>
          </cell>
        </row>
        <row r="3695">
          <cell r="A3695">
            <v>205076</v>
          </cell>
          <cell r="B3695">
            <v>14</v>
          </cell>
        </row>
        <row r="3696">
          <cell r="A3696">
            <v>205076</v>
          </cell>
          <cell r="B3696">
            <v>14.4</v>
          </cell>
        </row>
        <row r="3697">
          <cell r="A3697">
            <v>205176</v>
          </cell>
          <cell r="B3697">
            <v>14.4</v>
          </cell>
        </row>
        <row r="3698">
          <cell r="A3698">
            <v>205176</v>
          </cell>
          <cell r="B3698">
            <v>17.8</v>
          </cell>
        </row>
        <row r="3699">
          <cell r="A3699">
            <v>205276</v>
          </cell>
          <cell r="B3699">
            <v>17.8</v>
          </cell>
        </row>
        <row r="3700">
          <cell r="A3700">
            <v>205276</v>
          </cell>
          <cell r="B3700">
            <v>16.3</v>
          </cell>
        </row>
        <row r="3701">
          <cell r="A3701">
            <v>205376</v>
          </cell>
          <cell r="B3701">
            <v>16.3</v>
          </cell>
        </row>
        <row r="3702">
          <cell r="A3702">
            <v>205376</v>
          </cell>
          <cell r="B3702">
            <v>18</v>
          </cell>
        </row>
        <row r="3703">
          <cell r="A3703">
            <v>205476</v>
          </cell>
          <cell r="B3703">
            <v>18</v>
          </cell>
        </row>
        <row r="3704">
          <cell r="A3704">
            <v>205476</v>
          </cell>
          <cell r="B3704">
            <v>17.2</v>
          </cell>
        </row>
        <row r="3705">
          <cell r="A3705">
            <v>205576</v>
          </cell>
          <cell r="B3705">
            <v>17.2</v>
          </cell>
        </row>
        <row r="3706">
          <cell r="A3706">
            <v>205576</v>
          </cell>
          <cell r="B3706">
            <v>14.8</v>
          </cell>
        </row>
        <row r="3707">
          <cell r="A3707">
            <v>205676</v>
          </cell>
          <cell r="B3707">
            <v>14.8</v>
          </cell>
        </row>
        <row r="3708">
          <cell r="A3708">
            <v>205676</v>
          </cell>
          <cell r="B3708">
            <v>17.899999999999999</v>
          </cell>
        </row>
        <row r="3709">
          <cell r="A3709">
            <v>205776</v>
          </cell>
          <cell r="B3709">
            <v>17.899999999999999</v>
          </cell>
        </row>
        <row r="3710">
          <cell r="A3710">
            <v>205776</v>
          </cell>
          <cell r="B3710">
            <v>14.2</v>
          </cell>
        </row>
        <row r="3711">
          <cell r="A3711">
            <v>205876</v>
          </cell>
          <cell r="B3711">
            <v>14.2</v>
          </cell>
        </row>
        <row r="3712">
          <cell r="A3712">
            <v>205876</v>
          </cell>
          <cell r="B3712">
            <v>12.3</v>
          </cell>
        </row>
        <row r="3713">
          <cell r="A3713">
            <v>205976</v>
          </cell>
          <cell r="B3713">
            <v>12.3</v>
          </cell>
        </row>
        <row r="3714">
          <cell r="A3714">
            <v>205976</v>
          </cell>
          <cell r="B3714">
            <v>14.3</v>
          </cell>
        </row>
        <row r="3715">
          <cell r="A3715">
            <v>206091</v>
          </cell>
          <cell r="B3715">
            <v>14.3</v>
          </cell>
        </row>
        <row r="3716">
          <cell r="A3716">
            <v>206091</v>
          </cell>
          <cell r="B3716">
            <v>15.3</v>
          </cell>
        </row>
        <row r="3717">
          <cell r="A3717">
            <v>206191</v>
          </cell>
          <cell r="B3717">
            <v>15.3</v>
          </cell>
        </row>
        <row r="3718">
          <cell r="A3718">
            <v>206191</v>
          </cell>
          <cell r="B3718">
            <v>14.7</v>
          </cell>
        </row>
        <row r="3719">
          <cell r="A3719">
            <v>206250</v>
          </cell>
          <cell r="B3719">
            <v>14.7</v>
          </cell>
        </row>
        <row r="3720">
          <cell r="A3720">
            <v>206250</v>
          </cell>
          <cell r="B3720">
            <v>11.3</v>
          </cell>
        </row>
        <row r="3721">
          <cell r="A3721">
            <v>206350</v>
          </cell>
          <cell r="B3721">
            <v>11.3</v>
          </cell>
        </row>
        <row r="3722">
          <cell r="A3722">
            <v>206350</v>
          </cell>
          <cell r="B3722">
            <v>8.5</v>
          </cell>
        </row>
        <row r="3723">
          <cell r="A3723">
            <v>206450</v>
          </cell>
          <cell r="B3723">
            <v>8.5</v>
          </cell>
        </row>
        <row r="3724">
          <cell r="A3724">
            <v>206450</v>
          </cell>
          <cell r="B3724">
            <v>9.1999999999999993</v>
          </cell>
        </row>
        <row r="3725">
          <cell r="A3725">
            <v>206550</v>
          </cell>
          <cell r="B3725">
            <v>9.1999999999999993</v>
          </cell>
        </row>
        <row r="3726">
          <cell r="A3726">
            <v>206550</v>
          </cell>
          <cell r="B3726">
            <v>9.4</v>
          </cell>
        </row>
        <row r="3727">
          <cell r="A3727">
            <v>206650</v>
          </cell>
          <cell r="B3727">
            <v>9.4</v>
          </cell>
        </row>
        <row r="3728">
          <cell r="A3728">
            <v>206650</v>
          </cell>
          <cell r="B3728">
            <v>10.6</v>
          </cell>
        </row>
        <row r="3729">
          <cell r="A3729">
            <v>206750</v>
          </cell>
          <cell r="B3729">
            <v>10.6</v>
          </cell>
        </row>
        <row r="3730">
          <cell r="A3730">
            <v>206750</v>
          </cell>
          <cell r="B3730">
            <v>8.9</v>
          </cell>
        </row>
        <row r="3731">
          <cell r="A3731">
            <v>206850</v>
          </cell>
          <cell r="B3731">
            <v>8.9</v>
          </cell>
        </row>
        <row r="3732">
          <cell r="A3732">
            <v>206850</v>
          </cell>
          <cell r="B3732">
            <v>8.3000000000000007</v>
          </cell>
        </row>
        <row r="3733">
          <cell r="A3733">
            <v>206950</v>
          </cell>
          <cell r="B3733">
            <v>8.3000000000000007</v>
          </cell>
        </row>
        <row r="3734">
          <cell r="A3734">
            <v>206950</v>
          </cell>
          <cell r="B3734">
            <v>9.9</v>
          </cell>
        </row>
        <row r="3735">
          <cell r="A3735">
            <v>207038</v>
          </cell>
          <cell r="B3735">
            <v>9.9</v>
          </cell>
        </row>
        <row r="3736">
          <cell r="A3736">
            <v>207038</v>
          </cell>
          <cell r="B3736">
            <v>11.1</v>
          </cell>
        </row>
        <row r="3737">
          <cell r="A3737">
            <v>207138</v>
          </cell>
          <cell r="B3737">
            <v>11.1</v>
          </cell>
        </row>
        <row r="3738">
          <cell r="A3738">
            <v>207138</v>
          </cell>
          <cell r="B3738">
            <v>13.8</v>
          </cell>
        </row>
        <row r="3739">
          <cell r="A3739">
            <v>207238</v>
          </cell>
          <cell r="B3739">
            <v>13.8</v>
          </cell>
        </row>
        <row r="3740">
          <cell r="A3740">
            <v>207238</v>
          </cell>
          <cell r="B3740">
            <v>11.3</v>
          </cell>
        </row>
        <row r="3741">
          <cell r="A3741">
            <v>207338</v>
          </cell>
          <cell r="B3741">
            <v>11.3</v>
          </cell>
        </row>
        <row r="3742">
          <cell r="A3742">
            <v>207338</v>
          </cell>
          <cell r="B3742">
            <v>7.7</v>
          </cell>
        </row>
        <row r="3743">
          <cell r="A3743">
            <v>207438</v>
          </cell>
          <cell r="B3743">
            <v>7.7</v>
          </cell>
        </row>
        <row r="3744">
          <cell r="A3744">
            <v>207438</v>
          </cell>
          <cell r="B3744">
            <v>10.5</v>
          </cell>
        </row>
        <row r="3745">
          <cell r="A3745">
            <v>207538</v>
          </cell>
          <cell r="B3745">
            <v>10.5</v>
          </cell>
        </row>
        <row r="3746">
          <cell r="A3746">
            <v>207538</v>
          </cell>
          <cell r="B3746">
            <v>9.1</v>
          </cell>
        </row>
        <row r="3747">
          <cell r="A3747">
            <v>207638</v>
          </cell>
          <cell r="B3747">
            <v>9.1</v>
          </cell>
        </row>
        <row r="3748">
          <cell r="A3748">
            <v>207638</v>
          </cell>
          <cell r="B3748">
            <v>11.5</v>
          </cell>
        </row>
        <row r="3749">
          <cell r="A3749">
            <v>207738</v>
          </cell>
          <cell r="B3749">
            <v>11.5</v>
          </cell>
        </row>
        <row r="3750">
          <cell r="A3750">
            <v>207738</v>
          </cell>
          <cell r="B3750">
            <v>11.9</v>
          </cell>
        </row>
        <row r="3751">
          <cell r="A3751">
            <v>207838</v>
          </cell>
          <cell r="B3751">
            <v>11.9</v>
          </cell>
        </row>
        <row r="3752">
          <cell r="A3752">
            <v>207838</v>
          </cell>
          <cell r="B3752">
            <v>14.3</v>
          </cell>
        </row>
        <row r="3753">
          <cell r="A3753">
            <v>207938</v>
          </cell>
          <cell r="B3753">
            <v>14.3</v>
          </cell>
        </row>
        <row r="3754">
          <cell r="A3754">
            <v>207938</v>
          </cell>
          <cell r="B3754">
            <v>11</v>
          </cell>
        </row>
        <row r="3755">
          <cell r="A3755">
            <v>208038</v>
          </cell>
          <cell r="B3755">
            <v>11</v>
          </cell>
        </row>
        <row r="3756">
          <cell r="A3756">
            <v>208038</v>
          </cell>
          <cell r="B3756">
            <v>13.8</v>
          </cell>
        </row>
        <row r="3757">
          <cell r="A3757">
            <v>208138</v>
          </cell>
          <cell r="B3757">
            <v>13.8</v>
          </cell>
        </row>
        <row r="3758">
          <cell r="A3758">
            <v>208138</v>
          </cell>
          <cell r="B3758">
            <v>18.899999999999999</v>
          </cell>
        </row>
        <row r="3759">
          <cell r="A3759">
            <v>208238</v>
          </cell>
          <cell r="B3759">
            <v>18.899999999999999</v>
          </cell>
        </row>
        <row r="3760">
          <cell r="A3760">
            <v>208238</v>
          </cell>
          <cell r="B3760">
            <v>18.7</v>
          </cell>
        </row>
        <row r="3761">
          <cell r="A3761">
            <v>208338</v>
          </cell>
          <cell r="B3761">
            <v>18.7</v>
          </cell>
        </row>
        <row r="3762">
          <cell r="A3762">
            <v>208338</v>
          </cell>
          <cell r="B3762">
            <v>12.8</v>
          </cell>
        </row>
        <row r="3763">
          <cell r="A3763">
            <v>208438</v>
          </cell>
          <cell r="B3763">
            <v>12.8</v>
          </cell>
        </row>
        <row r="3764">
          <cell r="A3764">
            <v>208438</v>
          </cell>
          <cell r="B3764">
            <v>14</v>
          </cell>
        </row>
        <row r="3765">
          <cell r="A3765">
            <v>208538</v>
          </cell>
          <cell r="B3765">
            <v>14</v>
          </cell>
        </row>
        <row r="3766">
          <cell r="A3766">
            <v>208538</v>
          </cell>
          <cell r="B3766">
            <v>13.2</v>
          </cell>
        </row>
        <row r="3767">
          <cell r="A3767">
            <v>208638</v>
          </cell>
          <cell r="B3767">
            <v>13.2</v>
          </cell>
        </row>
        <row r="3768">
          <cell r="A3768">
            <v>208638</v>
          </cell>
          <cell r="B3768">
            <v>13.8</v>
          </cell>
        </row>
        <row r="3769">
          <cell r="A3769">
            <v>208738</v>
          </cell>
          <cell r="B3769">
            <v>13.8</v>
          </cell>
        </row>
        <row r="3770">
          <cell r="A3770">
            <v>208738</v>
          </cell>
          <cell r="B3770">
            <v>12.9</v>
          </cell>
        </row>
        <row r="3771">
          <cell r="A3771">
            <v>208838</v>
          </cell>
          <cell r="B3771">
            <v>12.9</v>
          </cell>
        </row>
        <row r="3772">
          <cell r="A3772">
            <v>208838</v>
          </cell>
          <cell r="B3772">
            <v>13.5</v>
          </cell>
        </row>
        <row r="3773">
          <cell r="A3773">
            <v>208938</v>
          </cell>
          <cell r="B3773">
            <v>13.5</v>
          </cell>
        </row>
        <row r="3774">
          <cell r="A3774">
            <v>208938</v>
          </cell>
          <cell r="B3774">
            <v>10.6</v>
          </cell>
        </row>
        <row r="3775">
          <cell r="A3775">
            <v>209059</v>
          </cell>
          <cell r="B3775">
            <v>10.6</v>
          </cell>
        </row>
        <row r="3776">
          <cell r="A3776">
            <v>209059</v>
          </cell>
          <cell r="B3776">
            <v>10.199999999999999</v>
          </cell>
        </row>
        <row r="3777">
          <cell r="A3777">
            <v>209159</v>
          </cell>
          <cell r="B3777">
            <v>10.199999999999999</v>
          </cell>
        </row>
        <row r="3778">
          <cell r="A3778">
            <v>209159</v>
          </cell>
          <cell r="B3778">
            <v>8.9</v>
          </cell>
        </row>
        <row r="3779">
          <cell r="A3779">
            <v>209259</v>
          </cell>
          <cell r="B3779">
            <v>8.9</v>
          </cell>
        </row>
        <row r="3780">
          <cell r="A3780">
            <v>209259</v>
          </cell>
          <cell r="B3780">
            <v>6.5</v>
          </cell>
        </row>
        <row r="3781">
          <cell r="A3781">
            <v>209359</v>
          </cell>
          <cell r="B3781">
            <v>6.5</v>
          </cell>
        </row>
        <row r="3782">
          <cell r="A3782">
            <v>209359</v>
          </cell>
          <cell r="B3782">
            <v>6.2</v>
          </cell>
        </row>
        <row r="3783">
          <cell r="A3783">
            <v>209459</v>
          </cell>
          <cell r="B3783">
            <v>6.2</v>
          </cell>
        </row>
        <row r="3784">
          <cell r="A3784">
            <v>209459</v>
          </cell>
          <cell r="B3784">
            <v>8.1</v>
          </cell>
        </row>
        <row r="3785">
          <cell r="A3785">
            <v>209559</v>
          </cell>
          <cell r="B3785">
            <v>8.1</v>
          </cell>
        </row>
        <row r="3786">
          <cell r="A3786">
            <v>209559</v>
          </cell>
          <cell r="B3786">
            <v>10</v>
          </cell>
        </row>
        <row r="3787">
          <cell r="A3787">
            <v>209630</v>
          </cell>
          <cell r="B3787">
            <v>10</v>
          </cell>
        </row>
        <row r="3788">
          <cell r="A3788">
            <v>209630</v>
          </cell>
          <cell r="B3788">
            <v>9.4</v>
          </cell>
        </row>
        <row r="3789">
          <cell r="A3789">
            <v>209730</v>
          </cell>
          <cell r="B3789">
            <v>9.4</v>
          </cell>
        </row>
        <row r="3790">
          <cell r="A3790">
            <v>209730</v>
          </cell>
          <cell r="B3790">
            <v>7.8</v>
          </cell>
        </row>
        <row r="3791">
          <cell r="A3791">
            <v>209830</v>
          </cell>
          <cell r="B3791">
            <v>7.8</v>
          </cell>
        </row>
        <row r="3792">
          <cell r="A3792">
            <v>209830</v>
          </cell>
          <cell r="B3792">
            <v>9.1</v>
          </cell>
        </row>
        <row r="3793">
          <cell r="A3793">
            <v>209930</v>
          </cell>
          <cell r="B3793">
            <v>9.1</v>
          </cell>
        </row>
        <row r="3794">
          <cell r="A3794">
            <v>209930</v>
          </cell>
          <cell r="B3794">
            <v>8.4</v>
          </cell>
        </row>
        <row r="3795">
          <cell r="A3795">
            <v>210005</v>
          </cell>
          <cell r="B3795">
            <v>8.4</v>
          </cell>
        </row>
        <row r="3796">
          <cell r="A3796">
            <v>210005</v>
          </cell>
          <cell r="B3796">
            <v>6.3</v>
          </cell>
        </row>
        <row r="3797">
          <cell r="A3797">
            <v>210105</v>
          </cell>
          <cell r="B3797">
            <v>6.3</v>
          </cell>
        </row>
        <row r="3798">
          <cell r="A3798">
            <v>210105</v>
          </cell>
          <cell r="B3798">
            <v>6.5</v>
          </cell>
        </row>
        <row r="3799">
          <cell r="A3799">
            <v>210205</v>
          </cell>
          <cell r="B3799">
            <v>6.5</v>
          </cell>
        </row>
        <row r="3800">
          <cell r="A3800">
            <v>210205</v>
          </cell>
          <cell r="B3800">
            <v>4.8</v>
          </cell>
        </row>
        <row r="3801">
          <cell r="A3801">
            <v>210405</v>
          </cell>
          <cell r="B3801">
            <v>4.8</v>
          </cell>
        </row>
        <row r="3802">
          <cell r="A3802">
            <v>210405</v>
          </cell>
          <cell r="B3802">
            <v>3.9</v>
          </cell>
        </row>
        <row r="3803">
          <cell r="A3803">
            <v>210505</v>
          </cell>
          <cell r="B3803">
            <v>3.9</v>
          </cell>
        </row>
        <row r="3804">
          <cell r="A3804">
            <v>210505</v>
          </cell>
          <cell r="B3804">
            <v>4.8</v>
          </cell>
        </row>
        <row r="3805">
          <cell r="A3805">
            <v>210605</v>
          </cell>
          <cell r="B3805">
            <v>4.8</v>
          </cell>
        </row>
        <row r="3806">
          <cell r="A3806">
            <v>210605</v>
          </cell>
          <cell r="B3806">
            <v>4.7</v>
          </cell>
        </row>
        <row r="3807">
          <cell r="A3807">
            <v>210705</v>
          </cell>
          <cell r="B3807">
            <v>4.7</v>
          </cell>
        </row>
        <row r="3808">
          <cell r="A3808">
            <v>210705</v>
          </cell>
          <cell r="B3808">
            <v>4.0999999999999996</v>
          </cell>
        </row>
        <row r="3809">
          <cell r="A3809">
            <v>210805</v>
          </cell>
          <cell r="B3809">
            <v>4.0999999999999996</v>
          </cell>
        </row>
        <row r="3810">
          <cell r="A3810">
            <v>210805</v>
          </cell>
          <cell r="B3810">
            <v>4.7</v>
          </cell>
        </row>
        <row r="3811">
          <cell r="A3811">
            <v>210905</v>
          </cell>
          <cell r="B3811">
            <v>4.7</v>
          </cell>
        </row>
        <row r="3812">
          <cell r="A3812">
            <v>210905</v>
          </cell>
          <cell r="B3812">
            <v>5.5</v>
          </cell>
        </row>
        <row r="3813">
          <cell r="A3813">
            <v>211021</v>
          </cell>
          <cell r="B3813">
            <v>5.5</v>
          </cell>
        </row>
        <row r="3814">
          <cell r="A3814">
            <v>211021</v>
          </cell>
          <cell r="B3814">
            <v>8.5</v>
          </cell>
        </row>
        <row r="3815">
          <cell r="A3815">
            <v>211121</v>
          </cell>
          <cell r="B3815">
            <v>8.5</v>
          </cell>
        </row>
        <row r="3816">
          <cell r="A3816">
            <v>211121</v>
          </cell>
          <cell r="B3816">
            <v>7.2</v>
          </cell>
        </row>
        <row r="3817">
          <cell r="A3817">
            <v>211160</v>
          </cell>
          <cell r="B3817">
            <v>7.2</v>
          </cell>
        </row>
        <row r="3818">
          <cell r="A3818">
            <v>211160</v>
          </cell>
          <cell r="B3818">
            <v>7.6</v>
          </cell>
        </row>
        <row r="3819">
          <cell r="A3819">
            <v>211260</v>
          </cell>
          <cell r="B3819">
            <v>7.6</v>
          </cell>
        </row>
        <row r="3820">
          <cell r="A3820">
            <v>211260</v>
          </cell>
          <cell r="B3820">
            <v>5.4</v>
          </cell>
        </row>
        <row r="3821">
          <cell r="A3821">
            <v>211360</v>
          </cell>
          <cell r="B3821">
            <v>5.4</v>
          </cell>
        </row>
        <row r="3822">
          <cell r="A3822">
            <v>211360</v>
          </cell>
          <cell r="B3822">
            <v>5.5</v>
          </cell>
        </row>
        <row r="3823">
          <cell r="A3823">
            <v>211460</v>
          </cell>
          <cell r="B3823">
            <v>5.5</v>
          </cell>
        </row>
        <row r="3824">
          <cell r="A3824">
            <v>211460</v>
          </cell>
          <cell r="B3824">
            <v>4.8</v>
          </cell>
        </row>
        <row r="3825">
          <cell r="A3825">
            <v>211560</v>
          </cell>
          <cell r="B3825">
            <v>4.8</v>
          </cell>
        </row>
        <row r="3826">
          <cell r="A3826">
            <v>211560</v>
          </cell>
          <cell r="B3826">
            <v>8.1</v>
          </cell>
        </row>
        <row r="3827">
          <cell r="A3827">
            <v>211660</v>
          </cell>
          <cell r="B3827">
            <v>8.1</v>
          </cell>
        </row>
        <row r="3828">
          <cell r="A3828">
            <v>211660</v>
          </cell>
          <cell r="B3828">
            <v>8.3000000000000007</v>
          </cell>
        </row>
        <row r="3829">
          <cell r="A3829">
            <v>211760</v>
          </cell>
          <cell r="B3829">
            <v>8.3000000000000007</v>
          </cell>
        </row>
        <row r="3830">
          <cell r="A3830">
            <v>211760</v>
          </cell>
          <cell r="B3830">
            <v>6.4</v>
          </cell>
        </row>
        <row r="3831">
          <cell r="A3831">
            <v>211860</v>
          </cell>
          <cell r="B3831">
            <v>6.4</v>
          </cell>
        </row>
        <row r="3832">
          <cell r="A3832">
            <v>211860</v>
          </cell>
          <cell r="B3832">
            <v>8.8000000000000007</v>
          </cell>
        </row>
        <row r="3833">
          <cell r="A3833">
            <v>211960</v>
          </cell>
          <cell r="B3833">
            <v>8.8000000000000007</v>
          </cell>
        </row>
        <row r="3834">
          <cell r="A3834">
            <v>211960</v>
          </cell>
          <cell r="B3834">
            <v>9.3000000000000007</v>
          </cell>
        </row>
        <row r="3835">
          <cell r="A3835">
            <v>212049</v>
          </cell>
          <cell r="B3835">
            <v>9.3000000000000007</v>
          </cell>
        </row>
        <row r="3836">
          <cell r="A3836">
            <v>212049</v>
          </cell>
          <cell r="B3836">
            <v>7.9</v>
          </cell>
        </row>
        <row r="3837">
          <cell r="A3837">
            <v>212149</v>
          </cell>
          <cell r="B3837">
            <v>7.9</v>
          </cell>
        </row>
        <row r="3838">
          <cell r="A3838">
            <v>212149</v>
          </cell>
          <cell r="B3838">
            <v>7.8</v>
          </cell>
        </row>
        <row r="3839">
          <cell r="A3839">
            <v>212249</v>
          </cell>
          <cell r="B3839">
            <v>7.8</v>
          </cell>
        </row>
        <row r="3840">
          <cell r="A3840">
            <v>212249</v>
          </cell>
          <cell r="B3840">
            <v>8.3000000000000007</v>
          </cell>
        </row>
        <row r="3841">
          <cell r="A3841">
            <v>212349</v>
          </cell>
          <cell r="B3841">
            <v>8.3000000000000007</v>
          </cell>
        </row>
        <row r="3842">
          <cell r="A3842">
            <v>212349</v>
          </cell>
          <cell r="B3842">
            <v>7.5</v>
          </cell>
        </row>
        <row r="3843">
          <cell r="A3843">
            <v>212449</v>
          </cell>
          <cell r="B3843">
            <v>7.5</v>
          </cell>
        </row>
        <row r="3844">
          <cell r="A3844">
            <v>212449</v>
          </cell>
          <cell r="B3844">
            <v>4.9000000000000004</v>
          </cell>
        </row>
        <row r="3845">
          <cell r="A3845">
            <v>212549</v>
          </cell>
          <cell r="B3845">
            <v>4.9000000000000004</v>
          </cell>
        </row>
        <row r="3846">
          <cell r="A3846">
            <v>212549</v>
          </cell>
          <cell r="B3846">
            <v>6.5</v>
          </cell>
        </row>
        <row r="3847">
          <cell r="A3847">
            <v>212649</v>
          </cell>
          <cell r="B3847">
            <v>6.5</v>
          </cell>
        </row>
        <row r="3848">
          <cell r="A3848">
            <v>212649</v>
          </cell>
          <cell r="B3848">
            <v>7.7</v>
          </cell>
        </row>
        <row r="3849">
          <cell r="A3849">
            <v>212749</v>
          </cell>
          <cell r="B3849">
            <v>7.7</v>
          </cell>
        </row>
        <row r="3850">
          <cell r="A3850">
            <v>212749</v>
          </cell>
          <cell r="B3850">
            <v>5.9</v>
          </cell>
        </row>
        <row r="3851">
          <cell r="A3851">
            <v>212849</v>
          </cell>
          <cell r="B3851">
            <v>5.9</v>
          </cell>
        </row>
        <row r="3852">
          <cell r="A3852">
            <v>212849</v>
          </cell>
          <cell r="B3852">
            <v>4.7</v>
          </cell>
        </row>
        <row r="3853">
          <cell r="A3853">
            <v>212949</v>
          </cell>
          <cell r="B3853">
            <v>4.7</v>
          </cell>
        </row>
        <row r="3854">
          <cell r="A3854">
            <v>212949</v>
          </cell>
          <cell r="B3854">
            <v>6.4</v>
          </cell>
        </row>
        <row r="3855">
          <cell r="A3855">
            <v>213058</v>
          </cell>
          <cell r="B3855">
            <v>6.4</v>
          </cell>
        </row>
        <row r="3856">
          <cell r="A3856">
            <v>213058</v>
          </cell>
          <cell r="B3856">
            <v>7.7</v>
          </cell>
        </row>
        <row r="3857">
          <cell r="A3857">
            <v>213158</v>
          </cell>
          <cell r="B3857">
            <v>7.7</v>
          </cell>
        </row>
        <row r="3858">
          <cell r="A3858">
            <v>213158</v>
          </cell>
          <cell r="B3858">
            <v>10.4</v>
          </cell>
        </row>
        <row r="3859">
          <cell r="A3859">
            <v>213219</v>
          </cell>
          <cell r="B3859">
            <v>10.4</v>
          </cell>
        </row>
        <row r="3860">
          <cell r="A3860">
            <v>213219</v>
          </cell>
          <cell r="B3860">
            <v>5.9</v>
          </cell>
        </row>
        <row r="3861">
          <cell r="A3861">
            <v>213319</v>
          </cell>
          <cell r="B3861">
            <v>5.9</v>
          </cell>
        </row>
        <row r="3862">
          <cell r="A3862">
            <v>213319</v>
          </cell>
          <cell r="B3862">
            <v>8.4</v>
          </cell>
        </row>
        <row r="3863">
          <cell r="A3863">
            <v>213419</v>
          </cell>
          <cell r="B3863">
            <v>8.4</v>
          </cell>
        </row>
        <row r="3864">
          <cell r="A3864">
            <v>213419</v>
          </cell>
          <cell r="B3864">
            <v>7.8</v>
          </cell>
        </row>
        <row r="3865">
          <cell r="A3865">
            <v>213519</v>
          </cell>
          <cell r="B3865">
            <v>7.8</v>
          </cell>
        </row>
        <row r="3866">
          <cell r="A3866">
            <v>213519</v>
          </cell>
          <cell r="B3866">
            <v>7.9</v>
          </cell>
        </row>
        <row r="3867">
          <cell r="A3867">
            <v>213619</v>
          </cell>
          <cell r="B3867">
            <v>7.9</v>
          </cell>
        </row>
        <row r="3868">
          <cell r="A3868">
            <v>213619</v>
          </cell>
          <cell r="B3868">
            <v>8.1</v>
          </cell>
        </row>
        <row r="3869">
          <cell r="A3869">
            <v>213719</v>
          </cell>
          <cell r="B3869">
            <v>8.1</v>
          </cell>
        </row>
        <row r="3870">
          <cell r="A3870">
            <v>213719</v>
          </cell>
          <cell r="B3870">
            <v>10.9</v>
          </cell>
        </row>
        <row r="3871">
          <cell r="A3871">
            <v>213819</v>
          </cell>
          <cell r="B3871">
            <v>10.9</v>
          </cell>
        </row>
        <row r="3872">
          <cell r="A3872">
            <v>213819</v>
          </cell>
          <cell r="B3872">
            <v>7.5</v>
          </cell>
        </row>
        <row r="3873">
          <cell r="A3873">
            <v>213919</v>
          </cell>
          <cell r="B3873">
            <v>7.5</v>
          </cell>
        </row>
        <row r="3874">
          <cell r="A3874">
            <v>213919</v>
          </cell>
          <cell r="B3874">
            <v>7.7</v>
          </cell>
        </row>
        <row r="3875">
          <cell r="A3875">
            <v>214010</v>
          </cell>
          <cell r="B3875">
            <v>7.7</v>
          </cell>
        </row>
        <row r="3876">
          <cell r="A3876">
            <v>214010</v>
          </cell>
          <cell r="B3876">
            <v>8.9</v>
          </cell>
        </row>
        <row r="3877">
          <cell r="A3877">
            <v>214110</v>
          </cell>
          <cell r="B3877">
            <v>8.9</v>
          </cell>
        </row>
        <row r="3878">
          <cell r="A3878">
            <v>214110</v>
          </cell>
          <cell r="B3878">
            <v>9</v>
          </cell>
        </row>
        <row r="3879">
          <cell r="A3879">
            <v>214210</v>
          </cell>
          <cell r="B3879">
            <v>9</v>
          </cell>
        </row>
        <row r="3880">
          <cell r="A3880">
            <v>214210</v>
          </cell>
          <cell r="B3880">
            <v>5.8</v>
          </cell>
        </row>
        <row r="3881">
          <cell r="A3881">
            <v>214310</v>
          </cell>
          <cell r="B3881">
            <v>5.8</v>
          </cell>
        </row>
        <row r="3882">
          <cell r="A3882">
            <v>214310</v>
          </cell>
          <cell r="B3882">
            <v>7.7</v>
          </cell>
        </row>
        <row r="3883">
          <cell r="A3883">
            <v>214410</v>
          </cell>
          <cell r="B3883">
            <v>7.7</v>
          </cell>
        </row>
        <row r="3884">
          <cell r="A3884">
            <v>214410</v>
          </cell>
          <cell r="B3884">
            <v>8</v>
          </cell>
        </row>
        <row r="3885">
          <cell r="A3885">
            <v>214510</v>
          </cell>
          <cell r="B3885">
            <v>8</v>
          </cell>
        </row>
        <row r="3886">
          <cell r="A3886">
            <v>214510</v>
          </cell>
          <cell r="B3886">
            <v>8.6</v>
          </cell>
        </row>
        <row r="3887">
          <cell r="A3887">
            <v>214610</v>
          </cell>
          <cell r="B3887">
            <v>8.6</v>
          </cell>
        </row>
        <row r="3888">
          <cell r="A3888">
            <v>214610</v>
          </cell>
          <cell r="B3888">
            <v>9.5</v>
          </cell>
        </row>
        <row r="3889">
          <cell r="A3889">
            <v>214710</v>
          </cell>
          <cell r="B3889">
            <v>9.5</v>
          </cell>
        </row>
        <row r="3890">
          <cell r="A3890">
            <v>214710</v>
          </cell>
          <cell r="B3890">
            <v>9</v>
          </cell>
        </row>
        <row r="3891">
          <cell r="A3891">
            <v>214810</v>
          </cell>
          <cell r="B3891">
            <v>9</v>
          </cell>
        </row>
        <row r="3892">
          <cell r="A3892">
            <v>214810</v>
          </cell>
          <cell r="B3892">
            <v>9.3000000000000007</v>
          </cell>
        </row>
        <row r="3893">
          <cell r="A3893">
            <v>214910</v>
          </cell>
          <cell r="B3893">
            <v>9.3000000000000007</v>
          </cell>
        </row>
        <row r="3894">
          <cell r="A3894">
            <v>214910</v>
          </cell>
          <cell r="B3894">
            <v>8.4</v>
          </cell>
        </row>
        <row r="3895">
          <cell r="A3895">
            <v>215010</v>
          </cell>
          <cell r="B3895">
            <v>8.4</v>
          </cell>
        </row>
        <row r="3896">
          <cell r="A3896">
            <v>215010</v>
          </cell>
          <cell r="B3896">
            <v>10.199999999999999</v>
          </cell>
        </row>
        <row r="3897">
          <cell r="A3897">
            <v>215110</v>
          </cell>
          <cell r="B3897">
            <v>10.199999999999999</v>
          </cell>
        </row>
        <row r="3898">
          <cell r="A3898">
            <v>215110</v>
          </cell>
          <cell r="B3898">
            <v>7</v>
          </cell>
        </row>
        <row r="3899">
          <cell r="A3899">
            <v>215210</v>
          </cell>
          <cell r="B3899">
            <v>7</v>
          </cell>
        </row>
        <row r="3900">
          <cell r="A3900">
            <v>215210</v>
          </cell>
          <cell r="B3900">
            <v>8.3000000000000007</v>
          </cell>
        </row>
        <row r="3901">
          <cell r="A3901">
            <v>215310</v>
          </cell>
          <cell r="B3901">
            <v>8.3000000000000007</v>
          </cell>
        </row>
        <row r="3902">
          <cell r="A3902">
            <v>215310</v>
          </cell>
          <cell r="B3902">
            <v>7.7</v>
          </cell>
        </row>
        <row r="3903">
          <cell r="A3903">
            <v>215410</v>
          </cell>
          <cell r="B3903">
            <v>7.7</v>
          </cell>
        </row>
        <row r="3904">
          <cell r="A3904">
            <v>215410</v>
          </cell>
          <cell r="B3904">
            <v>11.8</v>
          </cell>
        </row>
        <row r="3905">
          <cell r="A3905">
            <v>215510</v>
          </cell>
          <cell r="B3905">
            <v>11.8</v>
          </cell>
        </row>
        <row r="3906">
          <cell r="A3906">
            <v>215510</v>
          </cell>
          <cell r="B3906">
            <v>15.8</v>
          </cell>
        </row>
        <row r="3907">
          <cell r="A3907">
            <v>215610</v>
          </cell>
          <cell r="B3907">
            <v>15.8</v>
          </cell>
        </row>
        <row r="3908">
          <cell r="A3908">
            <v>215610</v>
          </cell>
          <cell r="B3908">
            <v>16.600000000000001</v>
          </cell>
        </row>
        <row r="3909">
          <cell r="A3909">
            <v>215710</v>
          </cell>
          <cell r="B3909">
            <v>16.600000000000001</v>
          </cell>
        </row>
        <row r="3910">
          <cell r="A3910">
            <v>215710</v>
          </cell>
          <cell r="B3910">
            <v>12.7</v>
          </cell>
        </row>
        <row r="3911">
          <cell r="A3911">
            <v>215810</v>
          </cell>
          <cell r="B3911">
            <v>12.7</v>
          </cell>
        </row>
        <row r="3912">
          <cell r="A3912">
            <v>215810</v>
          </cell>
          <cell r="B3912">
            <v>8</v>
          </cell>
        </row>
        <row r="3913">
          <cell r="A3913">
            <v>215910</v>
          </cell>
          <cell r="B3913">
            <v>8</v>
          </cell>
        </row>
        <row r="3914">
          <cell r="A3914">
            <v>215910</v>
          </cell>
          <cell r="B3914">
            <v>7.8</v>
          </cell>
        </row>
        <row r="3915">
          <cell r="A3915">
            <v>216030</v>
          </cell>
          <cell r="B3915">
            <v>7.8</v>
          </cell>
        </row>
        <row r="3916">
          <cell r="A3916">
            <v>216030</v>
          </cell>
          <cell r="B3916">
            <v>8.3000000000000007</v>
          </cell>
        </row>
        <row r="3917">
          <cell r="A3917">
            <v>216130</v>
          </cell>
          <cell r="B3917">
            <v>8.3000000000000007</v>
          </cell>
        </row>
        <row r="3918">
          <cell r="A3918">
            <v>216130</v>
          </cell>
          <cell r="B3918">
            <v>7.6</v>
          </cell>
        </row>
        <row r="3919">
          <cell r="A3919">
            <v>216230</v>
          </cell>
          <cell r="B3919">
            <v>7.6</v>
          </cell>
        </row>
        <row r="3920">
          <cell r="A3920">
            <v>216230</v>
          </cell>
          <cell r="B3920">
            <v>7.1</v>
          </cell>
        </row>
        <row r="3921">
          <cell r="A3921">
            <v>216330</v>
          </cell>
          <cell r="B3921">
            <v>7.1</v>
          </cell>
        </row>
        <row r="3922">
          <cell r="A3922">
            <v>216330</v>
          </cell>
          <cell r="B3922">
            <v>8.5</v>
          </cell>
        </row>
        <row r="3923">
          <cell r="A3923">
            <v>216430</v>
          </cell>
          <cell r="B3923">
            <v>8.5</v>
          </cell>
        </row>
        <row r="3924">
          <cell r="A3924">
            <v>216430</v>
          </cell>
          <cell r="B3924">
            <v>5.3</v>
          </cell>
        </row>
        <row r="3925">
          <cell r="A3925">
            <v>216530</v>
          </cell>
          <cell r="B3925">
            <v>5.3</v>
          </cell>
        </row>
        <row r="3926">
          <cell r="A3926">
            <v>216530</v>
          </cell>
          <cell r="B3926">
            <v>5.7</v>
          </cell>
        </row>
        <row r="3927">
          <cell r="A3927">
            <v>216630</v>
          </cell>
          <cell r="B3927">
            <v>5.7</v>
          </cell>
        </row>
        <row r="3928">
          <cell r="A3928">
            <v>216630</v>
          </cell>
          <cell r="B3928">
            <v>7.7</v>
          </cell>
        </row>
        <row r="3929">
          <cell r="A3929">
            <v>216700</v>
          </cell>
          <cell r="B3929">
            <v>7.7</v>
          </cell>
        </row>
        <row r="3930">
          <cell r="A3930">
            <v>216700</v>
          </cell>
          <cell r="B3930">
            <v>5.3</v>
          </cell>
        </row>
        <row r="3931">
          <cell r="A3931">
            <v>216800</v>
          </cell>
          <cell r="B3931">
            <v>5.3</v>
          </cell>
        </row>
        <row r="3932">
          <cell r="A3932">
            <v>216800</v>
          </cell>
          <cell r="B3932">
            <v>6.8</v>
          </cell>
        </row>
        <row r="3933">
          <cell r="A3933">
            <v>216900</v>
          </cell>
          <cell r="B3933">
            <v>6.8</v>
          </cell>
        </row>
        <row r="3934">
          <cell r="A3934">
            <v>216900</v>
          </cell>
          <cell r="B3934">
            <v>8.6</v>
          </cell>
        </row>
        <row r="3935">
          <cell r="A3935">
            <v>217000</v>
          </cell>
          <cell r="B3935">
            <v>8.6</v>
          </cell>
        </row>
        <row r="3936">
          <cell r="A3936">
            <v>217000</v>
          </cell>
          <cell r="B3936">
            <v>8.1</v>
          </cell>
        </row>
        <row r="3937">
          <cell r="A3937">
            <v>217090</v>
          </cell>
          <cell r="B3937">
            <v>8.1</v>
          </cell>
        </row>
        <row r="3938">
          <cell r="A3938">
            <v>217090</v>
          </cell>
          <cell r="B3938">
            <v>5.3</v>
          </cell>
        </row>
        <row r="3939">
          <cell r="A3939">
            <v>217190</v>
          </cell>
          <cell r="B3939">
            <v>5.3</v>
          </cell>
        </row>
        <row r="3940">
          <cell r="A3940">
            <v>217190</v>
          </cell>
          <cell r="B3940">
            <v>9.1</v>
          </cell>
        </row>
        <row r="3941">
          <cell r="A3941">
            <v>217290</v>
          </cell>
          <cell r="B3941">
            <v>9.1</v>
          </cell>
        </row>
        <row r="3942">
          <cell r="A3942">
            <v>217290</v>
          </cell>
          <cell r="B3942">
            <v>10</v>
          </cell>
        </row>
        <row r="3943">
          <cell r="A3943">
            <v>217390</v>
          </cell>
          <cell r="B3943">
            <v>10</v>
          </cell>
        </row>
        <row r="3944">
          <cell r="A3944">
            <v>217390</v>
          </cell>
          <cell r="B3944">
            <v>5.6</v>
          </cell>
        </row>
        <row r="3945">
          <cell r="A3945">
            <v>217490</v>
          </cell>
          <cell r="B3945">
            <v>5.6</v>
          </cell>
        </row>
        <row r="3946">
          <cell r="A3946">
            <v>217490</v>
          </cell>
          <cell r="B3946">
            <v>5.8</v>
          </cell>
        </row>
        <row r="3947">
          <cell r="A3947">
            <v>217590</v>
          </cell>
          <cell r="B3947">
            <v>5.8</v>
          </cell>
        </row>
        <row r="3948">
          <cell r="A3948">
            <v>217590</v>
          </cell>
          <cell r="B3948">
            <v>5.9</v>
          </cell>
        </row>
        <row r="3949">
          <cell r="A3949">
            <v>217690</v>
          </cell>
          <cell r="B3949">
            <v>5.9</v>
          </cell>
        </row>
        <row r="3950">
          <cell r="A3950">
            <v>217690</v>
          </cell>
          <cell r="B3950">
            <v>6</v>
          </cell>
        </row>
        <row r="3951">
          <cell r="A3951">
            <v>217750</v>
          </cell>
          <cell r="B3951">
            <v>6</v>
          </cell>
        </row>
        <row r="3952">
          <cell r="A3952">
            <v>217750</v>
          </cell>
          <cell r="B3952">
            <v>5.6</v>
          </cell>
        </row>
        <row r="3953">
          <cell r="A3953">
            <v>217850</v>
          </cell>
          <cell r="B3953">
            <v>5.6</v>
          </cell>
        </row>
        <row r="3954">
          <cell r="A3954">
            <v>217850</v>
          </cell>
          <cell r="B3954">
            <v>6.8</v>
          </cell>
        </row>
        <row r="3955">
          <cell r="A3955">
            <v>217950</v>
          </cell>
          <cell r="B3955">
            <v>6.8</v>
          </cell>
        </row>
        <row r="3956">
          <cell r="A3956">
            <v>217950</v>
          </cell>
          <cell r="B3956">
            <v>6.6</v>
          </cell>
        </row>
        <row r="3957">
          <cell r="A3957">
            <v>218049</v>
          </cell>
          <cell r="B3957">
            <v>6.6</v>
          </cell>
        </row>
        <row r="3958">
          <cell r="A3958">
            <v>218049</v>
          </cell>
          <cell r="B3958">
            <v>5.8</v>
          </cell>
        </row>
        <row r="3959">
          <cell r="A3959">
            <v>218149</v>
          </cell>
          <cell r="B3959">
            <v>5.8</v>
          </cell>
        </row>
        <row r="3960">
          <cell r="A3960">
            <v>218149</v>
          </cell>
          <cell r="B3960">
            <v>6.5</v>
          </cell>
        </row>
        <row r="3961">
          <cell r="A3961">
            <v>218185</v>
          </cell>
          <cell r="B3961">
            <v>6.5</v>
          </cell>
        </row>
        <row r="3962">
          <cell r="A3962">
            <v>218185</v>
          </cell>
          <cell r="B3962">
            <v>5.6</v>
          </cell>
        </row>
        <row r="3963">
          <cell r="A3963">
            <v>218385</v>
          </cell>
          <cell r="B3963">
            <v>5.6</v>
          </cell>
        </row>
        <row r="3964">
          <cell r="A3964">
            <v>218385</v>
          </cell>
          <cell r="B3964">
            <v>5.7</v>
          </cell>
        </row>
        <row r="3965">
          <cell r="A3965">
            <v>218485</v>
          </cell>
          <cell r="B3965">
            <v>5.7</v>
          </cell>
        </row>
        <row r="3966">
          <cell r="A3966">
            <v>218485</v>
          </cell>
          <cell r="B3966">
            <v>6.1</v>
          </cell>
        </row>
        <row r="3967">
          <cell r="A3967">
            <v>218585</v>
          </cell>
          <cell r="B3967">
            <v>6.1</v>
          </cell>
        </row>
        <row r="3968">
          <cell r="A3968">
            <v>218585</v>
          </cell>
          <cell r="B3968">
            <v>4.4000000000000004</v>
          </cell>
        </row>
        <row r="3969">
          <cell r="A3969">
            <v>218685</v>
          </cell>
          <cell r="B3969">
            <v>4.4000000000000004</v>
          </cell>
        </row>
        <row r="3970">
          <cell r="A3970">
            <v>218685</v>
          </cell>
          <cell r="B3970">
            <v>4.7</v>
          </cell>
        </row>
        <row r="3971">
          <cell r="A3971">
            <v>218785</v>
          </cell>
          <cell r="B3971">
            <v>4.7</v>
          </cell>
        </row>
        <row r="3972">
          <cell r="A3972">
            <v>218785</v>
          </cell>
          <cell r="B3972">
            <v>6.1</v>
          </cell>
        </row>
        <row r="3973">
          <cell r="A3973">
            <v>218885</v>
          </cell>
          <cell r="B3973">
            <v>6.1</v>
          </cell>
        </row>
        <row r="3974">
          <cell r="A3974">
            <v>218885</v>
          </cell>
          <cell r="B3974">
            <v>5.0999999999999996</v>
          </cell>
        </row>
        <row r="3975">
          <cell r="A3975">
            <v>218985</v>
          </cell>
          <cell r="B3975">
            <v>5.0999999999999996</v>
          </cell>
        </row>
        <row r="3976">
          <cell r="A3976">
            <v>218985</v>
          </cell>
          <cell r="B3976">
            <v>4.3</v>
          </cell>
        </row>
        <row r="3977">
          <cell r="A3977">
            <v>219077</v>
          </cell>
          <cell r="B3977">
            <v>4.3</v>
          </cell>
        </row>
        <row r="3978">
          <cell r="A3978">
            <v>219077</v>
          </cell>
          <cell r="B3978">
            <v>3</v>
          </cell>
        </row>
        <row r="3979">
          <cell r="A3979">
            <v>219177</v>
          </cell>
          <cell r="B3979">
            <v>3</v>
          </cell>
        </row>
        <row r="3980">
          <cell r="A3980">
            <v>219177</v>
          </cell>
          <cell r="B3980">
            <v>3.4</v>
          </cell>
        </row>
        <row r="3981">
          <cell r="A3981">
            <v>219277</v>
          </cell>
          <cell r="B3981">
            <v>3.4</v>
          </cell>
        </row>
        <row r="3982">
          <cell r="A3982">
            <v>219277</v>
          </cell>
          <cell r="B3982">
            <v>4.2</v>
          </cell>
        </row>
        <row r="3983">
          <cell r="A3983">
            <v>219377</v>
          </cell>
          <cell r="B3983">
            <v>4.2</v>
          </cell>
        </row>
        <row r="3984">
          <cell r="A3984">
            <v>219377</v>
          </cell>
          <cell r="B3984">
            <v>4.9000000000000004</v>
          </cell>
        </row>
        <row r="3985">
          <cell r="A3985">
            <v>219477</v>
          </cell>
          <cell r="B3985">
            <v>4.9000000000000004</v>
          </cell>
        </row>
        <row r="3986">
          <cell r="A3986">
            <v>219477</v>
          </cell>
          <cell r="B3986">
            <v>5.2</v>
          </cell>
        </row>
        <row r="3987">
          <cell r="A3987">
            <v>219577</v>
          </cell>
          <cell r="B3987">
            <v>5.2</v>
          </cell>
        </row>
        <row r="3988">
          <cell r="A3988">
            <v>219577</v>
          </cell>
          <cell r="B3988">
            <v>4.0999999999999996</v>
          </cell>
        </row>
        <row r="3989">
          <cell r="A3989">
            <v>219677</v>
          </cell>
          <cell r="B3989">
            <v>4.0999999999999996</v>
          </cell>
        </row>
        <row r="3990">
          <cell r="A3990">
            <v>219677</v>
          </cell>
          <cell r="B3990">
            <v>5.5</v>
          </cell>
        </row>
        <row r="3991">
          <cell r="A3991">
            <v>219777</v>
          </cell>
          <cell r="B3991">
            <v>5.5</v>
          </cell>
        </row>
        <row r="3992">
          <cell r="A3992">
            <v>219777</v>
          </cell>
          <cell r="B3992">
            <v>3.8</v>
          </cell>
        </row>
        <row r="3993">
          <cell r="A3993">
            <v>219977</v>
          </cell>
          <cell r="B3993">
            <v>3.8</v>
          </cell>
        </row>
        <row r="3994">
          <cell r="A3994">
            <v>219977</v>
          </cell>
          <cell r="B3994">
            <v>4.9000000000000004</v>
          </cell>
        </row>
        <row r="3995">
          <cell r="A3995">
            <v>220077</v>
          </cell>
          <cell r="B3995">
            <v>4.9000000000000004</v>
          </cell>
        </row>
        <row r="3996">
          <cell r="A3996">
            <v>220077</v>
          </cell>
          <cell r="B3996">
            <v>6</v>
          </cell>
        </row>
        <row r="3997">
          <cell r="A3997">
            <v>220177</v>
          </cell>
          <cell r="B3997">
            <v>6</v>
          </cell>
        </row>
        <row r="3998">
          <cell r="A3998">
            <v>220177</v>
          </cell>
          <cell r="B3998">
            <v>5.4</v>
          </cell>
        </row>
        <row r="3999">
          <cell r="A3999">
            <v>220277</v>
          </cell>
          <cell r="B3999">
            <v>5.4</v>
          </cell>
        </row>
        <row r="4000">
          <cell r="A4000">
            <v>220277</v>
          </cell>
          <cell r="B4000">
            <v>4.8</v>
          </cell>
        </row>
        <row r="4001">
          <cell r="A4001">
            <v>220377</v>
          </cell>
          <cell r="B4001">
            <v>4.8</v>
          </cell>
        </row>
        <row r="4002">
          <cell r="A4002">
            <v>220377</v>
          </cell>
          <cell r="B4002">
            <v>3.1</v>
          </cell>
        </row>
        <row r="4003">
          <cell r="A4003">
            <v>220477</v>
          </cell>
          <cell r="B4003">
            <v>3.1</v>
          </cell>
        </row>
        <row r="4004">
          <cell r="A4004">
            <v>220477</v>
          </cell>
          <cell r="B4004">
            <v>4.5999999999999996</v>
          </cell>
        </row>
        <row r="4005">
          <cell r="A4005">
            <v>220577</v>
          </cell>
          <cell r="B4005">
            <v>4.5999999999999996</v>
          </cell>
        </row>
        <row r="4006">
          <cell r="A4006">
            <v>220577</v>
          </cell>
          <cell r="B4006">
            <v>6.9</v>
          </cell>
        </row>
        <row r="4007">
          <cell r="A4007">
            <v>220677</v>
          </cell>
          <cell r="B4007">
            <v>6.9</v>
          </cell>
        </row>
        <row r="4008">
          <cell r="A4008">
            <v>220677</v>
          </cell>
          <cell r="B4008">
            <v>5.3</v>
          </cell>
        </row>
        <row r="4009">
          <cell r="A4009">
            <v>220777</v>
          </cell>
          <cell r="B4009">
            <v>5.3</v>
          </cell>
        </row>
        <row r="4010">
          <cell r="A4010">
            <v>220777</v>
          </cell>
          <cell r="B4010">
            <v>5.4</v>
          </cell>
        </row>
        <row r="4011">
          <cell r="A4011">
            <v>220877</v>
          </cell>
          <cell r="B4011">
            <v>5.4</v>
          </cell>
        </row>
        <row r="4012">
          <cell r="A4012">
            <v>220877</v>
          </cell>
          <cell r="B4012">
            <v>5.2</v>
          </cell>
        </row>
        <row r="4013">
          <cell r="A4013">
            <v>220977</v>
          </cell>
          <cell r="B4013">
            <v>5.2</v>
          </cell>
        </row>
        <row r="4014">
          <cell r="A4014">
            <v>220977</v>
          </cell>
          <cell r="B4014">
            <v>6.9</v>
          </cell>
        </row>
        <row r="4015">
          <cell r="A4015">
            <v>221087</v>
          </cell>
          <cell r="B4015">
            <v>6.9</v>
          </cell>
        </row>
        <row r="4016">
          <cell r="A4016">
            <v>221087</v>
          </cell>
          <cell r="B4016">
            <v>5.9</v>
          </cell>
        </row>
        <row r="4017">
          <cell r="A4017">
            <v>221187</v>
          </cell>
          <cell r="B4017">
            <v>5.9</v>
          </cell>
        </row>
        <row r="4018">
          <cell r="A4018">
            <v>221187</v>
          </cell>
          <cell r="B4018">
            <v>6.4</v>
          </cell>
        </row>
        <row r="4019">
          <cell r="A4019">
            <v>221287</v>
          </cell>
          <cell r="B4019">
            <v>6.4</v>
          </cell>
        </row>
        <row r="4020">
          <cell r="A4020">
            <v>221287</v>
          </cell>
          <cell r="B4020">
            <v>9.6999999999999993</v>
          </cell>
        </row>
        <row r="4021">
          <cell r="A4021">
            <v>221387</v>
          </cell>
          <cell r="B4021">
            <v>9.6999999999999993</v>
          </cell>
        </row>
        <row r="4022">
          <cell r="A4022">
            <v>221387</v>
          </cell>
          <cell r="B4022">
            <v>12.4</v>
          </cell>
        </row>
        <row r="4023">
          <cell r="A4023">
            <v>221400</v>
          </cell>
          <cell r="B4023">
            <v>12.4</v>
          </cell>
        </row>
        <row r="4024">
          <cell r="A4024">
            <v>221400</v>
          </cell>
          <cell r="B4024">
            <v>10.6</v>
          </cell>
        </row>
        <row r="4025">
          <cell r="A4025">
            <v>221500</v>
          </cell>
          <cell r="B4025">
            <v>10.6</v>
          </cell>
        </row>
        <row r="4026">
          <cell r="A4026">
            <v>221500</v>
          </cell>
          <cell r="B4026">
            <v>8.1</v>
          </cell>
        </row>
        <row r="4027">
          <cell r="A4027">
            <v>221580</v>
          </cell>
          <cell r="B4027">
            <v>8.1</v>
          </cell>
        </row>
        <row r="4028">
          <cell r="A4028">
            <v>221580</v>
          </cell>
          <cell r="B4028">
            <v>8.3000000000000007</v>
          </cell>
        </row>
        <row r="4029">
          <cell r="A4029">
            <v>221780</v>
          </cell>
          <cell r="B4029">
            <v>8.3000000000000007</v>
          </cell>
        </row>
        <row r="4030">
          <cell r="A4030">
            <v>221780</v>
          </cell>
          <cell r="B4030">
            <v>9.5</v>
          </cell>
        </row>
        <row r="4031">
          <cell r="A4031">
            <v>221880</v>
          </cell>
          <cell r="B4031">
            <v>9.5</v>
          </cell>
        </row>
        <row r="4032">
          <cell r="A4032">
            <v>221880</v>
          </cell>
          <cell r="B4032">
            <v>9.3000000000000007</v>
          </cell>
        </row>
        <row r="4033">
          <cell r="A4033">
            <v>221980</v>
          </cell>
          <cell r="B4033">
            <v>9.3000000000000007</v>
          </cell>
        </row>
        <row r="4034">
          <cell r="A4034">
            <v>221980</v>
          </cell>
          <cell r="B4034">
            <v>8.4</v>
          </cell>
        </row>
        <row r="4035">
          <cell r="A4035">
            <v>222080</v>
          </cell>
          <cell r="B4035">
            <v>8.4</v>
          </cell>
        </row>
        <row r="4036">
          <cell r="A4036">
            <v>222080</v>
          </cell>
          <cell r="B4036">
            <v>9.8000000000000007</v>
          </cell>
        </row>
        <row r="4037">
          <cell r="A4037">
            <v>222180</v>
          </cell>
          <cell r="B4037">
            <v>9.8000000000000007</v>
          </cell>
        </row>
        <row r="4038">
          <cell r="A4038">
            <v>222180</v>
          </cell>
          <cell r="B4038">
            <v>10.1</v>
          </cell>
        </row>
        <row r="4039">
          <cell r="A4039">
            <v>222280</v>
          </cell>
          <cell r="B4039">
            <v>10.1</v>
          </cell>
        </row>
        <row r="4040">
          <cell r="A4040">
            <v>222280</v>
          </cell>
          <cell r="B4040">
            <v>8.6999999999999993</v>
          </cell>
        </row>
        <row r="4041">
          <cell r="A4041">
            <v>222380</v>
          </cell>
          <cell r="B4041">
            <v>8.6999999999999993</v>
          </cell>
        </row>
        <row r="4042">
          <cell r="A4042">
            <v>222380</v>
          </cell>
          <cell r="B4042">
            <v>11.9</v>
          </cell>
        </row>
        <row r="4043">
          <cell r="A4043">
            <v>222480</v>
          </cell>
          <cell r="B4043">
            <v>11.9</v>
          </cell>
        </row>
        <row r="4044">
          <cell r="A4044">
            <v>222480</v>
          </cell>
          <cell r="B4044">
            <v>11.1</v>
          </cell>
        </row>
        <row r="4045">
          <cell r="A4045">
            <v>222580</v>
          </cell>
          <cell r="B4045">
            <v>11.1</v>
          </cell>
        </row>
        <row r="4046">
          <cell r="A4046">
            <v>222580</v>
          </cell>
          <cell r="B4046">
            <v>8.6</v>
          </cell>
        </row>
        <row r="4047">
          <cell r="A4047">
            <v>222680</v>
          </cell>
          <cell r="B4047">
            <v>8.6</v>
          </cell>
        </row>
        <row r="4048">
          <cell r="A4048">
            <v>222680</v>
          </cell>
          <cell r="B4048">
            <v>9</v>
          </cell>
        </row>
        <row r="4049">
          <cell r="A4049">
            <v>222780</v>
          </cell>
          <cell r="B4049">
            <v>9</v>
          </cell>
        </row>
        <row r="4050">
          <cell r="A4050">
            <v>222780</v>
          </cell>
          <cell r="B4050">
            <v>6.4</v>
          </cell>
        </row>
        <row r="4051">
          <cell r="A4051">
            <v>222880</v>
          </cell>
          <cell r="B4051">
            <v>6.4</v>
          </cell>
        </row>
        <row r="4052">
          <cell r="A4052">
            <v>222880</v>
          </cell>
          <cell r="B4052">
            <v>7.9</v>
          </cell>
        </row>
        <row r="4053">
          <cell r="A4053">
            <v>222980</v>
          </cell>
          <cell r="B4053">
            <v>7.9</v>
          </cell>
        </row>
        <row r="4054">
          <cell r="A4054">
            <v>222980</v>
          </cell>
          <cell r="B4054">
            <v>6.9</v>
          </cell>
        </row>
        <row r="4055">
          <cell r="A4055">
            <v>223073</v>
          </cell>
          <cell r="B4055">
            <v>6.9</v>
          </cell>
        </row>
        <row r="4056">
          <cell r="A4056">
            <v>223073</v>
          </cell>
          <cell r="B4056">
            <v>5.7</v>
          </cell>
        </row>
        <row r="4057">
          <cell r="A4057">
            <v>223273</v>
          </cell>
          <cell r="B4057">
            <v>5.7</v>
          </cell>
        </row>
        <row r="4058">
          <cell r="A4058">
            <v>223273</v>
          </cell>
          <cell r="B4058">
            <v>6.5</v>
          </cell>
        </row>
        <row r="4059">
          <cell r="A4059">
            <v>223373</v>
          </cell>
          <cell r="B4059">
            <v>6.5</v>
          </cell>
        </row>
        <row r="4060">
          <cell r="A4060">
            <v>223373</v>
          </cell>
          <cell r="B4060">
            <v>7.6</v>
          </cell>
        </row>
        <row r="4061">
          <cell r="A4061">
            <v>223473</v>
          </cell>
          <cell r="B4061">
            <v>7.6</v>
          </cell>
        </row>
        <row r="4062">
          <cell r="A4062">
            <v>223473</v>
          </cell>
          <cell r="B4062">
            <v>8.4</v>
          </cell>
        </row>
        <row r="4063">
          <cell r="A4063">
            <v>223573</v>
          </cell>
          <cell r="B4063">
            <v>8.4</v>
          </cell>
        </row>
        <row r="4064">
          <cell r="A4064">
            <v>223573</v>
          </cell>
          <cell r="B4064">
            <v>10.7</v>
          </cell>
        </row>
        <row r="4065">
          <cell r="A4065">
            <v>223673</v>
          </cell>
          <cell r="B4065">
            <v>10.7</v>
          </cell>
        </row>
        <row r="4066">
          <cell r="A4066">
            <v>223673</v>
          </cell>
          <cell r="B4066">
            <v>9.1</v>
          </cell>
        </row>
        <row r="4067">
          <cell r="A4067">
            <v>223773</v>
          </cell>
          <cell r="B4067">
            <v>9.1</v>
          </cell>
        </row>
        <row r="4068">
          <cell r="A4068">
            <v>223773</v>
          </cell>
          <cell r="B4068">
            <v>8.3000000000000007</v>
          </cell>
        </row>
        <row r="4069">
          <cell r="A4069">
            <v>223873</v>
          </cell>
          <cell r="B4069">
            <v>8.3000000000000007</v>
          </cell>
        </row>
        <row r="4070">
          <cell r="A4070">
            <v>223873</v>
          </cell>
          <cell r="B4070">
            <v>7.2</v>
          </cell>
        </row>
        <row r="4071">
          <cell r="A4071">
            <v>223960</v>
          </cell>
          <cell r="B4071">
            <v>7.2</v>
          </cell>
        </row>
        <row r="4072">
          <cell r="A4072">
            <v>223960</v>
          </cell>
          <cell r="B4072">
            <v>8.4</v>
          </cell>
        </row>
        <row r="4073">
          <cell r="A4073">
            <v>224086</v>
          </cell>
          <cell r="B4073">
            <v>8.4</v>
          </cell>
        </row>
        <row r="4074">
          <cell r="A4074">
            <v>224086</v>
          </cell>
          <cell r="B4074">
            <v>9.8000000000000007</v>
          </cell>
        </row>
        <row r="4075">
          <cell r="A4075">
            <v>224186</v>
          </cell>
          <cell r="B4075">
            <v>9.8000000000000007</v>
          </cell>
        </row>
        <row r="4076">
          <cell r="A4076">
            <v>224186</v>
          </cell>
          <cell r="B4076">
            <v>10.3</v>
          </cell>
        </row>
        <row r="4077">
          <cell r="A4077">
            <v>224286</v>
          </cell>
          <cell r="B4077">
            <v>10.3</v>
          </cell>
        </row>
        <row r="4078">
          <cell r="A4078">
            <v>224286</v>
          </cell>
          <cell r="B4078">
            <v>9.9</v>
          </cell>
        </row>
        <row r="4079">
          <cell r="A4079">
            <v>224386</v>
          </cell>
          <cell r="B4079">
            <v>9.9</v>
          </cell>
        </row>
        <row r="4080">
          <cell r="A4080">
            <v>224386</v>
          </cell>
          <cell r="B4080">
            <v>7.7</v>
          </cell>
        </row>
        <row r="4081">
          <cell r="A4081">
            <v>224486</v>
          </cell>
          <cell r="B4081">
            <v>7.7</v>
          </cell>
        </row>
        <row r="4082">
          <cell r="A4082">
            <v>224486</v>
          </cell>
          <cell r="B4082">
            <v>7.1</v>
          </cell>
        </row>
        <row r="4083">
          <cell r="A4083">
            <v>224586</v>
          </cell>
          <cell r="B4083">
            <v>7.1</v>
          </cell>
        </row>
        <row r="4084">
          <cell r="A4084">
            <v>224586</v>
          </cell>
          <cell r="B4084">
            <v>7.9</v>
          </cell>
        </row>
        <row r="4085">
          <cell r="A4085">
            <v>224686</v>
          </cell>
          <cell r="B4085">
            <v>7.9</v>
          </cell>
        </row>
        <row r="4086">
          <cell r="A4086">
            <v>224686</v>
          </cell>
          <cell r="B4086">
            <v>8.8000000000000007</v>
          </cell>
        </row>
        <row r="4087">
          <cell r="A4087">
            <v>224786</v>
          </cell>
          <cell r="B4087">
            <v>8.8000000000000007</v>
          </cell>
        </row>
        <row r="4088">
          <cell r="A4088">
            <v>224786</v>
          </cell>
          <cell r="B4088">
            <v>9.3000000000000007</v>
          </cell>
        </row>
        <row r="4089">
          <cell r="A4089">
            <v>224886</v>
          </cell>
          <cell r="B4089">
            <v>9.3000000000000007</v>
          </cell>
        </row>
        <row r="4090">
          <cell r="A4090">
            <v>224886</v>
          </cell>
          <cell r="B4090">
            <v>7.9</v>
          </cell>
        </row>
        <row r="4091">
          <cell r="A4091">
            <v>224986</v>
          </cell>
          <cell r="B4091">
            <v>7.9</v>
          </cell>
        </row>
        <row r="4092">
          <cell r="A4092">
            <v>224986</v>
          </cell>
          <cell r="B4092">
            <v>8.9</v>
          </cell>
        </row>
        <row r="4093">
          <cell r="A4093">
            <v>225064</v>
          </cell>
          <cell r="B4093">
            <v>8.9</v>
          </cell>
        </row>
        <row r="4094">
          <cell r="A4094">
            <v>225064</v>
          </cell>
          <cell r="B4094">
            <v>9.4</v>
          </cell>
        </row>
        <row r="4095">
          <cell r="A4095">
            <v>225164</v>
          </cell>
          <cell r="B4095">
            <v>9.4</v>
          </cell>
        </row>
        <row r="4096">
          <cell r="A4096">
            <v>225164</v>
          </cell>
          <cell r="B4096">
            <v>7.3</v>
          </cell>
        </row>
        <row r="4097">
          <cell r="A4097">
            <v>225264</v>
          </cell>
          <cell r="B4097">
            <v>7.3</v>
          </cell>
        </row>
        <row r="4098">
          <cell r="A4098">
            <v>225264</v>
          </cell>
          <cell r="B4098">
            <v>7.9</v>
          </cell>
        </row>
        <row r="4099">
          <cell r="A4099">
            <v>225364</v>
          </cell>
          <cell r="B4099">
            <v>7.9</v>
          </cell>
        </row>
        <row r="4100">
          <cell r="A4100">
            <v>225364</v>
          </cell>
          <cell r="B4100">
            <v>8.1</v>
          </cell>
        </row>
        <row r="4101">
          <cell r="A4101">
            <v>225464</v>
          </cell>
          <cell r="B4101">
            <v>8.1</v>
          </cell>
        </row>
        <row r="4102">
          <cell r="A4102">
            <v>225464</v>
          </cell>
          <cell r="B4102">
            <v>9.1</v>
          </cell>
        </row>
        <row r="4103">
          <cell r="A4103">
            <v>225664</v>
          </cell>
          <cell r="B4103">
            <v>9.1</v>
          </cell>
        </row>
        <row r="4104">
          <cell r="A4104">
            <v>225664</v>
          </cell>
          <cell r="B4104">
            <v>8.5</v>
          </cell>
        </row>
        <row r="4105">
          <cell r="A4105">
            <v>225764</v>
          </cell>
          <cell r="B4105">
            <v>8.5</v>
          </cell>
        </row>
        <row r="4106">
          <cell r="A4106">
            <v>225764</v>
          </cell>
          <cell r="B4106">
            <v>9.5</v>
          </cell>
        </row>
        <row r="4107">
          <cell r="A4107">
            <v>225864</v>
          </cell>
          <cell r="B4107">
            <v>9.5</v>
          </cell>
        </row>
        <row r="4108">
          <cell r="A4108">
            <v>225864</v>
          </cell>
          <cell r="B4108">
            <v>13.3</v>
          </cell>
        </row>
        <row r="4109">
          <cell r="A4109">
            <v>225964</v>
          </cell>
          <cell r="B4109">
            <v>13.3</v>
          </cell>
        </row>
        <row r="4110">
          <cell r="A4110">
            <v>225964</v>
          </cell>
          <cell r="B4110">
            <v>7.9</v>
          </cell>
        </row>
        <row r="4111">
          <cell r="A4111">
            <v>226064</v>
          </cell>
          <cell r="B4111">
            <v>7.9</v>
          </cell>
        </row>
        <row r="4112">
          <cell r="A4112">
            <v>226064</v>
          </cell>
          <cell r="B4112">
            <v>12.9</v>
          </cell>
        </row>
        <row r="4113">
          <cell r="A4113">
            <v>226164</v>
          </cell>
          <cell r="B4113">
            <v>12.9</v>
          </cell>
        </row>
        <row r="4114">
          <cell r="A4114">
            <v>226164</v>
          </cell>
          <cell r="B4114">
            <v>17</v>
          </cell>
        </row>
        <row r="4115">
          <cell r="A4115">
            <v>226264</v>
          </cell>
          <cell r="B4115">
            <v>17</v>
          </cell>
        </row>
        <row r="4116">
          <cell r="A4116">
            <v>226264</v>
          </cell>
          <cell r="B4116">
            <v>17.399999999999999</v>
          </cell>
        </row>
        <row r="4117">
          <cell r="A4117">
            <v>226364</v>
          </cell>
          <cell r="B4117">
            <v>17.399999999999999</v>
          </cell>
        </row>
        <row r="4118">
          <cell r="A4118">
            <v>226364</v>
          </cell>
          <cell r="B4118">
            <v>13.5</v>
          </cell>
        </row>
        <row r="4119">
          <cell r="A4119">
            <v>226464</v>
          </cell>
          <cell r="B4119">
            <v>13.5</v>
          </cell>
        </row>
        <row r="4120">
          <cell r="A4120">
            <v>226464</v>
          </cell>
          <cell r="B4120">
            <v>9.3000000000000007</v>
          </cell>
        </row>
        <row r="4121">
          <cell r="A4121">
            <v>226564</v>
          </cell>
          <cell r="B4121">
            <v>9.3000000000000007</v>
          </cell>
        </row>
        <row r="4122">
          <cell r="A4122">
            <v>226564</v>
          </cell>
          <cell r="B4122">
            <v>6.2</v>
          </cell>
        </row>
        <row r="4123">
          <cell r="A4123">
            <v>226664</v>
          </cell>
          <cell r="B4123">
            <v>6.2</v>
          </cell>
        </row>
        <row r="4124">
          <cell r="A4124">
            <v>226664</v>
          </cell>
          <cell r="B4124">
            <v>5.0999999999999996</v>
          </cell>
        </row>
        <row r="4125">
          <cell r="A4125">
            <v>226764</v>
          </cell>
          <cell r="B4125">
            <v>5.0999999999999996</v>
          </cell>
        </row>
        <row r="4126">
          <cell r="A4126">
            <v>226764</v>
          </cell>
          <cell r="B4126">
            <v>8</v>
          </cell>
        </row>
        <row r="4127">
          <cell r="A4127">
            <v>226864</v>
          </cell>
          <cell r="B4127">
            <v>8</v>
          </cell>
        </row>
        <row r="4128">
          <cell r="A4128">
            <v>226864</v>
          </cell>
          <cell r="B4128">
            <v>8.9</v>
          </cell>
        </row>
        <row r="4129">
          <cell r="A4129">
            <v>226964</v>
          </cell>
          <cell r="B4129">
            <v>8.9</v>
          </cell>
        </row>
        <row r="4130">
          <cell r="A4130">
            <v>226964</v>
          </cell>
          <cell r="B4130">
            <v>11.2</v>
          </cell>
        </row>
        <row r="4131">
          <cell r="A4131">
            <v>227059</v>
          </cell>
          <cell r="B4131">
            <v>11.2</v>
          </cell>
        </row>
        <row r="4132">
          <cell r="A4132">
            <v>227059</v>
          </cell>
          <cell r="B4132">
            <v>10.6</v>
          </cell>
        </row>
        <row r="4133">
          <cell r="A4133">
            <v>227159</v>
          </cell>
          <cell r="B4133">
            <v>10.6</v>
          </cell>
        </row>
        <row r="4134">
          <cell r="A4134">
            <v>227159</v>
          </cell>
          <cell r="B4134">
            <v>13</v>
          </cell>
        </row>
        <row r="4135">
          <cell r="A4135">
            <v>227259</v>
          </cell>
          <cell r="B4135">
            <v>13</v>
          </cell>
        </row>
        <row r="4136">
          <cell r="A4136">
            <v>227259</v>
          </cell>
          <cell r="B4136">
            <v>9.3000000000000007</v>
          </cell>
        </row>
        <row r="4137">
          <cell r="A4137">
            <v>227359</v>
          </cell>
          <cell r="B4137">
            <v>9.3000000000000007</v>
          </cell>
        </row>
        <row r="4138">
          <cell r="A4138">
            <v>227359</v>
          </cell>
          <cell r="B4138">
            <v>11</v>
          </cell>
        </row>
        <row r="4139">
          <cell r="A4139">
            <v>227459</v>
          </cell>
          <cell r="B4139">
            <v>11</v>
          </cell>
        </row>
        <row r="4140">
          <cell r="A4140">
            <v>227459</v>
          </cell>
          <cell r="B4140">
            <v>10.5</v>
          </cell>
        </row>
        <row r="4141">
          <cell r="A4141">
            <v>227559</v>
          </cell>
          <cell r="B4141">
            <v>10.5</v>
          </cell>
        </row>
        <row r="4142">
          <cell r="A4142">
            <v>227559</v>
          </cell>
          <cell r="B4142">
            <v>12.4</v>
          </cell>
        </row>
        <row r="4143">
          <cell r="A4143">
            <v>227659</v>
          </cell>
          <cell r="B4143">
            <v>12.4</v>
          </cell>
        </row>
        <row r="4144">
          <cell r="A4144">
            <v>227659</v>
          </cell>
          <cell r="B4144">
            <v>13.6</v>
          </cell>
        </row>
        <row r="4145">
          <cell r="A4145">
            <v>227759</v>
          </cell>
          <cell r="B4145">
            <v>13.6</v>
          </cell>
        </row>
        <row r="4146">
          <cell r="A4146">
            <v>227759</v>
          </cell>
          <cell r="B4146">
            <v>17</v>
          </cell>
        </row>
        <row r="4147">
          <cell r="A4147">
            <v>227859</v>
          </cell>
          <cell r="B4147">
            <v>17</v>
          </cell>
        </row>
        <row r="4148">
          <cell r="A4148">
            <v>227859</v>
          </cell>
          <cell r="B4148">
            <v>23.2</v>
          </cell>
        </row>
        <row r="4149">
          <cell r="A4149">
            <v>227865</v>
          </cell>
          <cell r="B4149">
            <v>23.2</v>
          </cell>
        </row>
        <row r="4150">
          <cell r="A4150">
            <v>227865</v>
          </cell>
          <cell r="B4150">
            <v>12</v>
          </cell>
        </row>
        <row r="4151">
          <cell r="A4151">
            <v>227965</v>
          </cell>
          <cell r="B4151">
            <v>12</v>
          </cell>
        </row>
        <row r="4152">
          <cell r="A4152">
            <v>227965</v>
          </cell>
          <cell r="B4152">
            <v>11.8</v>
          </cell>
        </row>
        <row r="4153">
          <cell r="A4153">
            <v>228064</v>
          </cell>
          <cell r="B4153">
            <v>11.8</v>
          </cell>
        </row>
        <row r="4154">
          <cell r="A4154">
            <v>228064</v>
          </cell>
          <cell r="B4154">
            <v>9.1999999999999993</v>
          </cell>
        </row>
        <row r="4155">
          <cell r="A4155">
            <v>228264</v>
          </cell>
          <cell r="B4155">
            <v>9.1999999999999993</v>
          </cell>
        </row>
        <row r="4156">
          <cell r="A4156">
            <v>228264</v>
          </cell>
          <cell r="B4156">
            <v>8.3000000000000007</v>
          </cell>
        </row>
        <row r="4157">
          <cell r="A4157">
            <v>228364</v>
          </cell>
          <cell r="B4157">
            <v>8.3000000000000007</v>
          </cell>
        </row>
        <row r="4158">
          <cell r="A4158">
            <v>228364</v>
          </cell>
          <cell r="B4158">
            <v>11.6</v>
          </cell>
        </row>
        <row r="4159">
          <cell r="A4159">
            <v>228464</v>
          </cell>
          <cell r="B4159">
            <v>11.6</v>
          </cell>
        </row>
        <row r="4160">
          <cell r="A4160">
            <v>228464</v>
          </cell>
          <cell r="B4160">
            <v>12.2</v>
          </cell>
        </row>
        <row r="4161">
          <cell r="A4161">
            <v>228564</v>
          </cell>
          <cell r="B4161">
            <v>12.2</v>
          </cell>
        </row>
        <row r="4162">
          <cell r="A4162">
            <v>228564</v>
          </cell>
          <cell r="B4162">
            <v>10.6</v>
          </cell>
        </row>
        <row r="4163">
          <cell r="A4163">
            <v>228664</v>
          </cell>
          <cell r="B4163">
            <v>10.6</v>
          </cell>
        </row>
        <row r="4164">
          <cell r="A4164">
            <v>228664</v>
          </cell>
          <cell r="B4164">
            <v>9</v>
          </cell>
        </row>
        <row r="4165">
          <cell r="A4165">
            <v>228764</v>
          </cell>
          <cell r="B4165">
            <v>9</v>
          </cell>
        </row>
        <row r="4166">
          <cell r="A4166">
            <v>228764</v>
          </cell>
          <cell r="B4166">
            <v>10.5</v>
          </cell>
        </row>
        <row r="4167">
          <cell r="A4167">
            <v>228864</v>
          </cell>
          <cell r="B4167">
            <v>10.5</v>
          </cell>
        </row>
        <row r="4168">
          <cell r="A4168">
            <v>228864</v>
          </cell>
          <cell r="B4168">
            <v>12</v>
          </cell>
        </row>
        <row r="4169">
          <cell r="A4169">
            <v>228964</v>
          </cell>
          <cell r="B4169">
            <v>12</v>
          </cell>
        </row>
        <row r="4170">
          <cell r="A4170">
            <v>228964</v>
          </cell>
          <cell r="B4170">
            <v>11.5</v>
          </cell>
        </row>
        <row r="4171">
          <cell r="A4171">
            <v>229064</v>
          </cell>
          <cell r="B4171">
            <v>11.5</v>
          </cell>
        </row>
        <row r="4172">
          <cell r="A4172">
            <v>229064</v>
          </cell>
          <cell r="B4172">
            <v>10.8</v>
          </cell>
        </row>
        <row r="4173">
          <cell r="A4173">
            <v>229164</v>
          </cell>
          <cell r="B4173">
            <v>10.8</v>
          </cell>
        </row>
        <row r="4174">
          <cell r="A4174">
            <v>229164</v>
          </cell>
          <cell r="B4174">
            <v>9.8000000000000007</v>
          </cell>
        </row>
        <row r="4175">
          <cell r="A4175">
            <v>229264</v>
          </cell>
          <cell r="B4175">
            <v>9.8000000000000007</v>
          </cell>
        </row>
        <row r="4176">
          <cell r="A4176">
            <v>229264</v>
          </cell>
          <cell r="B4176">
            <v>11</v>
          </cell>
        </row>
        <row r="4177">
          <cell r="A4177">
            <v>229364</v>
          </cell>
          <cell r="B4177">
            <v>11</v>
          </cell>
        </row>
        <row r="4178">
          <cell r="A4178">
            <v>229364</v>
          </cell>
          <cell r="B4178">
            <v>13.2</v>
          </cell>
        </row>
        <row r="4179">
          <cell r="A4179">
            <v>229464</v>
          </cell>
          <cell r="B4179">
            <v>13.2</v>
          </cell>
        </row>
        <row r="4180">
          <cell r="A4180">
            <v>229464</v>
          </cell>
          <cell r="B4180">
            <v>14.1</v>
          </cell>
        </row>
        <row r="4181">
          <cell r="A4181">
            <v>229564</v>
          </cell>
          <cell r="B4181">
            <v>14.1</v>
          </cell>
        </row>
        <row r="4182">
          <cell r="A4182">
            <v>229564</v>
          </cell>
          <cell r="B4182">
            <v>18.3</v>
          </cell>
        </row>
        <row r="4183">
          <cell r="A4183">
            <v>229664</v>
          </cell>
          <cell r="B4183">
            <v>18.3</v>
          </cell>
        </row>
        <row r="4184">
          <cell r="A4184">
            <v>229664</v>
          </cell>
          <cell r="B4184">
            <v>22.2</v>
          </cell>
        </row>
        <row r="4185">
          <cell r="A4185">
            <v>229764</v>
          </cell>
          <cell r="B4185">
            <v>22.2</v>
          </cell>
        </row>
        <row r="4186">
          <cell r="A4186">
            <v>229764</v>
          </cell>
          <cell r="B4186">
            <v>10.5</v>
          </cell>
        </row>
        <row r="4187">
          <cell r="A4187">
            <v>229864</v>
          </cell>
          <cell r="B4187">
            <v>10.5</v>
          </cell>
        </row>
        <row r="4188">
          <cell r="A4188">
            <v>229864</v>
          </cell>
          <cell r="B4188">
            <v>7.6</v>
          </cell>
        </row>
        <row r="4189">
          <cell r="A4189">
            <v>229964</v>
          </cell>
          <cell r="B4189">
            <v>7.6</v>
          </cell>
        </row>
        <row r="4190">
          <cell r="A4190">
            <v>229964</v>
          </cell>
          <cell r="B4190">
            <v>3.8</v>
          </cell>
        </row>
        <row r="4191">
          <cell r="A4191">
            <v>230064</v>
          </cell>
          <cell r="B4191">
            <v>3.8</v>
          </cell>
        </row>
        <row r="4192">
          <cell r="A4192">
            <v>230064</v>
          </cell>
          <cell r="B4192">
            <v>6</v>
          </cell>
        </row>
        <row r="4193">
          <cell r="A4193">
            <v>230164</v>
          </cell>
          <cell r="B4193">
            <v>6</v>
          </cell>
        </row>
        <row r="4194">
          <cell r="A4194">
            <v>230164</v>
          </cell>
          <cell r="B4194">
            <v>6.8</v>
          </cell>
        </row>
        <row r="4195">
          <cell r="A4195">
            <v>230264</v>
          </cell>
          <cell r="B4195">
            <v>6.8</v>
          </cell>
        </row>
        <row r="4196">
          <cell r="A4196">
            <v>230264</v>
          </cell>
          <cell r="B4196">
            <v>11.4</v>
          </cell>
        </row>
        <row r="4197">
          <cell r="A4197">
            <v>230364</v>
          </cell>
          <cell r="B4197">
            <v>11.4</v>
          </cell>
        </row>
        <row r="4198">
          <cell r="A4198">
            <v>230364</v>
          </cell>
          <cell r="B4198">
            <v>9.1</v>
          </cell>
        </row>
        <row r="4199">
          <cell r="A4199">
            <v>230464</v>
          </cell>
          <cell r="B4199">
            <v>9.1</v>
          </cell>
        </row>
        <row r="4200">
          <cell r="A4200">
            <v>230464</v>
          </cell>
          <cell r="B4200">
            <v>6.5</v>
          </cell>
        </row>
        <row r="4201">
          <cell r="A4201">
            <v>230564</v>
          </cell>
          <cell r="B4201">
            <v>6.5</v>
          </cell>
        </row>
        <row r="4202">
          <cell r="A4202">
            <v>230564</v>
          </cell>
          <cell r="B4202">
            <v>6.1</v>
          </cell>
        </row>
        <row r="4203">
          <cell r="A4203">
            <v>230595</v>
          </cell>
          <cell r="B4203">
            <v>6.1</v>
          </cell>
        </row>
        <row r="4204">
          <cell r="A4204">
            <v>230595</v>
          </cell>
          <cell r="B4204">
            <v>6</v>
          </cell>
        </row>
        <row r="4205">
          <cell r="A4205">
            <v>230695</v>
          </cell>
          <cell r="B4205">
            <v>6</v>
          </cell>
        </row>
        <row r="4206">
          <cell r="A4206">
            <v>230695</v>
          </cell>
          <cell r="B4206">
            <v>5.7</v>
          </cell>
        </row>
        <row r="4207">
          <cell r="A4207">
            <v>230795</v>
          </cell>
          <cell r="B4207">
            <v>5.7</v>
          </cell>
        </row>
        <row r="4208">
          <cell r="A4208">
            <v>230795</v>
          </cell>
          <cell r="B4208">
            <v>7.4</v>
          </cell>
        </row>
        <row r="4209">
          <cell r="A4209">
            <v>230895</v>
          </cell>
          <cell r="B4209">
            <v>7.4</v>
          </cell>
        </row>
        <row r="4210">
          <cell r="A4210">
            <v>230895</v>
          </cell>
          <cell r="B4210">
            <v>7.3</v>
          </cell>
        </row>
        <row r="4211">
          <cell r="A4211">
            <v>230995</v>
          </cell>
          <cell r="B4211">
            <v>7.3</v>
          </cell>
        </row>
        <row r="4212">
          <cell r="A4212">
            <v>230995</v>
          </cell>
          <cell r="B4212">
            <v>9</v>
          </cell>
        </row>
        <row r="4213">
          <cell r="A4213">
            <v>231095</v>
          </cell>
          <cell r="B4213">
            <v>9</v>
          </cell>
        </row>
        <row r="4214">
          <cell r="A4214">
            <v>231095</v>
          </cell>
          <cell r="B4214">
            <v>12</v>
          </cell>
        </row>
        <row r="4215">
          <cell r="A4215">
            <v>231195</v>
          </cell>
          <cell r="B4215">
            <v>12</v>
          </cell>
        </row>
        <row r="4216">
          <cell r="A4216">
            <v>231195</v>
          </cell>
          <cell r="B4216">
            <v>8.4</v>
          </cell>
        </row>
        <row r="4217">
          <cell r="A4217">
            <v>231295</v>
          </cell>
          <cell r="B4217">
            <v>8.4</v>
          </cell>
        </row>
        <row r="4218">
          <cell r="A4218">
            <v>231295</v>
          </cell>
          <cell r="B4218">
            <v>6.7</v>
          </cell>
        </row>
        <row r="4219">
          <cell r="A4219">
            <v>231395</v>
          </cell>
          <cell r="B4219">
            <v>6.7</v>
          </cell>
        </row>
        <row r="4220">
          <cell r="A4220">
            <v>231395</v>
          </cell>
          <cell r="B4220">
            <v>8.9</v>
          </cell>
        </row>
        <row r="4221">
          <cell r="A4221">
            <v>231495</v>
          </cell>
          <cell r="B4221">
            <v>8.9</v>
          </cell>
        </row>
        <row r="4222">
          <cell r="A4222">
            <v>231495</v>
          </cell>
          <cell r="B4222">
            <v>10.1</v>
          </cell>
        </row>
        <row r="4223">
          <cell r="A4223">
            <v>231595</v>
          </cell>
          <cell r="B4223">
            <v>10.1</v>
          </cell>
        </row>
        <row r="4224">
          <cell r="A4224">
            <v>231595</v>
          </cell>
          <cell r="B4224">
            <v>9.1999999999999993</v>
          </cell>
        </row>
        <row r="4225">
          <cell r="A4225">
            <v>231795</v>
          </cell>
          <cell r="B4225">
            <v>9.1999999999999993</v>
          </cell>
        </row>
        <row r="4226">
          <cell r="A4226">
            <v>231795</v>
          </cell>
          <cell r="B4226">
            <v>3.1</v>
          </cell>
        </row>
        <row r="4227">
          <cell r="A4227">
            <v>231895</v>
          </cell>
          <cell r="B4227">
            <v>3.1</v>
          </cell>
        </row>
        <row r="4228">
          <cell r="A4228">
            <v>231895</v>
          </cell>
          <cell r="B4228">
            <v>3.5</v>
          </cell>
        </row>
        <row r="4229">
          <cell r="A4229">
            <v>231995</v>
          </cell>
          <cell r="B4229">
            <v>3.5</v>
          </cell>
        </row>
        <row r="4230">
          <cell r="A4230">
            <v>231995</v>
          </cell>
          <cell r="B4230">
            <v>4.2</v>
          </cell>
        </row>
        <row r="4231">
          <cell r="A4231">
            <v>232095</v>
          </cell>
          <cell r="B4231">
            <v>4.2</v>
          </cell>
        </row>
        <row r="4232">
          <cell r="A4232">
            <v>232095</v>
          </cell>
          <cell r="B4232">
            <v>2.7</v>
          </cell>
        </row>
        <row r="4233">
          <cell r="A4233">
            <v>232195</v>
          </cell>
          <cell r="B4233">
            <v>2.7</v>
          </cell>
        </row>
        <row r="4234">
          <cell r="A4234">
            <v>232195</v>
          </cell>
          <cell r="B4234">
            <v>3.4</v>
          </cell>
        </row>
        <row r="4235">
          <cell r="A4235">
            <v>232295</v>
          </cell>
          <cell r="B4235">
            <v>3.4</v>
          </cell>
        </row>
        <row r="4236">
          <cell r="A4236">
            <v>232295</v>
          </cell>
          <cell r="B4236">
            <v>6.8</v>
          </cell>
        </row>
        <row r="4237">
          <cell r="A4237">
            <v>232395</v>
          </cell>
          <cell r="B4237">
            <v>6.8</v>
          </cell>
        </row>
        <row r="4238">
          <cell r="A4238">
            <v>232395</v>
          </cell>
          <cell r="B4238">
            <v>7.2</v>
          </cell>
        </row>
        <row r="4239">
          <cell r="A4239">
            <v>232495</v>
          </cell>
          <cell r="B4239">
            <v>7.2</v>
          </cell>
        </row>
        <row r="4240">
          <cell r="A4240">
            <v>232495</v>
          </cell>
          <cell r="B4240">
            <v>13.7</v>
          </cell>
        </row>
        <row r="4241">
          <cell r="A4241">
            <v>232595</v>
          </cell>
          <cell r="B4241">
            <v>13.7</v>
          </cell>
        </row>
        <row r="4242">
          <cell r="A4242">
            <v>232595</v>
          </cell>
          <cell r="B4242">
            <v>11.8</v>
          </cell>
        </row>
        <row r="4243">
          <cell r="A4243">
            <v>232695</v>
          </cell>
          <cell r="B4243">
            <v>11.8</v>
          </cell>
        </row>
        <row r="4244">
          <cell r="A4244">
            <v>232695</v>
          </cell>
          <cell r="B4244">
            <v>8.5</v>
          </cell>
        </row>
        <row r="4245">
          <cell r="A4245">
            <v>232795</v>
          </cell>
          <cell r="B4245">
            <v>8.5</v>
          </cell>
        </row>
        <row r="4246">
          <cell r="A4246">
            <v>232795</v>
          </cell>
          <cell r="B4246">
            <v>9.6999999999999993</v>
          </cell>
        </row>
        <row r="4247">
          <cell r="A4247">
            <v>232895</v>
          </cell>
          <cell r="B4247">
            <v>9.6999999999999993</v>
          </cell>
        </row>
        <row r="4248">
          <cell r="A4248">
            <v>232895</v>
          </cell>
          <cell r="B4248">
            <v>5.5</v>
          </cell>
        </row>
        <row r="4249">
          <cell r="A4249">
            <v>232995</v>
          </cell>
          <cell r="B4249">
            <v>5.5</v>
          </cell>
        </row>
        <row r="4250">
          <cell r="A4250">
            <v>232995</v>
          </cell>
          <cell r="B4250">
            <v>4</v>
          </cell>
        </row>
        <row r="4251">
          <cell r="A4251">
            <v>233058</v>
          </cell>
          <cell r="B4251">
            <v>4</v>
          </cell>
        </row>
        <row r="4252">
          <cell r="A4252">
            <v>233058</v>
          </cell>
          <cell r="B4252">
            <v>4.9000000000000004</v>
          </cell>
        </row>
        <row r="4253">
          <cell r="A4253">
            <v>233158</v>
          </cell>
          <cell r="B4253">
            <v>4.9000000000000004</v>
          </cell>
        </row>
        <row r="4254">
          <cell r="A4254">
            <v>233158</v>
          </cell>
          <cell r="B4254">
            <v>5.9</v>
          </cell>
        </row>
        <row r="4255">
          <cell r="A4255">
            <v>233241</v>
          </cell>
          <cell r="B4255">
            <v>5.9</v>
          </cell>
        </row>
        <row r="4256">
          <cell r="A4256">
            <v>233241</v>
          </cell>
          <cell r="B4256">
            <v>9.1999999999999993</v>
          </cell>
        </row>
        <row r="4257">
          <cell r="A4257">
            <v>233341</v>
          </cell>
          <cell r="B4257">
            <v>9.1999999999999993</v>
          </cell>
        </row>
        <row r="4258">
          <cell r="A4258">
            <v>233341</v>
          </cell>
          <cell r="B4258">
            <v>4.7</v>
          </cell>
        </row>
        <row r="4259">
          <cell r="A4259">
            <v>233441</v>
          </cell>
          <cell r="B4259">
            <v>4.7</v>
          </cell>
        </row>
        <row r="4260">
          <cell r="A4260">
            <v>233441</v>
          </cell>
          <cell r="B4260">
            <v>4.5</v>
          </cell>
        </row>
        <row r="4261">
          <cell r="A4261">
            <v>233506</v>
          </cell>
          <cell r="B4261">
            <v>4.5</v>
          </cell>
        </row>
        <row r="4262">
          <cell r="A4262">
            <v>233506</v>
          </cell>
          <cell r="B4262">
            <v>5.9</v>
          </cell>
        </row>
        <row r="4263">
          <cell r="A4263">
            <v>233606</v>
          </cell>
          <cell r="B4263">
            <v>5.9</v>
          </cell>
        </row>
        <row r="4264">
          <cell r="A4264">
            <v>233606</v>
          </cell>
          <cell r="B4264">
            <v>8.1999999999999993</v>
          </cell>
        </row>
        <row r="4265">
          <cell r="A4265">
            <v>233706</v>
          </cell>
          <cell r="B4265">
            <v>8.1999999999999993</v>
          </cell>
        </row>
        <row r="4266">
          <cell r="A4266">
            <v>233706</v>
          </cell>
          <cell r="B4266">
            <v>8.9</v>
          </cell>
        </row>
        <row r="4267">
          <cell r="A4267">
            <v>233806</v>
          </cell>
          <cell r="B4267">
            <v>8.9</v>
          </cell>
        </row>
        <row r="4268">
          <cell r="A4268">
            <v>233806</v>
          </cell>
          <cell r="B4268">
            <v>9.1</v>
          </cell>
        </row>
        <row r="4269">
          <cell r="A4269">
            <v>233906</v>
          </cell>
          <cell r="B4269">
            <v>9.1</v>
          </cell>
        </row>
        <row r="4270">
          <cell r="A4270">
            <v>233906</v>
          </cell>
          <cell r="B4270">
            <v>14.5</v>
          </cell>
        </row>
        <row r="4271">
          <cell r="A4271">
            <v>234051</v>
          </cell>
          <cell r="B4271">
            <v>14.5</v>
          </cell>
        </row>
        <row r="4272">
          <cell r="A4272">
            <v>234051</v>
          </cell>
          <cell r="B4272">
            <v>14.7</v>
          </cell>
        </row>
        <row r="4273">
          <cell r="A4273">
            <v>234151</v>
          </cell>
          <cell r="B4273">
            <v>14.7</v>
          </cell>
        </row>
        <row r="4274">
          <cell r="A4274">
            <v>234151</v>
          </cell>
          <cell r="B4274">
            <v>7.9</v>
          </cell>
        </row>
        <row r="4275">
          <cell r="A4275">
            <v>234251</v>
          </cell>
          <cell r="B4275">
            <v>7.9</v>
          </cell>
        </row>
        <row r="4276">
          <cell r="A4276">
            <v>234251</v>
          </cell>
          <cell r="B4276">
            <v>5.9</v>
          </cell>
        </row>
        <row r="4277">
          <cell r="A4277">
            <v>234351</v>
          </cell>
          <cell r="B4277">
            <v>5.9</v>
          </cell>
        </row>
        <row r="4278">
          <cell r="A4278">
            <v>234351</v>
          </cell>
          <cell r="B4278">
            <v>6.1</v>
          </cell>
        </row>
        <row r="4279">
          <cell r="A4279">
            <v>234451</v>
          </cell>
          <cell r="B4279">
            <v>6.1</v>
          </cell>
        </row>
        <row r="4280">
          <cell r="A4280">
            <v>234451</v>
          </cell>
          <cell r="B4280">
            <v>6.6</v>
          </cell>
        </row>
        <row r="4281">
          <cell r="A4281">
            <v>234551</v>
          </cell>
          <cell r="B4281">
            <v>6.6</v>
          </cell>
        </row>
        <row r="4282">
          <cell r="A4282">
            <v>234551</v>
          </cell>
          <cell r="B4282">
            <v>9.6</v>
          </cell>
        </row>
        <row r="4283">
          <cell r="A4283">
            <v>234651</v>
          </cell>
          <cell r="B4283">
            <v>9.6</v>
          </cell>
        </row>
        <row r="4284">
          <cell r="A4284">
            <v>234651</v>
          </cell>
          <cell r="B4284">
            <v>13.7</v>
          </cell>
        </row>
        <row r="4285">
          <cell r="A4285">
            <v>234751</v>
          </cell>
          <cell r="B4285">
            <v>13.7</v>
          </cell>
        </row>
        <row r="4286">
          <cell r="A4286">
            <v>234751</v>
          </cell>
          <cell r="B4286">
            <v>12.4</v>
          </cell>
        </row>
        <row r="4287">
          <cell r="A4287">
            <v>234851</v>
          </cell>
          <cell r="B4287">
            <v>12.4</v>
          </cell>
        </row>
        <row r="4288">
          <cell r="A4288">
            <v>234851</v>
          </cell>
          <cell r="B4288">
            <v>14.4</v>
          </cell>
        </row>
        <row r="4289">
          <cell r="A4289">
            <v>234951</v>
          </cell>
          <cell r="B4289">
            <v>14.4</v>
          </cell>
        </row>
        <row r="4290">
          <cell r="A4290">
            <v>234951</v>
          </cell>
          <cell r="B4290">
            <v>11.2</v>
          </cell>
        </row>
        <row r="4291">
          <cell r="A4291">
            <v>235055</v>
          </cell>
          <cell r="B4291">
            <v>11.2</v>
          </cell>
        </row>
        <row r="4292">
          <cell r="A4292">
            <v>235055</v>
          </cell>
          <cell r="B4292">
            <v>9.1</v>
          </cell>
        </row>
        <row r="4293">
          <cell r="A4293">
            <v>235155</v>
          </cell>
          <cell r="B4293">
            <v>9.1</v>
          </cell>
        </row>
        <row r="4294">
          <cell r="A4294">
            <v>235155</v>
          </cell>
          <cell r="B4294">
            <v>4.4000000000000004</v>
          </cell>
        </row>
        <row r="4295">
          <cell r="A4295">
            <v>235255</v>
          </cell>
          <cell r="B4295">
            <v>4.4000000000000004</v>
          </cell>
        </row>
        <row r="4296">
          <cell r="A4296">
            <v>235255</v>
          </cell>
          <cell r="B4296">
            <v>9.4</v>
          </cell>
        </row>
        <row r="4297">
          <cell r="A4297">
            <v>235355</v>
          </cell>
          <cell r="B4297">
            <v>9.4</v>
          </cell>
        </row>
        <row r="4298">
          <cell r="A4298">
            <v>235355</v>
          </cell>
          <cell r="B4298">
            <v>11.9</v>
          </cell>
        </row>
        <row r="4299">
          <cell r="A4299">
            <v>235455</v>
          </cell>
          <cell r="B4299">
            <v>11.9</v>
          </cell>
        </row>
        <row r="4300">
          <cell r="A4300">
            <v>235455</v>
          </cell>
          <cell r="B4300">
            <v>10.3</v>
          </cell>
        </row>
        <row r="4301">
          <cell r="A4301">
            <v>235555</v>
          </cell>
          <cell r="B4301">
            <v>10.3</v>
          </cell>
        </row>
        <row r="4302">
          <cell r="A4302">
            <v>235555</v>
          </cell>
          <cell r="B4302">
            <v>9.3000000000000007</v>
          </cell>
        </row>
        <row r="4303">
          <cell r="A4303">
            <v>235655</v>
          </cell>
          <cell r="B4303">
            <v>9.3000000000000007</v>
          </cell>
        </row>
        <row r="4304">
          <cell r="A4304">
            <v>235655</v>
          </cell>
          <cell r="B4304">
            <v>7.8</v>
          </cell>
        </row>
        <row r="4305">
          <cell r="A4305">
            <v>235755</v>
          </cell>
          <cell r="B4305">
            <v>7.8</v>
          </cell>
        </row>
        <row r="4306">
          <cell r="A4306">
            <v>235755</v>
          </cell>
          <cell r="B4306">
            <v>8.8000000000000007</v>
          </cell>
        </row>
        <row r="4307">
          <cell r="A4307">
            <v>235855</v>
          </cell>
          <cell r="B4307">
            <v>8.8000000000000007</v>
          </cell>
        </row>
        <row r="4308">
          <cell r="A4308">
            <v>235855</v>
          </cell>
          <cell r="B4308">
            <v>11.2</v>
          </cell>
        </row>
        <row r="4309">
          <cell r="A4309">
            <v>235955</v>
          </cell>
          <cell r="B4309">
            <v>11.2</v>
          </cell>
        </row>
        <row r="4310">
          <cell r="A4310">
            <v>235955</v>
          </cell>
          <cell r="B4310">
            <v>17.600000000000001</v>
          </cell>
        </row>
        <row r="4311">
          <cell r="A4311">
            <v>236055</v>
          </cell>
          <cell r="B4311">
            <v>17.600000000000001</v>
          </cell>
        </row>
        <row r="4312">
          <cell r="A4312">
            <v>236055</v>
          </cell>
          <cell r="B4312">
            <v>12.3</v>
          </cell>
        </row>
        <row r="4313">
          <cell r="A4313">
            <v>236155</v>
          </cell>
          <cell r="B4313">
            <v>12.3</v>
          </cell>
        </row>
        <row r="4314">
          <cell r="A4314">
            <v>236155</v>
          </cell>
          <cell r="B4314">
            <v>11.1</v>
          </cell>
        </row>
        <row r="4315">
          <cell r="A4315">
            <v>236220</v>
          </cell>
          <cell r="B4315">
            <v>11.1</v>
          </cell>
        </row>
        <row r="4316">
          <cell r="A4316">
            <v>236220</v>
          </cell>
          <cell r="B4316">
            <v>18</v>
          </cell>
        </row>
        <row r="4317">
          <cell r="A4317">
            <v>236320</v>
          </cell>
          <cell r="B4317">
            <v>18</v>
          </cell>
        </row>
        <row r="4318">
          <cell r="A4318">
            <v>236320</v>
          </cell>
          <cell r="B4318">
            <v>6.7</v>
          </cell>
        </row>
        <row r="4319">
          <cell r="A4319">
            <v>236420</v>
          </cell>
          <cell r="B4319">
            <v>6.7</v>
          </cell>
        </row>
        <row r="4320">
          <cell r="A4320">
            <v>236420</v>
          </cell>
          <cell r="B4320">
            <v>8.6</v>
          </cell>
        </row>
        <row r="4321">
          <cell r="A4321">
            <v>236520</v>
          </cell>
          <cell r="B4321">
            <v>8.6</v>
          </cell>
        </row>
        <row r="4322">
          <cell r="A4322">
            <v>236520</v>
          </cell>
          <cell r="B4322">
            <v>10</v>
          </cell>
        </row>
        <row r="4323">
          <cell r="A4323">
            <v>236620</v>
          </cell>
          <cell r="B4323">
            <v>10</v>
          </cell>
        </row>
        <row r="4324">
          <cell r="A4324">
            <v>236620</v>
          </cell>
          <cell r="B4324">
            <v>8.6</v>
          </cell>
        </row>
        <row r="4325">
          <cell r="A4325">
            <v>236720</v>
          </cell>
          <cell r="B4325">
            <v>8.6</v>
          </cell>
        </row>
        <row r="4326">
          <cell r="A4326">
            <v>236720</v>
          </cell>
          <cell r="B4326">
            <v>11.7</v>
          </cell>
        </row>
        <row r="4327">
          <cell r="A4327">
            <v>236820</v>
          </cell>
          <cell r="B4327">
            <v>11.7</v>
          </cell>
        </row>
        <row r="4328">
          <cell r="A4328">
            <v>236820</v>
          </cell>
          <cell r="B4328">
            <v>11.1</v>
          </cell>
        </row>
        <row r="4329">
          <cell r="A4329">
            <v>236920</v>
          </cell>
          <cell r="B4329">
            <v>11.1</v>
          </cell>
        </row>
        <row r="4330">
          <cell r="A4330">
            <v>236920</v>
          </cell>
          <cell r="B4330">
            <v>12.1</v>
          </cell>
        </row>
        <row r="4331">
          <cell r="A4331">
            <v>237020</v>
          </cell>
          <cell r="B4331">
            <v>12.1</v>
          </cell>
        </row>
        <row r="4332">
          <cell r="A4332">
            <v>237020</v>
          </cell>
          <cell r="B4332">
            <v>18</v>
          </cell>
        </row>
        <row r="4333">
          <cell r="A4333">
            <v>237120</v>
          </cell>
          <cell r="B4333">
            <v>18</v>
          </cell>
        </row>
        <row r="4334">
          <cell r="A4334">
            <v>237120</v>
          </cell>
          <cell r="B4334">
            <v>16.8</v>
          </cell>
        </row>
        <row r="4335">
          <cell r="A4335">
            <v>237220</v>
          </cell>
          <cell r="B4335">
            <v>16.8</v>
          </cell>
        </row>
        <row r="4336">
          <cell r="A4336">
            <v>237220</v>
          </cell>
          <cell r="B4336">
            <v>19.600000000000001</v>
          </cell>
        </row>
        <row r="4337">
          <cell r="A4337">
            <v>237320</v>
          </cell>
          <cell r="B4337">
            <v>19.600000000000001</v>
          </cell>
        </row>
        <row r="4338">
          <cell r="A4338">
            <v>237320</v>
          </cell>
          <cell r="B4338">
            <v>12.6</v>
          </cell>
        </row>
        <row r="4339">
          <cell r="A4339">
            <v>237420</v>
          </cell>
          <cell r="B4339">
            <v>12.6</v>
          </cell>
        </row>
        <row r="4340">
          <cell r="A4340">
            <v>237420</v>
          </cell>
          <cell r="B4340">
            <v>12.4</v>
          </cell>
        </row>
        <row r="4341">
          <cell r="A4341">
            <v>237520</v>
          </cell>
          <cell r="B4341">
            <v>12.4</v>
          </cell>
        </row>
        <row r="4342">
          <cell r="A4342">
            <v>237520</v>
          </cell>
          <cell r="B4342">
            <v>5.0999999999999996</v>
          </cell>
        </row>
        <row r="4343">
          <cell r="A4343">
            <v>237620</v>
          </cell>
          <cell r="B4343">
            <v>5.0999999999999996</v>
          </cell>
        </row>
        <row r="4344">
          <cell r="A4344">
            <v>237620</v>
          </cell>
          <cell r="B4344">
            <v>9.6999999999999993</v>
          </cell>
        </row>
        <row r="4345">
          <cell r="A4345">
            <v>237720</v>
          </cell>
          <cell r="B4345">
            <v>9.6999999999999993</v>
          </cell>
        </row>
        <row r="4346">
          <cell r="A4346">
            <v>237720</v>
          </cell>
          <cell r="B4346">
            <v>11</v>
          </cell>
        </row>
        <row r="4347">
          <cell r="A4347">
            <v>237820</v>
          </cell>
          <cell r="B4347">
            <v>11</v>
          </cell>
        </row>
        <row r="4348">
          <cell r="A4348">
            <v>237820</v>
          </cell>
          <cell r="B4348">
            <v>10.1</v>
          </cell>
        </row>
        <row r="4349">
          <cell r="A4349">
            <v>237920</v>
          </cell>
          <cell r="B4349">
            <v>10.1</v>
          </cell>
        </row>
        <row r="4350">
          <cell r="A4350">
            <v>237920</v>
          </cell>
          <cell r="B4350">
            <v>8.8000000000000007</v>
          </cell>
        </row>
        <row r="4351">
          <cell r="A4351">
            <v>238020</v>
          </cell>
          <cell r="B4351">
            <v>8.8000000000000007</v>
          </cell>
        </row>
        <row r="4352">
          <cell r="A4352">
            <v>238020</v>
          </cell>
          <cell r="B4352">
            <v>10</v>
          </cell>
        </row>
        <row r="4353">
          <cell r="A4353">
            <v>238061</v>
          </cell>
          <cell r="B4353">
            <v>10</v>
          </cell>
        </row>
        <row r="4354">
          <cell r="A4354">
            <v>238061</v>
          </cell>
          <cell r="B4354">
            <v>7</v>
          </cell>
        </row>
        <row r="4355">
          <cell r="A4355">
            <v>238161</v>
          </cell>
          <cell r="B4355">
            <v>7</v>
          </cell>
        </row>
        <row r="4356">
          <cell r="A4356">
            <v>238161</v>
          </cell>
          <cell r="B4356">
            <v>9.9</v>
          </cell>
        </row>
        <row r="4357">
          <cell r="A4357">
            <v>238261</v>
          </cell>
          <cell r="B4357">
            <v>9.9</v>
          </cell>
        </row>
        <row r="4358">
          <cell r="A4358">
            <v>238261</v>
          </cell>
          <cell r="B4358">
            <v>9.1999999999999993</v>
          </cell>
        </row>
        <row r="4359">
          <cell r="A4359">
            <v>238361</v>
          </cell>
          <cell r="B4359">
            <v>9.1999999999999993</v>
          </cell>
        </row>
        <row r="4360">
          <cell r="A4360">
            <v>238361</v>
          </cell>
          <cell r="B4360">
            <v>11.1</v>
          </cell>
        </row>
        <row r="4361">
          <cell r="A4361">
            <v>238461</v>
          </cell>
          <cell r="B4361">
            <v>11.1</v>
          </cell>
        </row>
        <row r="4362">
          <cell r="A4362">
            <v>238461</v>
          </cell>
          <cell r="B4362">
            <v>4.5999999999999996</v>
          </cell>
        </row>
        <row r="4363">
          <cell r="A4363">
            <v>238661</v>
          </cell>
          <cell r="B4363">
            <v>4.5999999999999996</v>
          </cell>
        </row>
        <row r="4364">
          <cell r="A4364">
            <v>238661</v>
          </cell>
          <cell r="B4364">
            <v>9.8000000000000007</v>
          </cell>
        </row>
        <row r="4365">
          <cell r="A4365">
            <v>238761</v>
          </cell>
          <cell r="B4365">
            <v>9.8000000000000007</v>
          </cell>
        </row>
        <row r="4366">
          <cell r="A4366">
            <v>238761</v>
          </cell>
          <cell r="B4366">
            <v>6.1</v>
          </cell>
        </row>
        <row r="4367">
          <cell r="A4367">
            <v>238861</v>
          </cell>
          <cell r="B4367">
            <v>6.1</v>
          </cell>
        </row>
        <row r="4368">
          <cell r="A4368">
            <v>238861</v>
          </cell>
          <cell r="B4368">
            <v>6</v>
          </cell>
        </row>
        <row r="4369">
          <cell r="A4369">
            <v>238961</v>
          </cell>
          <cell r="B4369">
            <v>6</v>
          </cell>
        </row>
        <row r="4370">
          <cell r="A4370">
            <v>238961</v>
          </cell>
          <cell r="B4370">
            <v>5.7</v>
          </cell>
        </row>
        <row r="4371">
          <cell r="A4371">
            <v>239061</v>
          </cell>
          <cell r="B4371">
            <v>5.7</v>
          </cell>
        </row>
        <row r="4372">
          <cell r="A4372">
            <v>239061</v>
          </cell>
          <cell r="B4372">
            <v>11.3</v>
          </cell>
        </row>
        <row r="4373">
          <cell r="A4373">
            <v>239161</v>
          </cell>
          <cell r="B4373">
            <v>11.3</v>
          </cell>
        </row>
        <row r="4374">
          <cell r="A4374">
            <v>239161</v>
          </cell>
          <cell r="B4374">
            <v>13.1</v>
          </cell>
        </row>
        <row r="4375">
          <cell r="A4375">
            <v>239261</v>
          </cell>
          <cell r="B4375">
            <v>13.1</v>
          </cell>
        </row>
        <row r="4376">
          <cell r="A4376">
            <v>239261</v>
          </cell>
          <cell r="B4376">
            <v>16.399999999999999</v>
          </cell>
        </row>
        <row r="4377">
          <cell r="A4377">
            <v>239343</v>
          </cell>
          <cell r="B4377">
            <v>16.399999999999999</v>
          </cell>
        </row>
        <row r="4378">
          <cell r="A4378">
            <v>239343</v>
          </cell>
          <cell r="B4378">
            <v>8</v>
          </cell>
        </row>
        <row r="4379">
          <cell r="A4379">
            <v>239443</v>
          </cell>
          <cell r="B4379">
            <v>8</v>
          </cell>
        </row>
        <row r="4380">
          <cell r="A4380">
            <v>239443</v>
          </cell>
          <cell r="B4380">
            <v>14.5</v>
          </cell>
        </row>
        <row r="4381">
          <cell r="A4381">
            <v>239543</v>
          </cell>
          <cell r="B4381">
            <v>14.5</v>
          </cell>
        </row>
        <row r="4382">
          <cell r="A4382">
            <v>239543</v>
          </cell>
          <cell r="B4382">
            <v>13.9</v>
          </cell>
        </row>
        <row r="4383">
          <cell r="A4383">
            <v>239643</v>
          </cell>
          <cell r="B4383">
            <v>13.9</v>
          </cell>
        </row>
        <row r="4384">
          <cell r="A4384">
            <v>239643</v>
          </cell>
          <cell r="B4384">
            <v>8.8000000000000007</v>
          </cell>
        </row>
        <row r="4385">
          <cell r="A4385">
            <v>239743</v>
          </cell>
          <cell r="B4385">
            <v>8.8000000000000007</v>
          </cell>
        </row>
        <row r="4386">
          <cell r="A4386">
            <v>239743</v>
          </cell>
          <cell r="B4386">
            <v>5.0999999999999996</v>
          </cell>
        </row>
        <row r="4387">
          <cell r="A4387">
            <v>239843</v>
          </cell>
          <cell r="B4387">
            <v>5.0999999999999996</v>
          </cell>
        </row>
        <row r="4388">
          <cell r="A4388">
            <v>239843</v>
          </cell>
          <cell r="B4388">
            <v>4.3</v>
          </cell>
        </row>
        <row r="4389">
          <cell r="A4389">
            <v>239916</v>
          </cell>
          <cell r="B4389">
            <v>4.3</v>
          </cell>
        </row>
        <row r="4390">
          <cell r="A4390">
            <v>239916</v>
          </cell>
          <cell r="B4390">
            <v>5</v>
          </cell>
        </row>
        <row r="4391">
          <cell r="A4391">
            <v>240017</v>
          </cell>
          <cell r="B4391">
            <v>5</v>
          </cell>
        </row>
        <row r="4392">
          <cell r="A4392">
            <v>240017</v>
          </cell>
          <cell r="B4392">
            <v>7.1</v>
          </cell>
        </row>
        <row r="4393">
          <cell r="A4393">
            <v>240117</v>
          </cell>
          <cell r="B4393">
            <v>7.1</v>
          </cell>
        </row>
        <row r="4394">
          <cell r="A4394">
            <v>240117</v>
          </cell>
          <cell r="B4394">
            <v>15.6</v>
          </cell>
        </row>
        <row r="4395">
          <cell r="A4395">
            <v>240217</v>
          </cell>
          <cell r="B4395">
            <v>15.6</v>
          </cell>
        </row>
        <row r="4396">
          <cell r="A4396">
            <v>240217</v>
          </cell>
          <cell r="B4396">
            <v>18.399999999999999</v>
          </cell>
        </row>
        <row r="4397">
          <cell r="A4397">
            <v>240317</v>
          </cell>
          <cell r="B4397">
            <v>18.399999999999999</v>
          </cell>
        </row>
        <row r="4398">
          <cell r="A4398">
            <v>240317</v>
          </cell>
          <cell r="B4398">
            <v>9.8000000000000007</v>
          </cell>
        </row>
        <row r="4399">
          <cell r="A4399">
            <v>240417</v>
          </cell>
          <cell r="B4399">
            <v>9.8000000000000007</v>
          </cell>
        </row>
        <row r="4400">
          <cell r="A4400">
            <v>240417</v>
          </cell>
          <cell r="B4400">
            <v>12.4</v>
          </cell>
        </row>
        <row r="4401">
          <cell r="A4401">
            <v>240517</v>
          </cell>
          <cell r="B4401">
            <v>12.4</v>
          </cell>
        </row>
        <row r="4402">
          <cell r="A4402">
            <v>240517</v>
          </cell>
          <cell r="B4402">
            <v>14.8</v>
          </cell>
        </row>
        <row r="4403">
          <cell r="A4403">
            <v>240617</v>
          </cell>
          <cell r="B4403">
            <v>14.8</v>
          </cell>
        </row>
        <row r="4404">
          <cell r="A4404">
            <v>240617</v>
          </cell>
          <cell r="B4404">
            <v>6.5</v>
          </cell>
        </row>
        <row r="4405">
          <cell r="A4405">
            <v>240717</v>
          </cell>
          <cell r="B4405">
            <v>6.5</v>
          </cell>
        </row>
        <row r="4406">
          <cell r="A4406">
            <v>240717</v>
          </cell>
          <cell r="B4406">
            <v>8.4</v>
          </cell>
        </row>
        <row r="4407">
          <cell r="A4407">
            <v>240817</v>
          </cell>
          <cell r="B4407">
            <v>8.4</v>
          </cell>
        </row>
        <row r="4408">
          <cell r="A4408">
            <v>240817</v>
          </cell>
          <cell r="B4408">
            <v>6</v>
          </cell>
        </row>
        <row r="4409">
          <cell r="A4409">
            <v>240917</v>
          </cell>
          <cell r="B4409">
            <v>6</v>
          </cell>
        </row>
        <row r="4410">
          <cell r="A4410">
            <v>240917</v>
          </cell>
          <cell r="B4410">
            <v>7.1</v>
          </cell>
        </row>
        <row r="4411">
          <cell r="A4411">
            <v>241017</v>
          </cell>
          <cell r="B4411">
            <v>7.1</v>
          </cell>
        </row>
        <row r="4412">
          <cell r="A4412">
            <v>241017</v>
          </cell>
          <cell r="B4412">
            <v>9.4</v>
          </cell>
        </row>
        <row r="4413">
          <cell r="A4413">
            <v>241117</v>
          </cell>
          <cell r="B4413">
            <v>9.4</v>
          </cell>
        </row>
        <row r="4414">
          <cell r="A4414">
            <v>241117</v>
          </cell>
          <cell r="B4414">
            <v>10.1</v>
          </cell>
        </row>
        <row r="4415">
          <cell r="A4415">
            <v>241217</v>
          </cell>
          <cell r="B4415">
            <v>10.1</v>
          </cell>
        </row>
        <row r="4416">
          <cell r="A4416">
            <v>241217</v>
          </cell>
          <cell r="B4416">
            <v>7.3</v>
          </cell>
        </row>
        <row r="4417">
          <cell r="A4417">
            <v>241317</v>
          </cell>
          <cell r="B4417">
            <v>7.3</v>
          </cell>
        </row>
        <row r="4418">
          <cell r="A4418">
            <v>241317</v>
          </cell>
          <cell r="B4418">
            <v>6.7</v>
          </cell>
        </row>
        <row r="4419">
          <cell r="A4419">
            <v>241417</v>
          </cell>
          <cell r="B4419">
            <v>6.7</v>
          </cell>
        </row>
        <row r="4420">
          <cell r="A4420">
            <v>241417</v>
          </cell>
          <cell r="B4420">
            <v>7.2</v>
          </cell>
        </row>
        <row r="4421">
          <cell r="A4421">
            <v>241517</v>
          </cell>
          <cell r="B4421">
            <v>7.2</v>
          </cell>
        </row>
        <row r="4422">
          <cell r="A4422">
            <v>241517</v>
          </cell>
          <cell r="B4422">
            <v>7.1</v>
          </cell>
        </row>
        <row r="4423">
          <cell r="A4423">
            <v>241617</v>
          </cell>
          <cell r="B4423">
            <v>7.1</v>
          </cell>
        </row>
        <row r="4424">
          <cell r="A4424">
            <v>241617</v>
          </cell>
          <cell r="B4424">
            <v>6.4</v>
          </cell>
        </row>
        <row r="4425">
          <cell r="A4425">
            <v>241717</v>
          </cell>
          <cell r="B4425">
            <v>6.4</v>
          </cell>
        </row>
        <row r="4426">
          <cell r="A4426">
            <v>241717</v>
          </cell>
          <cell r="B4426">
            <v>5.9</v>
          </cell>
        </row>
        <row r="4427">
          <cell r="A4427">
            <v>241817</v>
          </cell>
          <cell r="B4427">
            <v>5.9</v>
          </cell>
        </row>
        <row r="4428">
          <cell r="A4428">
            <v>241817</v>
          </cell>
          <cell r="B4428">
            <v>9.5</v>
          </cell>
        </row>
        <row r="4429">
          <cell r="A4429">
            <v>241917</v>
          </cell>
          <cell r="B4429">
            <v>9.5</v>
          </cell>
        </row>
        <row r="4430">
          <cell r="A4430">
            <v>241917</v>
          </cell>
          <cell r="B4430">
            <v>8.1</v>
          </cell>
        </row>
        <row r="4431">
          <cell r="A4431">
            <v>242017</v>
          </cell>
          <cell r="B4431">
            <v>8.1</v>
          </cell>
        </row>
        <row r="4432">
          <cell r="A4432">
            <v>242017</v>
          </cell>
          <cell r="B4432">
            <v>8.5</v>
          </cell>
        </row>
        <row r="4433">
          <cell r="A4433">
            <v>242117</v>
          </cell>
          <cell r="B4433">
            <v>8.5</v>
          </cell>
        </row>
        <row r="4434">
          <cell r="A4434">
            <v>242117</v>
          </cell>
          <cell r="B4434">
            <v>5.4</v>
          </cell>
        </row>
        <row r="4435">
          <cell r="A4435">
            <v>242217</v>
          </cell>
          <cell r="B4435">
            <v>5.4</v>
          </cell>
        </row>
        <row r="4436">
          <cell r="A4436">
            <v>242217</v>
          </cell>
          <cell r="B4436">
            <v>5.5</v>
          </cell>
        </row>
        <row r="4437">
          <cell r="A4437">
            <v>242417</v>
          </cell>
          <cell r="B4437">
            <v>5.5</v>
          </cell>
        </row>
        <row r="4438">
          <cell r="A4438">
            <v>242417</v>
          </cell>
          <cell r="B4438">
            <v>9</v>
          </cell>
        </row>
        <row r="4439">
          <cell r="A4439">
            <v>242517</v>
          </cell>
          <cell r="B4439">
            <v>9</v>
          </cell>
        </row>
        <row r="4440">
          <cell r="A4440">
            <v>242517</v>
          </cell>
          <cell r="B4440">
            <v>7.7</v>
          </cell>
        </row>
        <row r="4441">
          <cell r="A4441">
            <v>242617</v>
          </cell>
          <cell r="B4441">
            <v>7.7</v>
          </cell>
        </row>
        <row r="4442">
          <cell r="A4442">
            <v>242617</v>
          </cell>
          <cell r="B4442">
            <v>8.1</v>
          </cell>
        </row>
        <row r="4443">
          <cell r="A4443">
            <v>242717</v>
          </cell>
          <cell r="B4443">
            <v>8.1</v>
          </cell>
        </row>
        <row r="4444">
          <cell r="A4444">
            <v>242717</v>
          </cell>
          <cell r="B4444">
            <v>8</v>
          </cell>
        </row>
        <row r="4445">
          <cell r="A4445">
            <v>242817</v>
          </cell>
          <cell r="B4445">
            <v>8</v>
          </cell>
        </row>
        <row r="4446">
          <cell r="A4446">
            <v>242817</v>
          </cell>
          <cell r="B4446">
            <v>4.2</v>
          </cell>
        </row>
        <row r="4447">
          <cell r="A4447">
            <v>242917</v>
          </cell>
          <cell r="B4447">
            <v>4.2</v>
          </cell>
        </row>
        <row r="4448">
          <cell r="A4448">
            <v>242917</v>
          </cell>
          <cell r="B4448">
            <v>7.5</v>
          </cell>
        </row>
        <row r="4449">
          <cell r="A4449">
            <v>243017</v>
          </cell>
          <cell r="B4449">
            <v>7.5</v>
          </cell>
        </row>
        <row r="4450">
          <cell r="A4450">
            <v>243017</v>
          </cell>
          <cell r="B4450">
            <v>11.5</v>
          </cell>
        </row>
        <row r="4451">
          <cell r="A4451">
            <v>243117</v>
          </cell>
          <cell r="B4451">
            <v>11.5</v>
          </cell>
        </row>
        <row r="4452">
          <cell r="A4452">
            <v>243117</v>
          </cell>
          <cell r="B4452">
            <v>8.6</v>
          </cell>
        </row>
        <row r="4453">
          <cell r="A4453">
            <v>243217</v>
          </cell>
          <cell r="B4453">
            <v>8.6</v>
          </cell>
        </row>
        <row r="4454">
          <cell r="A4454">
            <v>243217</v>
          </cell>
          <cell r="B4454">
            <v>13.4</v>
          </cell>
        </row>
        <row r="4455">
          <cell r="A4455">
            <v>243317</v>
          </cell>
          <cell r="B4455">
            <v>13.4</v>
          </cell>
        </row>
        <row r="4456">
          <cell r="A4456">
            <v>243317</v>
          </cell>
          <cell r="B4456">
            <v>5.7</v>
          </cell>
        </row>
        <row r="4457">
          <cell r="A4457">
            <v>243417</v>
          </cell>
          <cell r="B4457">
            <v>5.7</v>
          </cell>
        </row>
        <row r="4458">
          <cell r="A4458">
            <v>243417</v>
          </cell>
          <cell r="B4458">
            <v>7.5</v>
          </cell>
        </row>
        <row r="4459">
          <cell r="A4459">
            <v>243517</v>
          </cell>
          <cell r="B4459">
            <v>7.5</v>
          </cell>
        </row>
        <row r="4460">
          <cell r="A4460">
            <v>243517</v>
          </cell>
          <cell r="B4460">
            <v>10.3</v>
          </cell>
        </row>
        <row r="4461">
          <cell r="A4461">
            <v>243617</v>
          </cell>
          <cell r="B4461">
            <v>10.3</v>
          </cell>
        </row>
        <row r="4462">
          <cell r="A4462">
            <v>243617</v>
          </cell>
          <cell r="B4462">
            <v>9.9</v>
          </cell>
        </row>
        <row r="4463">
          <cell r="A4463">
            <v>243717</v>
          </cell>
          <cell r="B4463">
            <v>9.9</v>
          </cell>
        </row>
        <row r="4464">
          <cell r="A4464">
            <v>243717</v>
          </cell>
          <cell r="B4464">
            <v>7.8</v>
          </cell>
        </row>
        <row r="4465">
          <cell r="A4465">
            <v>243817</v>
          </cell>
          <cell r="B4465">
            <v>7.8</v>
          </cell>
        </row>
        <row r="4466">
          <cell r="A4466">
            <v>243817</v>
          </cell>
          <cell r="B4466">
            <v>10.9</v>
          </cell>
        </row>
        <row r="4467">
          <cell r="A4467">
            <v>243917</v>
          </cell>
          <cell r="B4467">
            <v>10.9</v>
          </cell>
        </row>
        <row r="4468">
          <cell r="A4468">
            <v>243917</v>
          </cell>
          <cell r="B4468">
            <v>12</v>
          </cell>
        </row>
        <row r="4469">
          <cell r="A4469">
            <v>244017</v>
          </cell>
          <cell r="B4469">
            <v>12</v>
          </cell>
        </row>
        <row r="4470">
          <cell r="A4470">
            <v>244017</v>
          </cell>
          <cell r="B4470">
            <v>6.4</v>
          </cell>
        </row>
        <row r="4471">
          <cell r="A4471">
            <v>244117</v>
          </cell>
          <cell r="B4471">
            <v>6.4</v>
          </cell>
        </row>
        <row r="4472">
          <cell r="A4472">
            <v>244117</v>
          </cell>
          <cell r="B4472">
            <v>9.5</v>
          </cell>
        </row>
        <row r="4473">
          <cell r="A4473">
            <v>244217</v>
          </cell>
          <cell r="B4473">
            <v>9.5</v>
          </cell>
        </row>
        <row r="4474">
          <cell r="A4474">
            <v>244217</v>
          </cell>
          <cell r="B4474">
            <v>7.2</v>
          </cell>
        </row>
        <row r="4475">
          <cell r="A4475">
            <v>244317</v>
          </cell>
          <cell r="B4475">
            <v>7.2</v>
          </cell>
        </row>
        <row r="4476">
          <cell r="A4476">
            <v>244317</v>
          </cell>
          <cell r="B4476">
            <v>7.1</v>
          </cell>
        </row>
        <row r="4477">
          <cell r="A4477">
            <v>244417</v>
          </cell>
          <cell r="B4477">
            <v>7.1</v>
          </cell>
        </row>
        <row r="4478">
          <cell r="A4478">
            <v>244417</v>
          </cell>
          <cell r="B4478">
            <v>5.0999999999999996</v>
          </cell>
        </row>
        <row r="4479">
          <cell r="A4479">
            <v>244517</v>
          </cell>
          <cell r="B4479">
            <v>5.0999999999999996</v>
          </cell>
        </row>
        <row r="4480">
          <cell r="A4480">
            <v>244517</v>
          </cell>
          <cell r="B4480">
            <v>7.7</v>
          </cell>
        </row>
        <row r="4481">
          <cell r="A4481">
            <v>244617</v>
          </cell>
          <cell r="B4481">
            <v>7.7</v>
          </cell>
        </row>
        <row r="4482">
          <cell r="A4482">
            <v>244617</v>
          </cell>
          <cell r="B4482">
            <v>8.1999999999999993</v>
          </cell>
        </row>
        <row r="4483">
          <cell r="A4483">
            <v>244717</v>
          </cell>
          <cell r="B4483">
            <v>8.1999999999999993</v>
          </cell>
        </row>
        <row r="4484">
          <cell r="A4484">
            <v>244717</v>
          </cell>
          <cell r="B4484">
            <v>5.2</v>
          </cell>
        </row>
        <row r="4485">
          <cell r="A4485">
            <v>244817</v>
          </cell>
          <cell r="B4485">
            <v>5.2</v>
          </cell>
        </row>
        <row r="4486">
          <cell r="A4486">
            <v>244817</v>
          </cell>
          <cell r="B4486">
            <v>6</v>
          </cell>
        </row>
        <row r="4487">
          <cell r="A4487">
            <v>244917</v>
          </cell>
          <cell r="B4487">
            <v>6</v>
          </cell>
        </row>
        <row r="4488">
          <cell r="A4488">
            <v>244917</v>
          </cell>
          <cell r="B4488">
            <v>5.9</v>
          </cell>
        </row>
        <row r="4489">
          <cell r="A4489">
            <v>245017</v>
          </cell>
          <cell r="B4489">
            <v>5.9</v>
          </cell>
        </row>
        <row r="4490">
          <cell r="A4490">
            <v>245017</v>
          </cell>
          <cell r="B4490">
            <v>4.9000000000000004</v>
          </cell>
        </row>
        <row r="4491">
          <cell r="A4491">
            <v>245073</v>
          </cell>
          <cell r="B4491">
            <v>4.9000000000000004</v>
          </cell>
        </row>
        <row r="4492">
          <cell r="A4492">
            <v>245073</v>
          </cell>
          <cell r="B4492">
            <v>8.8000000000000007</v>
          </cell>
        </row>
        <row r="4493">
          <cell r="A4493">
            <v>245455</v>
          </cell>
          <cell r="B4493">
            <v>8.8000000000000007</v>
          </cell>
        </row>
        <row r="4494">
          <cell r="A4494">
            <v>245455</v>
          </cell>
          <cell r="B4494">
            <v>9.9</v>
          </cell>
        </row>
        <row r="4495">
          <cell r="A4495">
            <v>245555</v>
          </cell>
          <cell r="B4495">
            <v>9.9</v>
          </cell>
        </row>
        <row r="4496">
          <cell r="A4496">
            <v>245555</v>
          </cell>
          <cell r="B4496">
            <v>6.3</v>
          </cell>
        </row>
        <row r="4497">
          <cell r="A4497">
            <v>245573</v>
          </cell>
          <cell r="B4497">
            <v>6.3</v>
          </cell>
        </row>
        <row r="4498">
          <cell r="A4498">
            <v>245573</v>
          </cell>
          <cell r="B4498">
            <v>13.8</v>
          </cell>
        </row>
        <row r="4499">
          <cell r="A4499">
            <v>245673</v>
          </cell>
          <cell r="B4499">
            <v>13.8</v>
          </cell>
        </row>
        <row r="4500">
          <cell r="A4500">
            <v>245673</v>
          </cell>
          <cell r="B4500">
            <v>14.5</v>
          </cell>
        </row>
        <row r="4501">
          <cell r="A4501">
            <v>245773</v>
          </cell>
          <cell r="B4501">
            <v>14.5</v>
          </cell>
        </row>
        <row r="4502">
          <cell r="A4502">
            <v>245773</v>
          </cell>
          <cell r="B4502">
            <v>12</v>
          </cell>
        </row>
        <row r="4503">
          <cell r="A4503">
            <v>245873</v>
          </cell>
          <cell r="B4503">
            <v>12</v>
          </cell>
        </row>
        <row r="4504">
          <cell r="A4504">
            <v>245873</v>
          </cell>
          <cell r="B4504">
            <v>7.4</v>
          </cell>
        </row>
        <row r="4505">
          <cell r="A4505">
            <v>245973</v>
          </cell>
          <cell r="B4505">
            <v>7.4</v>
          </cell>
        </row>
        <row r="4506">
          <cell r="A4506">
            <v>245973</v>
          </cell>
          <cell r="B4506">
            <v>16.399999999999999</v>
          </cell>
        </row>
        <row r="4507">
          <cell r="A4507">
            <v>246074</v>
          </cell>
          <cell r="B4507">
            <v>16.399999999999999</v>
          </cell>
        </row>
        <row r="4508">
          <cell r="A4508">
            <v>246074</v>
          </cell>
          <cell r="B4508">
            <v>3.9</v>
          </cell>
        </row>
        <row r="4509">
          <cell r="A4509">
            <v>246174</v>
          </cell>
          <cell r="B4509">
            <v>3.9</v>
          </cell>
        </row>
        <row r="4510">
          <cell r="A4510">
            <v>246174</v>
          </cell>
          <cell r="B4510">
            <v>6.8</v>
          </cell>
        </row>
        <row r="4511">
          <cell r="A4511">
            <v>246274</v>
          </cell>
          <cell r="B4511">
            <v>6.8</v>
          </cell>
        </row>
        <row r="4512">
          <cell r="A4512">
            <v>246274</v>
          </cell>
          <cell r="B4512">
            <v>5.6</v>
          </cell>
        </row>
        <row r="4513">
          <cell r="A4513">
            <v>246474</v>
          </cell>
          <cell r="B4513">
            <v>5.6</v>
          </cell>
        </row>
        <row r="4514">
          <cell r="A4514">
            <v>246474</v>
          </cell>
          <cell r="B4514">
            <v>9.1999999999999993</v>
          </cell>
        </row>
        <row r="4515">
          <cell r="A4515">
            <v>246574</v>
          </cell>
          <cell r="B4515">
            <v>9.1999999999999993</v>
          </cell>
        </row>
        <row r="4516">
          <cell r="A4516">
            <v>246574</v>
          </cell>
          <cell r="B4516">
            <v>11.8</v>
          </cell>
        </row>
        <row r="4517">
          <cell r="A4517">
            <v>246674</v>
          </cell>
          <cell r="B4517">
            <v>11.8</v>
          </cell>
        </row>
        <row r="4518">
          <cell r="A4518">
            <v>246674</v>
          </cell>
          <cell r="B4518">
            <v>13.7</v>
          </cell>
        </row>
        <row r="4519">
          <cell r="A4519">
            <v>246774</v>
          </cell>
          <cell r="B4519">
            <v>13.7</v>
          </cell>
        </row>
        <row r="4520">
          <cell r="A4520">
            <v>246774</v>
          </cell>
          <cell r="B4520">
            <v>12.4</v>
          </cell>
        </row>
        <row r="4521">
          <cell r="A4521">
            <v>246874</v>
          </cell>
          <cell r="B4521">
            <v>12.4</v>
          </cell>
        </row>
        <row r="4522">
          <cell r="A4522">
            <v>246874</v>
          </cell>
          <cell r="B4522">
            <v>11.8</v>
          </cell>
        </row>
        <row r="4523">
          <cell r="A4523">
            <v>246974</v>
          </cell>
          <cell r="B4523">
            <v>11.8</v>
          </cell>
        </row>
        <row r="4524">
          <cell r="A4524">
            <v>246974</v>
          </cell>
          <cell r="B4524">
            <v>12.6</v>
          </cell>
        </row>
        <row r="4525">
          <cell r="A4525">
            <v>247073</v>
          </cell>
          <cell r="B4525">
            <v>12.6</v>
          </cell>
        </row>
        <row r="4526">
          <cell r="A4526">
            <v>247073</v>
          </cell>
          <cell r="B4526">
            <v>15.8</v>
          </cell>
        </row>
        <row r="4527">
          <cell r="A4527">
            <v>247173</v>
          </cell>
          <cell r="B4527">
            <v>15.8</v>
          </cell>
        </row>
        <row r="4528">
          <cell r="A4528">
            <v>247173</v>
          </cell>
          <cell r="B4528">
            <v>10.7</v>
          </cell>
        </row>
        <row r="4529">
          <cell r="A4529">
            <v>247273</v>
          </cell>
          <cell r="B4529">
            <v>10.7</v>
          </cell>
        </row>
        <row r="4530">
          <cell r="A4530">
            <v>247273</v>
          </cell>
          <cell r="B4530">
            <v>9.5</v>
          </cell>
        </row>
        <row r="4531">
          <cell r="A4531">
            <v>247373</v>
          </cell>
          <cell r="B4531">
            <v>9.5</v>
          </cell>
        </row>
        <row r="4532">
          <cell r="A4532">
            <v>247373</v>
          </cell>
          <cell r="B4532">
            <v>12.8</v>
          </cell>
        </row>
        <row r="4533">
          <cell r="A4533">
            <v>247473</v>
          </cell>
          <cell r="B4533">
            <v>12.8</v>
          </cell>
        </row>
        <row r="4534">
          <cell r="A4534">
            <v>247473</v>
          </cell>
          <cell r="B4534">
            <v>10.3</v>
          </cell>
        </row>
        <row r="4535">
          <cell r="A4535">
            <v>247573</v>
          </cell>
          <cell r="B4535">
            <v>10.3</v>
          </cell>
        </row>
        <row r="4536">
          <cell r="A4536">
            <v>247573</v>
          </cell>
          <cell r="B4536">
            <v>13</v>
          </cell>
        </row>
        <row r="4537">
          <cell r="A4537">
            <v>247673</v>
          </cell>
          <cell r="B4537">
            <v>13</v>
          </cell>
        </row>
        <row r="4538">
          <cell r="A4538">
            <v>247673</v>
          </cell>
          <cell r="B4538">
            <v>16.2</v>
          </cell>
        </row>
        <row r="4539">
          <cell r="A4539">
            <v>247773</v>
          </cell>
          <cell r="B4539">
            <v>16.2</v>
          </cell>
        </row>
        <row r="4540">
          <cell r="A4540">
            <v>247773</v>
          </cell>
          <cell r="B4540">
            <v>17</v>
          </cell>
        </row>
        <row r="4541">
          <cell r="A4541">
            <v>247873</v>
          </cell>
          <cell r="B4541">
            <v>17</v>
          </cell>
        </row>
        <row r="4542">
          <cell r="A4542">
            <v>247873</v>
          </cell>
          <cell r="B4542">
            <v>10.7</v>
          </cell>
        </row>
        <row r="4543">
          <cell r="A4543">
            <v>247973</v>
          </cell>
          <cell r="B4543">
            <v>10.7</v>
          </cell>
        </row>
        <row r="4544">
          <cell r="A4544">
            <v>247973</v>
          </cell>
          <cell r="B4544">
            <v>13.5</v>
          </cell>
        </row>
        <row r="4545">
          <cell r="A4545">
            <v>248074</v>
          </cell>
          <cell r="B4545">
            <v>13.5</v>
          </cell>
        </row>
        <row r="4546">
          <cell r="A4546">
            <v>248074</v>
          </cell>
          <cell r="B4546">
            <v>8.5</v>
          </cell>
        </row>
        <row r="4547">
          <cell r="A4547">
            <v>248174</v>
          </cell>
          <cell r="B4547">
            <v>8.5</v>
          </cell>
        </row>
        <row r="4548">
          <cell r="A4548">
            <v>248174</v>
          </cell>
          <cell r="B4548">
            <v>5.5</v>
          </cell>
        </row>
        <row r="4549">
          <cell r="A4549">
            <v>248274</v>
          </cell>
          <cell r="B4549">
            <v>5.5</v>
          </cell>
        </row>
        <row r="4550">
          <cell r="A4550">
            <v>248274</v>
          </cell>
          <cell r="B4550">
            <v>9.1999999999999993</v>
          </cell>
        </row>
        <row r="4551">
          <cell r="A4551">
            <v>248374</v>
          </cell>
          <cell r="B4551">
            <v>9.1999999999999993</v>
          </cell>
        </row>
        <row r="4552">
          <cell r="A4552">
            <v>248374</v>
          </cell>
          <cell r="B4552">
            <v>14.7</v>
          </cell>
        </row>
        <row r="4553">
          <cell r="A4553">
            <v>248474</v>
          </cell>
          <cell r="B4553">
            <v>14.7</v>
          </cell>
        </row>
        <row r="4554">
          <cell r="A4554">
            <v>248474</v>
          </cell>
          <cell r="B4554">
            <v>14.6</v>
          </cell>
        </row>
        <row r="4555">
          <cell r="A4555">
            <v>248574</v>
          </cell>
          <cell r="B4555">
            <v>14.6</v>
          </cell>
        </row>
        <row r="4556">
          <cell r="A4556">
            <v>248574</v>
          </cell>
          <cell r="B4556">
            <v>10.6</v>
          </cell>
        </row>
        <row r="4557">
          <cell r="A4557">
            <v>248674</v>
          </cell>
          <cell r="B4557">
            <v>10.6</v>
          </cell>
        </row>
        <row r="4558">
          <cell r="A4558">
            <v>248674</v>
          </cell>
          <cell r="B4558">
            <v>6.9</v>
          </cell>
        </row>
        <row r="4559">
          <cell r="A4559">
            <v>248774</v>
          </cell>
          <cell r="B4559">
            <v>6.9</v>
          </cell>
        </row>
        <row r="4560">
          <cell r="A4560">
            <v>248774</v>
          </cell>
          <cell r="B4560">
            <v>13.6</v>
          </cell>
        </row>
        <row r="4561">
          <cell r="A4561">
            <v>248874</v>
          </cell>
          <cell r="B4561">
            <v>13.6</v>
          </cell>
        </row>
        <row r="4562">
          <cell r="A4562">
            <v>248874</v>
          </cell>
          <cell r="B4562">
            <v>8.1</v>
          </cell>
        </row>
        <row r="4563">
          <cell r="A4563">
            <v>248974</v>
          </cell>
          <cell r="B4563">
            <v>8.1</v>
          </cell>
        </row>
        <row r="4564">
          <cell r="A4564">
            <v>248974</v>
          </cell>
          <cell r="B4564">
            <v>5.9</v>
          </cell>
        </row>
        <row r="4565">
          <cell r="A4565">
            <v>249072</v>
          </cell>
          <cell r="B4565">
            <v>5.9</v>
          </cell>
        </row>
        <row r="4566">
          <cell r="A4566">
            <v>249072</v>
          </cell>
          <cell r="B4566">
            <v>5.7</v>
          </cell>
        </row>
        <row r="4567">
          <cell r="A4567">
            <v>249172</v>
          </cell>
          <cell r="B4567">
            <v>5.7</v>
          </cell>
        </row>
        <row r="4568">
          <cell r="A4568">
            <v>249172</v>
          </cell>
          <cell r="B4568">
            <v>8.1999999999999993</v>
          </cell>
        </row>
        <row r="4569">
          <cell r="A4569">
            <v>249272</v>
          </cell>
          <cell r="B4569">
            <v>8.1999999999999993</v>
          </cell>
        </row>
        <row r="4570">
          <cell r="A4570">
            <v>249272</v>
          </cell>
          <cell r="B4570">
            <v>8.6999999999999993</v>
          </cell>
        </row>
        <row r="4571">
          <cell r="A4571">
            <v>249372</v>
          </cell>
          <cell r="B4571">
            <v>8.6999999999999993</v>
          </cell>
        </row>
        <row r="4572">
          <cell r="A4572">
            <v>249372</v>
          </cell>
          <cell r="B4572">
            <v>9.1999999999999993</v>
          </cell>
        </row>
        <row r="4573">
          <cell r="A4573">
            <v>249472</v>
          </cell>
          <cell r="B4573">
            <v>9.1999999999999993</v>
          </cell>
        </row>
        <row r="4574">
          <cell r="A4574">
            <v>249472</v>
          </cell>
          <cell r="B4574">
            <v>14.8</v>
          </cell>
        </row>
        <row r="4575">
          <cell r="A4575">
            <v>249572</v>
          </cell>
          <cell r="B4575">
            <v>14.8</v>
          </cell>
        </row>
        <row r="4576">
          <cell r="A4576">
            <v>249572</v>
          </cell>
          <cell r="B4576">
            <v>16.8</v>
          </cell>
        </row>
        <row r="4577">
          <cell r="A4577">
            <v>249672</v>
          </cell>
          <cell r="B4577">
            <v>16.8</v>
          </cell>
        </row>
        <row r="4578">
          <cell r="A4578">
            <v>249672</v>
          </cell>
          <cell r="B4578">
            <v>7.8</v>
          </cell>
        </row>
        <row r="4579">
          <cell r="A4579">
            <v>249772</v>
          </cell>
          <cell r="B4579">
            <v>7.8</v>
          </cell>
        </row>
        <row r="4580">
          <cell r="A4580">
            <v>249772</v>
          </cell>
          <cell r="B4580">
            <v>9.6999999999999993</v>
          </cell>
        </row>
        <row r="4581">
          <cell r="A4581">
            <v>249840</v>
          </cell>
          <cell r="B4581">
            <v>9.6999999999999993</v>
          </cell>
        </row>
        <row r="4582">
          <cell r="A4582">
            <v>249840</v>
          </cell>
          <cell r="B4582">
            <v>10.1</v>
          </cell>
        </row>
        <row r="4583">
          <cell r="A4583">
            <v>249940</v>
          </cell>
          <cell r="B4583">
            <v>10.1</v>
          </cell>
        </row>
        <row r="4584">
          <cell r="A4584">
            <v>249940</v>
          </cell>
          <cell r="B4584">
            <v>7.9</v>
          </cell>
        </row>
        <row r="4585">
          <cell r="A4585">
            <v>250024</v>
          </cell>
          <cell r="B4585">
            <v>7.9</v>
          </cell>
        </row>
        <row r="4586">
          <cell r="A4586">
            <v>250024</v>
          </cell>
          <cell r="B4586">
            <v>8</v>
          </cell>
        </row>
        <row r="4587">
          <cell r="A4587">
            <v>250124</v>
          </cell>
          <cell r="B4587">
            <v>8</v>
          </cell>
        </row>
        <row r="4588">
          <cell r="A4588">
            <v>250124</v>
          </cell>
          <cell r="B4588">
            <v>10</v>
          </cell>
        </row>
        <row r="4589">
          <cell r="A4589">
            <v>250224</v>
          </cell>
          <cell r="B4589">
            <v>10</v>
          </cell>
        </row>
        <row r="4590">
          <cell r="A4590">
            <v>250224</v>
          </cell>
          <cell r="B4590">
            <v>9.9</v>
          </cell>
        </row>
        <row r="4591">
          <cell r="A4591">
            <v>250324</v>
          </cell>
          <cell r="B4591">
            <v>9.9</v>
          </cell>
        </row>
        <row r="4592">
          <cell r="A4592">
            <v>250324</v>
          </cell>
          <cell r="B4592">
            <v>11.5</v>
          </cell>
        </row>
        <row r="4593">
          <cell r="A4593">
            <v>250424</v>
          </cell>
          <cell r="B4593">
            <v>11.5</v>
          </cell>
        </row>
        <row r="4594">
          <cell r="A4594">
            <v>250424</v>
          </cell>
          <cell r="B4594">
            <v>12.5</v>
          </cell>
        </row>
        <row r="4595">
          <cell r="A4595">
            <v>250524</v>
          </cell>
          <cell r="B4595">
            <v>12.5</v>
          </cell>
        </row>
        <row r="4596">
          <cell r="A4596">
            <v>250524</v>
          </cell>
          <cell r="B4596">
            <v>10.7</v>
          </cell>
        </row>
        <row r="4597">
          <cell r="A4597">
            <v>250624</v>
          </cell>
          <cell r="B4597">
            <v>10.7</v>
          </cell>
        </row>
        <row r="4598">
          <cell r="A4598">
            <v>250624</v>
          </cell>
          <cell r="B4598">
            <v>12.3</v>
          </cell>
        </row>
        <row r="4599">
          <cell r="A4599">
            <v>250724</v>
          </cell>
          <cell r="B4599">
            <v>12.3</v>
          </cell>
        </row>
        <row r="4600">
          <cell r="A4600">
            <v>250724</v>
          </cell>
          <cell r="B4600">
            <v>20.399999999999999</v>
          </cell>
        </row>
        <row r="4601">
          <cell r="A4601">
            <v>250824</v>
          </cell>
          <cell r="B4601">
            <v>20.399999999999999</v>
          </cell>
        </row>
        <row r="4602">
          <cell r="A4602">
            <v>250824</v>
          </cell>
          <cell r="B4602">
            <v>13.8</v>
          </cell>
        </row>
        <row r="4603">
          <cell r="A4603">
            <v>250924</v>
          </cell>
          <cell r="B4603">
            <v>13.8</v>
          </cell>
        </row>
        <row r="4604">
          <cell r="A4604">
            <v>250924</v>
          </cell>
          <cell r="B4604">
            <v>12.6</v>
          </cell>
        </row>
        <row r="4605">
          <cell r="A4605">
            <v>251040</v>
          </cell>
          <cell r="B4605">
            <v>12.6</v>
          </cell>
        </row>
        <row r="4606">
          <cell r="A4606">
            <v>251040</v>
          </cell>
          <cell r="B4606">
            <v>17.5</v>
          </cell>
        </row>
        <row r="4607">
          <cell r="A4607">
            <v>251140</v>
          </cell>
          <cell r="B4607">
            <v>17.5</v>
          </cell>
        </row>
        <row r="4608">
          <cell r="A4608">
            <v>251140</v>
          </cell>
          <cell r="B4608">
            <v>18.899999999999999</v>
          </cell>
        </row>
        <row r="4609">
          <cell r="A4609">
            <v>251240</v>
          </cell>
          <cell r="B4609">
            <v>18.899999999999999</v>
          </cell>
        </row>
        <row r="4610">
          <cell r="A4610">
            <v>251240</v>
          </cell>
          <cell r="B4610">
            <v>12.8</v>
          </cell>
        </row>
        <row r="4611">
          <cell r="A4611">
            <v>251302</v>
          </cell>
          <cell r="B4611">
            <v>12.8</v>
          </cell>
        </row>
        <row r="4612">
          <cell r="A4612">
            <v>251302</v>
          </cell>
          <cell r="B4612">
            <v>12.9</v>
          </cell>
        </row>
        <row r="4613">
          <cell r="A4613">
            <v>251402</v>
          </cell>
          <cell r="B4613">
            <v>12.9</v>
          </cell>
        </row>
        <row r="4614">
          <cell r="A4614">
            <v>251402</v>
          </cell>
          <cell r="B4614">
            <v>11.4</v>
          </cell>
        </row>
        <row r="4615">
          <cell r="A4615">
            <v>251502</v>
          </cell>
          <cell r="B4615">
            <v>11.4</v>
          </cell>
        </row>
        <row r="4616">
          <cell r="A4616">
            <v>251502</v>
          </cell>
          <cell r="B4616">
            <v>16.3</v>
          </cell>
        </row>
        <row r="4617">
          <cell r="A4617">
            <v>251602</v>
          </cell>
          <cell r="B4617">
            <v>16.3</v>
          </cell>
        </row>
        <row r="4618">
          <cell r="A4618">
            <v>251602</v>
          </cell>
          <cell r="B4618">
            <v>11</v>
          </cell>
        </row>
        <row r="4619">
          <cell r="A4619">
            <v>251702</v>
          </cell>
          <cell r="B4619">
            <v>11</v>
          </cell>
        </row>
        <row r="4620">
          <cell r="A4620">
            <v>251702</v>
          </cell>
          <cell r="B4620">
            <v>11.2</v>
          </cell>
        </row>
        <row r="4621">
          <cell r="A4621">
            <v>251802</v>
          </cell>
          <cell r="B4621">
            <v>11.2</v>
          </cell>
        </row>
        <row r="4622">
          <cell r="A4622">
            <v>251802</v>
          </cell>
          <cell r="B4622">
            <v>8.8000000000000007</v>
          </cell>
        </row>
        <row r="4623">
          <cell r="A4623">
            <v>251902</v>
          </cell>
          <cell r="B4623">
            <v>8.8000000000000007</v>
          </cell>
        </row>
        <row r="4624">
          <cell r="A4624">
            <v>251902</v>
          </cell>
          <cell r="B4624">
            <v>8.6</v>
          </cell>
        </row>
        <row r="4625">
          <cell r="A4625">
            <v>252001</v>
          </cell>
          <cell r="B4625">
            <v>8.6</v>
          </cell>
        </row>
        <row r="4626">
          <cell r="A4626">
            <v>252001</v>
          </cell>
          <cell r="B4626">
            <v>6.6</v>
          </cell>
        </row>
        <row r="4627">
          <cell r="A4627">
            <v>252101</v>
          </cell>
          <cell r="B4627">
            <v>6.6</v>
          </cell>
        </row>
        <row r="4628">
          <cell r="A4628">
            <v>252101</v>
          </cell>
          <cell r="B4628">
            <v>10.199999999999999</v>
          </cell>
        </row>
        <row r="4629">
          <cell r="A4629">
            <v>252201</v>
          </cell>
          <cell r="B4629">
            <v>10.199999999999999</v>
          </cell>
        </row>
        <row r="4630">
          <cell r="A4630">
            <v>252201</v>
          </cell>
          <cell r="B4630">
            <v>16.600000000000001</v>
          </cell>
        </row>
        <row r="4631">
          <cell r="A4631">
            <v>252301</v>
          </cell>
          <cell r="B4631">
            <v>16.600000000000001</v>
          </cell>
        </row>
        <row r="4632">
          <cell r="A4632">
            <v>252301</v>
          </cell>
          <cell r="B4632">
            <v>16.2</v>
          </cell>
        </row>
        <row r="4633">
          <cell r="A4633">
            <v>252401</v>
          </cell>
          <cell r="B4633">
            <v>16.2</v>
          </cell>
        </row>
        <row r="4634">
          <cell r="A4634">
            <v>252401</v>
          </cell>
          <cell r="B4634">
            <v>14.8</v>
          </cell>
        </row>
        <row r="4635">
          <cell r="A4635">
            <v>252501</v>
          </cell>
          <cell r="B4635">
            <v>14.8</v>
          </cell>
        </row>
        <row r="4636">
          <cell r="A4636">
            <v>252501</v>
          </cell>
          <cell r="B4636">
            <v>18.7</v>
          </cell>
        </row>
        <row r="4637">
          <cell r="A4637">
            <v>252601</v>
          </cell>
          <cell r="B4637">
            <v>18.7</v>
          </cell>
        </row>
        <row r="4638">
          <cell r="A4638">
            <v>252601</v>
          </cell>
          <cell r="B4638">
            <v>18</v>
          </cell>
        </row>
        <row r="4639">
          <cell r="A4639">
            <v>252701</v>
          </cell>
          <cell r="B4639">
            <v>18</v>
          </cell>
        </row>
        <row r="4640">
          <cell r="A4640">
            <v>252701</v>
          </cell>
          <cell r="B4640">
            <v>17.100000000000001</v>
          </cell>
        </row>
        <row r="4641">
          <cell r="A4641">
            <v>252801</v>
          </cell>
          <cell r="B4641">
            <v>17.100000000000001</v>
          </cell>
        </row>
        <row r="4642">
          <cell r="A4642">
            <v>252801</v>
          </cell>
          <cell r="B4642">
            <v>15.2</v>
          </cell>
        </row>
        <row r="4643">
          <cell r="A4643">
            <v>252901</v>
          </cell>
          <cell r="B4643">
            <v>15.2</v>
          </cell>
        </row>
        <row r="4644">
          <cell r="A4644">
            <v>252901</v>
          </cell>
          <cell r="B4644">
            <v>11.6</v>
          </cell>
        </row>
        <row r="4645">
          <cell r="A4645">
            <v>253000</v>
          </cell>
          <cell r="B4645">
            <v>11.6</v>
          </cell>
        </row>
        <row r="4646">
          <cell r="A4646">
            <v>253000</v>
          </cell>
          <cell r="B4646">
            <v>18.100000000000001</v>
          </cell>
        </row>
        <row r="4647">
          <cell r="A4647">
            <v>253100</v>
          </cell>
          <cell r="B4647">
            <v>18.100000000000001</v>
          </cell>
        </row>
        <row r="4648">
          <cell r="A4648">
            <v>253100</v>
          </cell>
          <cell r="B4648">
            <v>17.7</v>
          </cell>
        </row>
        <row r="4649">
          <cell r="A4649">
            <v>253200</v>
          </cell>
          <cell r="B4649">
            <v>17.7</v>
          </cell>
        </row>
        <row r="4650">
          <cell r="A4650">
            <v>253200</v>
          </cell>
          <cell r="B4650">
            <v>13.2</v>
          </cell>
        </row>
        <row r="4651">
          <cell r="A4651">
            <v>253300</v>
          </cell>
          <cell r="B4651">
            <v>13.2</v>
          </cell>
        </row>
        <row r="4652">
          <cell r="A4652">
            <v>253300</v>
          </cell>
          <cell r="B4652">
            <v>10</v>
          </cell>
        </row>
        <row r="4653">
          <cell r="A4653">
            <v>253400</v>
          </cell>
          <cell r="B4653">
            <v>10</v>
          </cell>
        </row>
        <row r="4654">
          <cell r="A4654">
            <v>253400</v>
          </cell>
          <cell r="B4654">
            <v>10.7</v>
          </cell>
        </row>
        <row r="4655">
          <cell r="A4655">
            <v>253500</v>
          </cell>
          <cell r="B4655">
            <v>10.7</v>
          </cell>
        </row>
        <row r="4656">
          <cell r="A4656">
            <v>253500</v>
          </cell>
          <cell r="B4656">
            <v>16.600000000000001</v>
          </cell>
        </row>
        <row r="4657">
          <cell r="A4657">
            <v>253600</v>
          </cell>
          <cell r="B4657">
            <v>16.600000000000001</v>
          </cell>
        </row>
        <row r="4658">
          <cell r="A4658">
            <v>253600</v>
          </cell>
          <cell r="B4658">
            <v>11.9</v>
          </cell>
        </row>
        <row r="4659">
          <cell r="A4659">
            <v>253700</v>
          </cell>
          <cell r="B4659">
            <v>11.9</v>
          </cell>
        </row>
        <row r="4660">
          <cell r="A4660">
            <v>253700</v>
          </cell>
          <cell r="B4660">
            <v>17.600000000000001</v>
          </cell>
        </row>
        <row r="4661">
          <cell r="A4661">
            <v>253800</v>
          </cell>
          <cell r="B4661">
            <v>17.600000000000001</v>
          </cell>
        </row>
        <row r="4662">
          <cell r="A4662">
            <v>253800</v>
          </cell>
          <cell r="B4662">
            <v>19.600000000000001</v>
          </cell>
        </row>
        <row r="4663">
          <cell r="A4663">
            <v>253900</v>
          </cell>
          <cell r="B4663">
            <v>19.600000000000001</v>
          </cell>
        </row>
        <row r="4664">
          <cell r="A4664">
            <v>253900</v>
          </cell>
          <cell r="B4664">
            <v>19.8</v>
          </cell>
        </row>
        <row r="4665">
          <cell r="A4665">
            <v>254000</v>
          </cell>
          <cell r="B4665">
            <v>19.8</v>
          </cell>
        </row>
        <row r="4666">
          <cell r="A4666">
            <v>254000</v>
          </cell>
          <cell r="B4666">
            <v>13.3</v>
          </cell>
        </row>
        <row r="4667">
          <cell r="A4667">
            <v>254099</v>
          </cell>
          <cell r="B4667">
            <v>13.3</v>
          </cell>
        </row>
        <row r="4668">
          <cell r="A4668">
            <v>254099</v>
          </cell>
          <cell r="B4668">
            <v>10.5</v>
          </cell>
        </row>
        <row r="4669">
          <cell r="A4669">
            <v>254199</v>
          </cell>
          <cell r="B4669">
            <v>10.5</v>
          </cell>
        </row>
        <row r="4670">
          <cell r="A4670">
            <v>254199</v>
          </cell>
          <cell r="B4670">
            <v>7.6</v>
          </cell>
        </row>
        <row r="4671">
          <cell r="A4671">
            <v>254299</v>
          </cell>
          <cell r="B4671">
            <v>7.6</v>
          </cell>
        </row>
        <row r="4672">
          <cell r="A4672">
            <v>254299</v>
          </cell>
          <cell r="B4672">
            <v>7.9</v>
          </cell>
        </row>
        <row r="4673">
          <cell r="A4673">
            <v>254399</v>
          </cell>
          <cell r="B4673">
            <v>7.9</v>
          </cell>
        </row>
        <row r="4674">
          <cell r="A4674">
            <v>254399</v>
          </cell>
          <cell r="B4674">
            <v>15.4</v>
          </cell>
        </row>
        <row r="4675">
          <cell r="A4675">
            <v>254499</v>
          </cell>
          <cell r="B4675">
            <v>15.4</v>
          </cell>
        </row>
        <row r="4676">
          <cell r="A4676">
            <v>254499</v>
          </cell>
          <cell r="B4676">
            <v>15</v>
          </cell>
        </row>
        <row r="4677">
          <cell r="A4677">
            <v>254599</v>
          </cell>
          <cell r="B4677">
            <v>15</v>
          </cell>
        </row>
        <row r="4678">
          <cell r="A4678">
            <v>254599</v>
          </cell>
          <cell r="B4678">
            <v>9.6999999999999993</v>
          </cell>
        </row>
        <row r="4679">
          <cell r="A4679">
            <v>254699</v>
          </cell>
          <cell r="B4679">
            <v>9.6999999999999993</v>
          </cell>
        </row>
        <row r="4680">
          <cell r="A4680">
            <v>254699</v>
          </cell>
          <cell r="B4680">
            <v>9.1</v>
          </cell>
        </row>
        <row r="4681">
          <cell r="A4681">
            <v>254799</v>
          </cell>
          <cell r="B4681">
            <v>9.1</v>
          </cell>
        </row>
        <row r="4682">
          <cell r="A4682">
            <v>254799</v>
          </cell>
          <cell r="B4682">
            <v>6.9</v>
          </cell>
        </row>
        <row r="4683">
          <cell r="A4683">
            <v>254899</v>
          </cell>
          <cell r="B4683">
            <v>6.9</v>
          </cell>
        </row>
        <row r="4684">
          <cell r="A4684">
            <v>254899</v>
          </cell>
          <cell r="B4684">
            <v>4.5999999999999996</v>
          </cell>
        </row>
        <row r="4685">
          <cell r="A4685">
            <v>254999</v>
          </cell>
          <cell r="B4685">
            <v>4.5999999999999996</v>
          </cell>
        </row>
        <row r="4686">
          <cell r="A4686">
            <v>254999</v>
          </cell>
          <cell r="B4686">
            <v>10.9</v>
          </cell>
        </row>
        <row r="4687">
          <cell r="A4687">
            <v>255099</v>
          </cell>
          <cell r="B4687">
            <v>10.9</v>
          </cell>
        </row>
        <row r="4688">
          <cell r="A4688">
            <v>255099</v>
          </cell>
          <cell r="B4688">
            <v>10.1</v>
          </cell>
        </row>
        <row r="4689">
          <cell r="A4689">
            <v>255199</v>
          </cell>
          <cell r="B4689">
            <v>10.1</v>
          </cell>
        </row>
        <row r="4690">
          <cell r="A4690">
            <v>255199</v>
          </cell>
          <cell r="B4690">
            <v>11.3</v>
          </cell>
        </row>
        <row r="4691">
          <cell r="A4691">
            <v>255299</v>
          </cell>
          <cell r="B4691">
            <v>11.3</v>
          </cell>
        </row>
        <row r="4692">
          <cell r="A4692">
            <v>255299</v>
          </cell>
          <cell r="B4692">
            <v>9.9</v>
          </cell>
        </row>
        <row r="4693">
          <cell r="A4693">
            <v>255399</v>
          </cell>
          <cell r="B4693">
            <v>9.9</v>
          </cell>
        </row>
        <row r="4694">
          <cell r="A4694">
            <v>255399</v>
          </cell>
          <cell r="B4694">
            <v>13.6</v>
          </cell>
        </row>
        <row r="4695">
          <cell r="A4695">
            <v>255499</v>
          </cell>
          <cell r="B4695">
            <v>13.6</v>
          </cell>
        </row>
        <row r="4696">
          <cell r="A4696">
            <v>255499</v>
          </cell>
          <cell r="B4696">
            <v>7.3</v>
          </cell>
        </row>
        <row r="4697">
          <cell r="A4697">
            <v>255599</v>
          </cell>
          <cell r="B4697">
            <v>7.3</v>
          </cell>
        </row>
        <row r="4698">
          <cell r="A4698">
            <v>255599</v>
          </cell>
          <cell r="B4698">
            <v>9.9</v>
          </cell>
        </row>
        <row r="4699">
          <cell r="A4699">
            <v>255699</v>
          </cell>
          <cell r="B4699">
            <v>9.9</v>
          </cell>
        </row>
        <row r="4700">
          <cell r="A4700">
            <v>255699</v>
          </cell>
          <cell r="B4700">
            <v>17</v>
          </cell>
        </row>
        <row r="4701">
          <cell r="A4701">
            <v>255799</v>
          </cell>
          <cell r="B4701">
            <v>17</v>
          </cell>
        </row>
        <row r="4702">
          <cell r="A4702">
            <v>255799</v>
          </cell>
          <cell r="B4702">
            <v>13.6</v>
          </cell>
        </row>
        <row r="4703">
          <cell r="A4703">
            <v>255899</v>
          </cell>
          <cell r="B4703">
            <v>13.6</v>
          </cell>
        </row>
        <row r="4704">
          <cell r="A4704">
            <v>255899</v>
          </cell>
          <cell r="B4704">
            <v>13.8</v>
          </cell>
        </row>
        <row r="4705">
          <cell r="A4705">
            <v>256000</v>
          </cell>
          <cell r="B4705">
            <v>13.8</v>
          </cell>
        </row>
        <row r="4706">
          <cell r="A4706">
            <v>256000</v>
          </cell>
          <cell r="B4706">
            <v>14.8</v>
          </cell>
        </row>
        <row r="4707">
          <cell r="A4707">
            <v>256100</v>
          </cell>
          <cell r="B4707">
            <v>14.8</v>
          </cell>
        </row>
        <row r="4708">
          <cell r="A4708">
            <v>256100</v>
          </cell>
          <cell r="B4708">
            <v>10.1</v>
          </cell>
        </row>
        <row r="4709">
          <cell r="A4709">
            <v>256200</v>
          </cell>
          <cell r="B4709">
            <v>10.1</v>
          </cell>
        </row>
        <row r="4710">
          <cell r="A4710">
            <v>256200</v>
          </cell>
          <cell r="B4710">
            <v>7.2</v>
          </cell>
        </row>
        <row r="4711">
          <cell r="A4711">
            <v>256400</v>
          </cell>
          <cell r="B4711">
            <v>7.2</v>
          </cell>
        </row>
        <row r="4712">
          <cell r="A4712">
            <v>256400</v>
          </cell>
          <cell r="B4712">
            <v>13.7</v>
          </cell>
        </row>
        <row r="4713">
          <cell r="A4713">
            <v>256500</v>
          </cell>
          <cell r="B4713">
            <v>13.7</v>
          </cell>
        </row>
        <row r="4714">
          <cell r="A4714">
            <v>256500</v>
          </cell>
          <cell r="B4714">
            <v>13.3</v>
          </cell>
        </row>
        <row r="4715">
          <cell r="A4715">
            <v>256600</v>
          </cell>
          <cell r="B4715">
            <v>13.3</v>
          </cell>
        </row>
        <row r="4716">
          <cell r="A4716">
            <v>256600</v>
          </cell>
          <cell r="B4716">
            <v>7.4</v>
          </cell>
        </row>
        <row r="4717">
          <cell r="A4717">
            <v>256700</v>
          </cell>
          <cell r="B4717">
            <v>7.4</v>
          </cell>
        </row>
        <row r="4718">
          <cell r="A4718">
            <v>256700</v>
          </cell>
          <cell r="B4718">
            <v>11.1</v>
          </cell>
        </row>
        <row r="4719">
          <cell r="A4719">
            <v>256800</v>
          </cell>
          <cell r="B4719">
            <v>11.1</v>
          </cell>
        </row>
        <row r="4720">
          <cell r="A4720">
            <v>256800</v>
          </cell>
          <cell r="B4720">
            <v>11.7</v>
          </cell>
        </row>
        <row r="4721">
          <cell r="A4721">
            <v>256900</v>
          </cell>
          <cell r="B4721">
            <v>11.7</v>
          </cell>
        </row>
        <row r="4722">
          <cell r="A4722">
            <v>256900</v>
          </cell>
          <cell r="B4722">
            <v>15.1</v>
          </cell>
        </row>
        <row r="4723">
          <cell r="A4723">
            <v>257001</v>
          </cell>
          <cell r="B4723">
            <v>15.1</v>
          </cell>
        </row>
        <row r="4724">
          <cell r="A4724">
            <v>257001</v>
          </cell>
          <cell r="B4724">
            <v>10.6</v>
          </cell>
        </row>
        <row r="4725">
          <cell r="A4725">
            <v>257028</v>
          </cell>
          <cell r="B4725">
            <v>10.6</v>
          </cell>
        </row>
        <row r="4726">
          <cell r="A4726">
            <v>257028</v>
          </cell>
          <cell r="B4726">
            <v>10</v>
          </cell>
        </row>
        <row r="4727">
          <cell r="A4727">
            <v>257128</v>
          </cell>
          <cell r="B4727">
            <v>10</v>
          </cell>
        </row>
        <row r="4728">
          <cell r="A4728">
            <v>257128</v>
          </cell>
          <cell r="B4728">
            <v>18.100000000000001</v>
          </cell>
        </row>
        <row r="4729">
          <cell r="A4729">
            <v>257228</v>
          </cell>
          <cell r="B4729">
            <v>18.100000000000001</v>
          </cell>
        </row>
        <row r="4730">
          <cell r="A4730">
            <v>257228</v>
          </cell>
          <cell r="B4730">
            <v>18</v>
          </cell>
        </row>
        <row r="4731">
          <cell r="A4731">
            <v>257328</v>
          </cell>
          <cell r="B4731">
            <v>18</v>
          </cell>
        </row>
        <row r="4732">
          <cell r="A4732">
            <v>257328</v>
          </cell>
          <cell r="B4732">
            <v>16.5</v>
          </cell>
        </row>
        <row r="4733">
          <cell r="A4733">
            <v>257428</v>
          </cell>
          <cell r="B4733">
            <v>16.5</v>
          </cell>
        </row>
        <row r="4734">
          <cell r="A4734">
            <v>257428</v>
          </cell>
          <cell r="B4734">
            <v>15.6</v>
          </cell>
        </row>
        <row r="4735">
          <cell r="A4735">
            <v>257528</v>
          </cell>
          <cell r="B4735">
            <v>15.6</v>
          </cell>
        </row>
        <row r="4736">
          <cell r="A4736">
            <v>257528</v>
          </cell>
          <cell r="B4736">
            <v>20.3</v>
          </cell>
        </row>
        <row r="4737">
          <cell r="A4737">
            <v>257628</v>
          </cell>
          <cell r="B4737">
            <v>20.3</v>
          </cell>
        </row>
        <row r="4738">
          <cell r="A4738">
            <v>257628</v>
          </cell>
          <cell r="B4738">
            <v>19</v>
          </cell>
        </row>
        <row r="4739">
          <cell r="A4739">
            <v>257728</v>
          </cell>
          <cell r="B4739">
            <v>19</v>
          </cell>
        </row>
        <row r="4740">
          <cell r="A4740">
            <v>257728</v>
          </cell>
          <cell r="B4740">
            <v>17.8</v>
          </cell>
        </row>
        <row r="4741">
          <cell r="A4741">
            <v>257828</v>
          </cell>
          <cell r="B4741">
            <v>17.8</v>
          </cell>
        </row>
        <row r="4742">
          <cell r="A4742">
            <v>257828</v>
          </cell>
          <cell r="B4742">
            <v>13.7</v>
          </cell>
        </row>
        <row r="4743">
          <cell r="A4743">
            <v>257928</v>
          </cell>
          <cell r="B4743">
            <v>13.7</v>
          </cell>
        </row>
        <row r="4744">
          <cell r="A4744">
            <v>257928</v>
          </cell>
          <cell r="B4744">
            <v>16.8</v>
          </cell>
        </row>
        <row r="4745">
          <cell r="A4745">
            <v>258031</v>
          </cell>
          <cell r="B4745">
            <v>16.8</v>
          </cell>
        </row>
        <row r="4746">
          <cell r="A4746">
            <v>258031</v>
          </cell>
          <cell r="B4746">
            <v>14.8</v>
          </cell>
        </row>
        <row r="4747">
          <cell r="A4747">
            <v>258231</v>
          </cell>
          <cell r="B4747">
            <v>14.8</v>
          </cell>
        </row>
        <row r="4748">
          <cell r="A4748">
            <v>258231</v>
          </cell>
          <cell r="B4748">
            <v>8.6999999999999993</v>
          </cell>
        </row>
        <row r="4749">
          <cell r="A4749">
            <v>258331</v>
          </cell>
          <cell r="B4749">
            <v>8.6999999999999993</v>
          </cell>
        </row>
        <row r="4750">
          <cell r="A4750">
            <v>258331</v>
          </cell>
          <cell r="B4750">
            <v>6.5</v>
          </cell>
        </row>
        <row r="4751">
          <cell r="A4751">
            <v>258431</v>
          </cell>
          <cell r="B4751">
            <v>6.5</v>
          </cell>
        </row>
        <row r="4752">
          <cell r="A4752">
            <v>258431</v>
          </cell>
          <cell r="B4752">
            <v>9.5</v>
          </cell>
        </row>
        <row r="4753">
          <cell r="A4753">
            <v>258531</v>
          </cell>
          <cell r="B4753">
            <v>9.5</v>
          </cell>
        </row>
        <row r="4754">
          <cell r="A4754">
            <v>258531</v>
          </cell>
          <cell r="B4754">
            <v>16.2</v>
          </cell>
        </row>
        <row r="4755">
          <cell r="A4755">
            <v>258631</v>
          </cell>
          <cell r="B4755">
            <v>16.2</v>
          </cell>
        </row>
        <row r="4756">
          <cell r="A4756">
            <v>258631</v>
          </cell>
          <cell r="B4756">
            <v>11.5</v>
          </cell>
        </row>
        <row r="4757">
          <cell r="A4757">
            <v>258696</v>
          </cell>
          <cell r="B4757">
            <v>11.5</v>
          </cell>
        </row>
        <row r="4758">
          <cell r="A4758">
            <v>258696</v>
          </cell>
          <cell r="B4758">
            <v>16.7</v>
          </cell>
        </row>
        <row r="4759">
          <cell r="A4759">
            <v>258796</v>
          </cell>
          <cell r="B4759">
            <v>16.7</v>
          </cell>
        </row>
        <row r="4760">
          <cell r="A4760">
            <v>258796</v>
          </cell>
          <cell r="B4760">
            <v>15.9</v>
          </cell>
        </row>
        <row r="4761">
          <cell r="A4761">
            <v>258896</v>
          </cell>
          <cell r="B4761">
            <v>15.9</v>
          </cell>
        </row>
        <row r="4762">
          <cell r="A4762">
            <v>258896</v>
          </cell>
          <cell r="B4762">
            <v>19.2</v>
          </cell>
        </row>
        <row r="4763">
          <cell r="A4763">
            <v>258996</v>
          </cell>
          <cell r="B4763">
            <v>19.2</v>
          </cell>
        </row>
        <row r="4764">
          <cell r="A4764">
            <v>258996</v>
          </cell>
          <cell r="B4764">
            <v>16.399999999999999</v>
          </cell>
        </row>
        <row r="4765">
          <cell r="A4765">
            <v>259093</v>
          </cell>
          <cell r="B4765">
            <v>16.399999999999999</v>
          </cell>
        </row>
        <row r="4766">
          <cell r="A4766">
            <v>259093</v>
          </cell>
          <cell r="B4766">
            <v>12</v>
          </cell>
        </row>
        <row r="4767">
          <cell r="A4767">
            <v>259193</v>
          </cell>
          <cell r="B4767">
            <v>12</v>
          </cell>
        </row>
        <row r="4768">
          <cell r="A4768">
            <v>259193</v>
          </cell>
          <cell r="B4768">
            <v>16.3</v>
          </cell>
        </row>
        <row r="4769">
          <cell r="A4769">
            <v>259293</v>
          </cell>
          <cell r="B4769">
            <v>16.3</v>
          </cell>
        </row>
        <row r="4770">
          <cell r="A4770">
            <v>259293</v>
          </cell>
          <cell r="B4770">
            <v>19.399999999999999</v>
          </cell>
        </row>
        <row r="4771">
          <cell r="A4771">
            <v>259393</v>
          </cell>
          <cell r="B4771">
            <v>19.399999999999999</v>
          </cell>
        </row>
        <row r="4772">
          <cell r="A4772">
            <v>259393</v>
          </cell>
          <cell r="B4772">
            <v>15.8</v>
          </cell>
        </row>
        <row r="4773">
          <cell r="A4773">
            <v>259493</v>
          </cell>
          <cell r="B4773">
            <v>15.8</v>
          </cell>
        </row>
        <row r="4774">
          <cell r="A4774">
            <v>259493</v>
          </cell>
          <cell r="B4774">
            <v>18.8</v>
          </cell>
        </row>
        <row r="4775">
          <cell r="A4775">
            <v>259593</v>
          </cell>
          <cell r="B4775">
            <v>18.8</v>
          </cell>
        </row>
        <row r="4776">
          <cell r="A4776">
            <v>259593</v>
          </cell>
          <cell r="B4776">
            <v>7.6</v>
          </cell>
        </row>
        <row r="4777">
          <cell r="A4777">
            <v>259693</v>
          </cell>
          <cell r="B4777">
            <v>7.6</v>
          </cell>
        </row>
        <row r="4778">
          <cell r="A4778">
            <v>259693</v>
          </cell>
          <cell r="B4778">
            <v>15</v>
          </cell>
        </row>
        <row r="4779">
          <cell r="A4779">
            <v>259793</v>
          </cell>
          <cell r="B4779">
            <v>15</v>
          </cell>
        </row>
        <row r="4780">
          <cell r="A4780">
            <v>259793</v>
          </cell>
          <cell r="B4780">
            <v>22.1</v>
          </cell>
        </row>
        <row r="4781">
          <cell r="A4781">
            <v>259893</v>
          </cell>
          <cell r="B4781">
            <v>22.1</v>
          </cell>
        </row>
        <row r="4782">
          <cell r="A4782">
            <v>259893</v>
          </cell>
          <cell r="B4782">
            <v>12.6</v>
          </cell>
        </row>
        <row r="4783">
          <cell r="A4783">
            <v>259993</v>
          </cell>
          <cell r="B4783">
            <v>12.6</v>
          </cell>
        </row>
        <row r="4784">
          <cell r="A4784">
            <v>259993</v>
          </cell>
          <cell r="B4784">
            <v>8.4</v>
          </cell>
        </row>
        <row r="4785">
          <cell r="A4785">
            <v>260093</v>
          </cell>
          <cell r="B4785">
            <v>8.4</v>
          </cell>
        </row>
        <row r="4786">
          <cell r="A4786">
            <v>260093</v>
          </cell>
          <cell r="B4786">
            <v>10.9</v>
          </cell>
        </row>
        <row r="4787">
          <cell r="A4787">
            <v>260193</v>
          </cell>
          <cell r="B4787">
            <v>10.9</v>
          </cell>
        </row>
        <row r="4788">
          <cell r="A4788">
            <v>260193</v>
          </cell>
          <cell r="B4788">
            <v>13.8</v>
          </cell>
        </row>
        <row r="4789">
          <cell r="A4789">
            <v>260293</v>
          </cell>
          <cell r="B4789">
            <v>13.8</v>
          </cell>
        </row>
        <row r="4790">
          <cell r="A4790">
            <v>260293</v>
          </cell>
          <cell r="B4790">
            <v>9.6999999999999993</v>
          </cell>
        </row>
        <row r="4791">
          <cell r="A4791">
            <v>260393</v>
          </cell>
          <cell r="B4791">
            <v>9.6999999999999993</v>
          </cell>
        </row>
        <row r="4792">
          <cell r="A4792">
            <v>260393</v>
          </cell>
          <cell r="B4792">
            <v>14.3</v>
          </cell>
        </row>
        <row r="4793">
          <cell r="A4793">
            <v>260493</v>
          </cell>
          <cell r="B4793">
            <v>14.3</v>
          </cell>
        </row>
        <row r="4794">
          <cell r="A4794">
            <v>260493</v>
          </cell>
          <cell r="B4794">
            <v>13.1</v>
          </cell>
        </row>
        <row r="4795">
          <cell r="A4795">
            <v>260593</v>
          </cell>
          <cell r="B4795">
            <v>13.1</v>
          </cell>
        </row>
        <row r="4796">
          <cell r="A4796">
            <v>260593</v>
          </cell>
          <cell r="B4796">
            <v>17.899999999999999</v>
          </cell>
        </row>
        <row r="4797">
          <cell r="A4797">
            <v>260693</v>
          </cell>
          <cell r="B4797">
            <v>17.899999999999999</v>
          </cell>
        </row>
        <row r="4798">
          <cell r="A4798">
            <v>260693</v>
          </cell>
          <cell r="B4798">
            <v>10.4</v>
          </cell>
        </row>
        <row r="4799">
          <cell r="A4799">
            <v>260793</v>
          </cell>
          <cell r="B4799">
            <v>10.4</v>
          </cell>
        </row>
        <row r="4800">
          <cell r="A4800">
            <v>260793</v>
          </cell>
          <cell r="B4800">
            <v>12.6</v>
          </cell>
        </row>
        <row r="4801">
          <cell r="A4801">
            <v>260893</v>
          </cell>
          <cell r="B4801">
            <v>12.6</v>
          </cell>
        </row>
        <row r="4802">
          <cell r="A4802">
            <v>260893</v>
          </cell>
          <cell r="B4802">
            <v>12.3</v>
          </cell>
        </row>
        <row r="4803">
          <cell r="A4803">
            <v>260993</v>
          </cell>
          <cell r="B4803">
            <v>12.3</v>
          </cell>
        </row>
        <row r="4804">
          <cell r="A4804">
            <v>260993</v>
          </cell>
          <cell r="B4804">
            <v>9.3000000000000007</v>
          </cell>
        </row>
        <row r="4805">
          <cell r="A4805">
            <v>261093</v>
          </cell>
          <cell r="B4805">
            <v>9.3000000000000007</v>
          </cell>
        </row>
        <row r="4806">
          <cell r="A4806">
            <v>261093</v>
          </cell>
          <cell r="B4806">
            <v>5.2</v>
          </cell>
        </row>
        <row r="4807">
          <cell r="A4807">
            <v>261193</v>
          </cell>
          <cell r="B4807">
            <v>5.2</v>
          </cell>
        </row>
        <row r="4808">
          <cell r="A4808">
            <v>261193</v>
          </cell>
          <cell r="B4808">
            <v>4.3</v>
          </cell>
        </row>
        <row r="4809">
          <cell r="A4809">
            <v>261208</v>
          </cell>
          <cell r="B4809">
            <v>4.3</v>
          </cell>
        </row>
        <row r="4810">
          <cell r="A4810">
            <v>261208</v>
          </cell>
        </row>
        <row r="4811">
          <cell r="A4811">
            <v>262122</v>
          </cell>
        </row>
        <row r="4812">
          <cell r="A4812">
            <v>262122</v>
          </cell>
          <cell r="B4812">
            <v>11.9</v>
          </cell>
        </row>
        <row r="4813">
          <cell r="A4813">
            <v>262144</v>
          </cell>
          <cell r="B4813">
            <v>11.9</v>
          </cell>
        </row>
        <row r="4814">
          <cell r="A4814">
            <v>262144</v>
          </cell>
        </row>
        <row r="4815">
          <cell r="A4815">
            <v>262178</v>
          </cell>
        </row>
        <row r="4816">
          <cell r="A4816">
            <v>262178</v>
          </cell>
          <cell r="B4816">
            <v>3.6</v>
          </cell>
        </row>
        <row r="4817">
          <cell r="A4817">
            <v>262278</v>
          </cell>
          <cell r="B4817">
            <v>3.6</v>
          </cell>
        </row>
        <row r="4818">
          <cell r="A4818">
            <v>262278</v>
          </cell>
          <cell r="B4818">
            <v>3.2</v>
          </cell>
        </row>
        <row r="4819">
          <cell r="A4819">
            <v>262378</v>
          </cell>
          <cell r="B4819">
            <v>3.2</v>
          </cell>
        </row>
        <row r="4820">
          <cell r="A4820">
            <v>262378</v>
          </cell>
          <cell r="B4820">
            <v>6.7</v>
          </cell>
        </row>
        <row r="4821">
          <cell r="A4821">
            <v>262478</v>
          </cell>
          <cell r="B4821">
            <v>6.7</v>
          </cell>
        </row>
        <row r="4822">
          <cell r="A4822">
            <v>262478</v>
          </cell>
          <cell r="B4822">
            <v>2.2000000000000002</v>
          </cell>
        </row>
        <row r="4823">
          <cell r="A4823">
            <v>262578</v>
          </cell>
          <cell r="B4823">
            <v>2.2000000000000002</v>
          </cell>
        </row>
        <row r="4824">
          <cell r="A4824">
            <v>262578</v>
          </cell>
          <cell r="B4824">
            <v>1.7</v>
          </cell>
        </row>
        <row r="4825">
          <cell r="A4825">
            <v>262909</v>
          </cell>
          <cell r="B4825">
            <v>1.7</v>
          </cell>
        </row>
      </sheetData>
      <sheetData sheetId="4">
        <row r="1">
          <cell r="S1">
            <v>-0.05</v>
          </cell>
          <cell r="T1">
            <v>0.05</v>
          </cell>
        </row>
        <row r="3">
          <cell r="A3">
            <v>18012</v>
          </cell>
          <cell r="B3">
            <v>22286283.59951568</v>
          </cell>
          <cell r="C3">
            <v>5</v>
          </cell>
          <cell r="E3">
            <v>18012</v>
          </cell>
          <cell r="F3">
            <v>0.27</v>
          </cell>
          <cell r="H3">
            <v>77324</v>
          </cell>
          <cell r="I3">
            <v>4</v>
          </cell>
          <cell r="J3">
            <v>2</v>
          </cell>
          <cell r="L3">
            <v>34614</v>
          </cell>
          <cell r="M3">
            <v>1.1000000000000001</v>
          </cell>
          <cell r="P3">
            <v>32282</v>
          </cell>
          <cell r="Q3">
            <v>1</v>
          </cell>
          <cell r="S3">
            <v>0.95</v>
          </cell>
          <cell r="V3">
            <v>81970</v>
          </cell>
          <cell r="W3">
            <v>1</v>
          </cell>
        </row>
        <row r="4">
          <cell r="A4">
            <v>18732.5</v>
          </cell>
          <cell r="B4">
            <v>22286283.59951568</v>
          </cell>
          <cell r="C4">
            <v>5</v>
          </cell>
          <cell r="E4">
            <v>31414</v>
          </cell>
          <cell r="F4">
            <v>0.27</v>
          </cell>
          <cell r="H4">
            <v>77824</v>
          </cell>
          <cell r="I4">
            <v>4</v>
          </cell>
          <cell r="J4">
            <v>2</v>
          </cell>
          <cell r="L4">
            <v>36828</v>
          </cell>
          <cell r="M4">
            <v>1.1000000000000001</v>
          </cell>
          <cell r="P4">
            <v>32552</v>
          </cell>
          <cell r="Q4">
            <v>1</v>
          </cell>
          <cell r="S4">
            <v>0.95</v>
          </cell>
          <cell r="V4">
            <v>88300</v>
          </cell>
          <cell r="W4">
            <v>1</v>
          </cell>
        </row>
        <row r="5">
          <cell r="A5">
            <v>19453</v>
          </cell>
          <cell r="B5">
            <v>22286283.59951568</v>
          </cell>
          <cell r="C5">
            <v>5</v>
          </cell>
          <cell r="E5">
            <v>31414</v>
          </cell>
          <cell r="F5">
            <v>0.30322746855451049</v>
          </cell>
          <cell r="H5">
            <v>77824</v>
          </cell>
          <cell r="I5">
            <v>3</v>
          </cell>
          <cell r="J5">
            <v>2</v>
          </cell>
          <cell r="L5">
            <v>36828</v>
          </cell>
          <cell r="M5">
            <v>1.9</v>
          </cell>
          <cell r="P5">
            <v>32552</v>
          </cell>
          <cell r="Q5">
            <v>1</v>
          </cell>
          <cell r="R5">
            <v>2</v>
          </cell>
          <cell r="S5">
            <v>0.95</v>
          </cell>
          <cell r="T5">
            <v>2.0499999999999998</v>
          </cell>
          <cell r="V5">
            <v>88300</v>
          </cell>
        </row>
        <row r="6">
          <cell r="A6">
            <v>19453</v>
          </cell>
          <cell r="B6">
            <v>16861928.296529058</v>
          </cell>
          <cell r="C6">
            <v>5</v>
          </cell>
          <cell r="E6">
            <v>34614</v>
          </cell>
          <cell r="F6">
            <v>0.30322746855451049</v>
          </cell>
          <cell r="H6">
            <v>78310</v>
          </cell>
          <cell r="I6">
            <v>3</v>
          </cell>
          <cell r="J6">
            <v>2</v>
          </cell>
          <cell r="L6">
            <v>34614</v>
          </cell>
          <cell r="M6">
            <v>1.9</v>
          </cell>
          <cell r="P6">
            <v>32616</v>
          </cell>
          <cell r="Q6">
            <v>1</v>
          </cell>
          <cell r="R6">
            <v>2</v>
          </cell>
          <cell r="S6">
            <v>0.95</v>
          </cell>
          <cell r="T6">
            <v>2.0499999999999998</v>
          </cell>
          <cell r="V6">
            <v>90200</v>
          </cell>
        </row>
        <row r="7">
          <cell r="A7">
            <v>20955.5</v>
          </cell>
          <cell r="B7">
            <v>16861928.296529058</v>
          </cell>
          <cell r="C7">
            <v>5</v>
          </cell>
          <cell r="E7">
            <v>34614</v>
          </cell>
          <cell r="F7">
            <v>0.37445668675636312</v>
          </cell>
          <cell r="H7">
            <v>78310</v>
          </cell>
          <cell r="I7">
            <v>4</v>
          </cell>
          <cell r="J7">
            <v>2</v>
          </cell>
          <cell r="L7">
            <v>34614</v>
          </cell>
          <cell r="M7">
            <v>1.1000000000000001</v>
          </cell>
          <cell r="P7">
            <v>32616</v>
          </cell>
          <cell r="Q7">
            <v>1</v>
          </cell>
          <cell r="S7">
            <v>0.95</v>
          </cell>
          <cell r="V7">
            <v>90200</v>
          </cell>
          <cell r="W7">
            <v>1</v>
          </cell>
        </row>
        <row r="8">
          <cell r="A8">
            <v>22458</v>
          </cell>
          <cell r="B8">
            <v>16861928.296529058</v>
          </cell>
          <cell r="C8">
            <v>5</v>
          </cell>
          <cell r="E8">
            <v>36828</v>
          </cell>
          <cell r="F8">
            <v>0.37445668675636312</v>
          </cell>
          <cell r="H8">
            <v>78810</v>
          </cell>
          <cell r="I8">
            <v>4</v>
          </cell>
          <cell r="J8">
            <v>2</v>
          </cell>
          <cell r="P8">
            <v>32919</v>
          </cell>
          <cell r="Q8">
            <v>1</v>
          </cell>
          <cell r="S8">
            <v>0.95</v>
          </cell>
          <cell r="V8">
            <v>100000</v>
          </cell>
          <cell r="W8">
            <v>1</v>
          </cell>
        </row>
        <row r="9">
          <cell r="A9">
            <v>22458</v>
          </cell>
          <cell r="B9">
            <v>17377704.926775832</v>
          </cell>
          <cell r="C9">
            <v>5</v>
          </cell>
          <cell r="E9">
            <v>36828</v>
          </cell>
          <cell r="F9">
            <v>0.2552868641820496</v>
          </cell>
          <cell r="H9">
            <v>78810</v>
          </cell>
          <cell r="I9">
            <v>5</v>
          </cell>
          <cell r="J9">
            <v>2</v>
          </cell>
          <cell r="L9">
            <v>86900</v>
          </cell>
          <cell r="M9">
            <v>1.1000000000000001</v>
          </cell>
          <cell r="P9">
            <v>32919</v>
          </cell>
          <cell r="V9">
            <v>100000</v>
          </cell>
        </row>
        <row r="10">
          <cell r="A10">
            <v>23969</v>
          </cell>
          <cell r="B10">
            <v>17377704.926775832</v>
          </cell>
          <cell r="C10">
            <v>5</v>
          </cell>
          <cell r="E10">
            <v>51599</v>
          </cell>
          <cell r="F10">
            <v>0.2552868641820496</v>
          </cell>
          <cell r="H10">
            <v>79247</v>
          </cell>
          <cell r="I10">
            <v>5</v>
          </cell>
          <cell r="J10">
            <v>2</v>
          </cell>
          <cell r="L10">
            <v>90200</v>
          </cell>
          <cell r="M10">
            <v>1.1000000000000001</v>
          </cell>
          <cell r="P10">
            <v>34828</v>
          </cell>
          <cell r="V10">
            <v>104700</v>
          </cell>
        </row>
        <row r="11">
          <cell r="A11">
            <v>25480</v>
          </cell>
          <cell r="B11">
            <v>17377704.926775832</v>
          </cell>
          <cell r="C11">
            <v>5</v>
          </cell>
          <cell r="E11">
            <v>51599</v>
          </cell>
          <cell r="F11">
            <v>0.27611417816424111</v>
          </cell>
          <cell r="H11">
            <v>79247</v>
          </cell>
          <cell r="I11">
            <v>4</v>
          </cell>
          <cell r="J11">
            <v>2</v>
          </cell>
          <cell r="L11">
            <v>90200</v>
          </cell>
          <cell r="M11">
            <v>1.9</v>
          </cell>
          <cell r="P11">
            <v>34828</v>
          </cell>
          <cell r="Q11">
            <v>1</v>
          </cell>
          <cell r="S11">
            <v>0.95</v>
          </cell>
          <cell r="V11">
            <v>104700</v>
          </cell>
          <cell r="W11">
            <v>1</v>
          </cell>
        </row>
        <row r="12">
          <cell r="A12">
            <v>25480</v>
          </cell>
          <cell r="B12">
            <v>11061703.384455718</v>
          </cell>
          <cell r="C12">
            <v>5</v>
          </cell>
          <cell r="E12">
            <v>62050</v>
          </cell>
          <cell r="F12">
            <v>0.27611417816424111</v>
          </cell>
          <cell r="H12">
            <v>80738</v>
          </cell>
          <cell r="I12">
            <v>4</v>
          </cell>
          <cell r="J12">
            <v>2</v>
          </cell>
          <cell r="L12">
            <v>86900</v>
          </cell>
          <cell r="M12">
            <v>1.9</v>
          </cell>
          <cell r="P12">
            <v>34884</v>
          </cell>
          <cell r="Q12">
            <v>1</v>
          </cell>
          <cell r="S12">
            <v>0.95</v>
          </cell>
          <cell r="V12">
            <v>107100</v>
          </cell>
          <cell r="W12">
            <v>1</v>
          </cell>
        </row>
        <row r="13">
          <cell r="A13">
            <v>30516</v>
          </cell>
          <cell r="B13">
            <v>11061703.384455718</v>
          </cell>
          <cell r="C13">
            <v>5</v>
          </cell>
          <cell r="E13">
            <v>62050</v>
          </cell>
          <cell r="F13">
            <v>0.33052330033035326</v>
          </cell>
          <cell r="H13">
            <v>80738</v>
          </cell>
          <cell r="I13">
            <v>5</v>
          </cell>
          <cell r="J13">
            <v>2</v>
          </cell>
          <cell r="L13">
            <v>86900</v>
          </cell>
          <cell r="M13">
            <v>1.1000000000000001</v>
          </cell>
          <cell r="P13">
            <v>34884</v>
          </cell>
          <cell r="Q13">
            <v>1</v>
          </cell>
          <cell r="R13">
            <v>2</v>
          </cell>
          <cell r="S13">
            <v>0.95</v>
          </cell>
          <cell r="T13">
            <v>2.0499999999999998</v>
          </cell>
          <cell r="V13">
            <v>107100</v>
          </cell>
        </row>
        <row r="14">
          <cell r="A14">
            <v>35552</v>
          </cell>
          <cell r="B14">
            <v>11061703.384455718</v>
          </cell>
          <cell r="C14">
            <v>5</v>
          </cell>
          <cell r="E14">
            <v>74840</v>
          </cell>
          <cell r="F14">
            <v>0.33052330033035326</v>
          </cell>
          <cell r="H14">
            <v>81302</v>
          </cell>
          <cell r="I14">
            <v>5</v>
          </cell>
          <cell r="J14">
            <v>2</v>
          </cell>
          <cell r="P14">
            <v>35552</v>
          </cell>
          <cell r="Q14">
            <v>1</v>
          </cell>
          <cell r="R14">
            <v>2</v>
          </cell>
          <cell r="S14">
            <v>0.95</v>
          </cell>
          <cell r="T14">
            <v>2.0499999999999998</v>
          </cell>
          <cell r="V14">
            <v>112700</v>
          </cell>
        </row>
        <row r="15">
          <cell r="A15">
            <v>35552</v>
          </cell>
          <cell r="B15">
            <v>12902768.414148984</v>
          </cell>
          <cell r="C15">
            <v>5</v>
          </cell>
          <cell r="E15">
            <v>74840</v>
          </cell>
          <cell r="F15">
            <v>0.25350660938524816</v>
          </cell>
          <cell r="H15">
            <v>81302</v>
          </cell>
          <cell r="I15">
            <v>4</v>
          </cell>
          <cell r="J15">
            <v>2</v>
          </cell>
          <cell r="L15">
            <v>104400</v>
          </cell>
          <cell r="M15">
            <v>1.1000000000000001</v>
          </cell>
          <cell r="P15">
            <v>35552</v>
          </cell>
          <cell r="Q15">
            <v>1</v>
          </cell>
          <cell r="R15">
            <v>2</v>
          </cell>
          <cell r="S15">
            <v>0.95</v>
          </cell>
          <cell r="T15">
            <v>2.0499999999999998</v>
          </cell>
          <cell r="V15">
            <v>112700</v>
          </cell>
          <cell r="W15">
            <v>1</v>
          </cell>
        </row>
        <row r="16">
          <cell r="A16">
            <v>36147.5</v>
          </cell>
          <cell r="B16">
            <v>12902768.414148984</v>
          </cell>
          <cell r="C16">
            <v>5</v>
          </cell>
          <cell r="E16">
            <v>81950</v>
          </cell>
          <cell r="F16">
            <v>0.25350660938524816</v>
          </cell>
          <cell r="H16">
            <v>81802</v>
          </cell>
          <cell r="I16">
            <v>4</v>
          </cell>
          <cell r="J16">
            <v>2</v>
          </cell>
          <cell r="L16">
            <v>105200</v>
          </cell>
          <cell r="M16">
            <v>1.1000000000000001</v>
          </cell>
          <cell r="P16">
            <v>36090</v>
          </cell>
          <cell r="Q16">
            <v>1</v>
          </cell>
          <cell r="R16">
            <v>2</v>
          </cell>
          <cell r="S16">
            <v>0.95</v>
          </cell>
          <cell r="T16">
            <v>2.0499999999999998</v>
          </cell>
          <cell r="V16">
            <v>130550</v>
          </cell>
          <cell r="W16">
            <v>1</v>
          </cell>
        </row>
        <row r="17">
          <cell r="A17">
            <v>36743</v>
          </cell>
          <cell r="B17">
            <v>12902768.414148984</v>
          </cell>
          <cell r="C17">
            <v>5</v>
          </cell>
          <cell r="E17">
            <v>81950</v>
          </cell>
          <cell r="F17">
            <v>0.28181116962922087</v>
          </cell>
          <cell r="H17">
            <v>81802</v>
          </cell>
          <cell r="I17">
            <v>3</v>
          </cell>
          <cell r="J17">
            <v>2</v>
          </cell>
          <cell r="L17">
            <v>105200</v>
          </cell>
          <cell r="M17">
            <v>1.9</v>
          </cell>
          <cell r="P17">
            <v>36090</v>
          </cell>
          <cell r="R17">
            <v>2</v>
          </cell>
          <cell r="T17">
            <v>2.0499999999999998</v>
          </cell>
          <cell r="V17">
            <v>130550</v>
          </cell>
        </row>
        <row r="18">
          <cell r="A18">
            <v>36743</v>
          </cell>
          <cell r="B18">
            <v>9963328.8601245377</v>
          </cell>
          <cell r="C18">
            <v>3</v>
          </cell>
          <cell r="E18">
            <v>86900</v>
          </cell>
          <cell r="F18">
            <v>0.28181116962922087</v>
          </cell>
          <cell r="H18">
            <v>81973</v>
          </cell>
          <cell r="I18">
            <v>3</v>
          </cell>
          <cell r="J18">
            <v>2</v>
          </cell>
          <cell r="L18">
            <v>104400</v>
          </cell>
          <cell r="M18">
            <v>1.9</v>
          </cell>
          <cell r="P18">
            <v>36095</v>
          </cell>
          <cell r="R18">
            <v>2</v>
          </cell>
          <cell r="T18">
            <v>2.0499999999999998</v>
          </cell>
          <cell r="V18">
            <v>132000</v>
          </cell>
        </row>
        <row r="19">
          <cell r="A19">
            <v>40833</v>
          </cell>
          <cell r="B19">
            <v>9963328.8601245377</v>
          </cell>
          <cell r="C19">
            <v>3</v>
          </cell>
          <cell r="E19">
            <v>86900</v>
          </cell>
          <cell r="F19">
            <v>0.27280119440832595</v>
          </cell>
          <cell r="H19">
            <v>81973</v>
          </cell>
          <cell r="I19">
            <v>5</v>
          </cell>
          <cell r="J19">
            <v>2</v>
          </cell>
          <cell r="L19">
            <v>104400</v>
          </cell>
          <cell r="M19">
            <v>1.1000000000000001</v>
          </cell>
          <cell r="P19">
            <v>36095</v>
          </cell>
          <cell r="V19">
            <v>132000</v>
          </cell>
          <cell r="W19">
            <v>1</v>
          </cell>
        </row>
        <row r="20">
          <cell r="A20">
            <v>44923</v>
          </cell>
          <cell r="B20">
            <v>9963328.8601245377</v>
          </cell>
          <cell r="C20">
            <v>3</v>
          </cell>
          <cell r="E20">
            <v>90200</v>
          </cell>
          <cell r="F20">
            <v>0.27280119440832595</v>
          </cell>
          <cell r="H20">
            <v>82458</v>
          </cell>
          <cell r="I20">
            <v>5</v>
          </cell>
          <cell r="J20">
            <v>2</v>
          </cell>
          <cell r="P20">
            <v>41871</v>
          </cell>
          <cell r="V20">
            <v>137000</v>
          </cell>
          <cell r="W20">
            <v>1</v>
          </cell>
        </row>
        <row r="21">
          <cell r="A21">
            <v>44923</v>
          </cell>
          <cell r="B21">
            <v>11127132.538630074</v>
          </cell>
          <cell r="C21">
            <v>5</v>
          </cell>
          <cell r="E21">
            <v>90200</v>
          </cell>
          <cell r="F21">
            <v>0.28759989081629611</v>
          </cell>
          <cell r="H21">
            <v>82458</v>
          </cell>
          <cell r="I21">
            <v>5</v>
          </cell>
          <cell r="J21">
            <v>1</v>
          </cell>
          <cell r="L21">
            <v>107100</v>
          </cell>
          <cell r="M21">
            <v>1.1000000000000001</v>
          </cell>
          <cell r="P21">
            <v>41871</v>
          </cell>
          <cell r="Q21">
            <v>1</v>
          </cell>
          <cell r="S21">
            <v>0.95</v>
          </cell>
        </row>
        <row r="22">
          <cell r="A22">
            <v>46602.5</v>
          </cell>
          <cell r="B22">
            <v>11127132.538630074</v>
          </cell>
          <cell r="C22">
            <v>5</v>
          </cell>
          <cell r="E22">
            <v>104400</v>
          </cell>
          <cell r="F22">
            <v>0.28759989081629611</v>
          </cell>
          <cell r="H22">
            <v>83453</v>
          </cell>
          <cell r="I22">
            <v>5</v>
          </cell>
          <cell r="J22">
            <v>1</v>
          </cell>
          <cell r="L22">
            <v>112700</v>
          </cell>
          <cell r="M22">
            <v>1.1000000000000001</v>
          </cell>
          <cell r="P22">
            <v>41886</v>
          </cell>
          <cell r="Q22">
            <v>1</v>
          </cell>
          <cell r="S22">
            <v>0.95</v>
          </cell>
        </row>
        <row r="23">
          <cell r="A23">
            <v>48282</v>
          </cell>
          <cell r="B23">
            <v>11127132.538630074</v>
          </cell>
          <cell r="C23">
            <v>5</v>
          </cell>
          <cell r="E23">
            <v>104400</v>
          </cell>
          <cell r="F23">
            <v>0.41056416675555357</v>
          </cell>
          <cell r="H23">
            <v>83453</v>
          </cell>
          <cell r="I23">
            <v>3</v>
          </cell>
          <cell r="J23">
            <v>1</v>
          </cell>
          <cell r="L23">
            <v>112700</v>
          </cell>
          <cell r="M23">
            <v>1.9</v>
          </cell>
          <cell r="P23">
            <v>41886</v>
          </cell>
        </row>
        <row r="24">
          <cell r="A24">
            <v>48282</v>
          </cell>
          <cell r="B24">
            <v>11266343.504958486</v>
          </cell>
          <cell r="C24">
            <v>5</v>
          </cell>
          <cell r="E24">
            <v>107100</v>
          </cell>
          <cell r="F24">
            <v>0.41056416675555357</v>
          </cell>
          <cell r="H24">
            <v>83953</v>
          </cell>
          <cell r="I24">
            <v>3</v>
          </cell>
          <cell r="J24">
            <v>1</v>
          </cell>
          <cell r="L24">
            <v>107100</v>
          </cell>
          <cell r="M24">
            <v>1.9</v>
          </cell>
          <cell r="P24">
            <v>41947</v>
          </cell>
        </row>
        <row r="25">
          <cell r="A25">
            <v>49240.5</v>
          </cell>
          <cell r="B25">
            <v>11266343.504958486</v>
          </cell>
          <cell r="C25">
            <v>5</v>
          </cell>
          <cell r="E25">
            <v>107100</v>
          </cell>
          <cell r="F25">
            <v>0.36277644709887868</v>
          </cell>
          <cell r="H25">
            <v>83953</v>
          </cell>
          <cell r="I25">
            <v>5</v>
          </cell>
          <cell r="J25">
            <v>1</v>
          </cell>
          <cell r="L25">
            <v>107100</v>
          </cell>
          <cell r="M25">
            <v>1.1000000000000001</v>
          </cell>
          <cell r="P25">
            <v>41947</v>
          </cell>
          <cell r="R25">
            <v>2</v>
          </cell>
          <cell r="T25">
            <v>2.0499999999999998</v>
          </cell>
        </row>
        <row r="26">
          <cell r="A26">
            <v>50199</v>
          </cell>
          <cell r="B26">
            <v>11266343.504958486</v>
          </cell>
          <cell r="C26">
            <v>5</v>
          </cell>
          <cell r="E26">
            <v>112700</v>
          </cell>
          <cell r="F26">
            <v>0.36277644709887868</v>
          </cell>
          <cell r="H26">
            <v>85130</v>
          </cell>
          <cell r="I26">
            <v>5</v>
          </cell>
          <cell r="J26">
            <v>1</v>
          </cell>
          <cell r="P26">
            <v>41962</v>
          </cell>
          <cell r="R26">
            <v>2</v>
          </cell>
          <cell r="T26">
            <v>2.0499999999999998</v>
          </cell>
        </row>
        <row r="27">
          <cell r="A27">
            <v>50199</v>
          </cell>
          <cell r="B27">
            <v>10769360.355166052</v>
          </cell>
          <cell r="C27">
            <v>5</v>
          </cell>
          <cell r="E27">
            <v>112700</v>
          </cell>
          <cell r="F27">
            <v>0.4864431619509304</v>
          </cell>
          <cell r="H27">
            <v>85130</v>
          </cell>
          <cell r="I27">
            <v>4</v>
          </cell>
          <cell r="J27">
            <v>1</v>
          </cell>
          <cell r="L27">
            <v>120800</v>
          </cell>
          <cell r="M27">
            <v>1.1000000000000001</v>
          </cell>
          <cell r="P27">
            <v>41962</v>
          </cell>
        </row>
        <row r="28">
          <cell r="A28">
            <v>50899</v>
          </cell>
          <cell r="B28">
            <v>10769360.355166052</v>
          </cell>
          <cell r="C28">
            <v>5</v>
          </cell>
          <cell r="E28">
            <v>120800</v>
          </cell>
          <cell r="F28">
            <v>0.4864431619509304</v>
          </cell>
          <cell r="H28">
            <v>85630</v>
          </cell>
          <cell r="I28">
            <v>4</v>
          </cell>
          <cell r="J28">
            <v>1</v>
          </cell>
          <cell r="L28">
            <v>124100</v>
          </cell>
          <cell r="M28">
            <v>1.1000000000000001</v>
          </cell>
          <cell r="P28">
            <v>43695</v>
          </cell>
        </row>
        <row r="29">
          <cell r="A29">
            <v>51599</v>
          </cell>
          <cell r="B29">
            <v>10769360.355166052</v>
          </cell>
          <cell r="C29">
            <v>5</v>
          </cell>
          <cell r="E29">
            <v>120800</v>
          </cell>
          <cell r="F29">
            <v>0.45166479295558404</v>
          </cell>
          <cell r="H29">
            <v>85630</v>
          </cell>
          <cell r="I29">
            <v>5</v>
          </cell>
          <cell r="J29">
            <v>1</v>
          </cell>
          <cell r="L29">
            <v>124100</v>
          </cell>
          <cell r="M29">
            <v>1.9</v>
          </cell>
          <cell r="P29">
            <v>43695</v>
          </cell>
          <cell r="Q29">
            <v>1</v>
          </cell>
          <cell r="S29">
            <v>0.95</v>
          </cell>
        </row>
        <row r="30">
          <cell r="A30">
            <v>51599</v>
          </cell>
          <cell r="B30">
            <v>12386295.72907057</v>
          </cell>
          <cell r="C30">
            <v>5</v>
          </cell>
          <cell r="E30">
            <v>124100</v>
          </cell>
          <cell r="F30">
            <v>0.45166479295558404</v>
          </cell>
          <cell r="H30">
            <v>88886</v>
          </cell>
          <cell r="I30">
            <v>5</v>
          </cell>
          <cell r="J30">
            <v>1</v>
          </cell>
          <cell r="L30">
            <v>120800</v>
          </cell>
          <cell r="M30">
            <v>1.9</v>
          </cell>
          <cell r="P30">
            <v>43710</v>
          </cell>
          <cell r="Q30">
            <v>1</v>
          </cell>
          <cell r="S30">
            <v>0.95</v>
          </cell>
        </row>
        <row r="31">
          <cell r="A31">
            <v>55314.5</v>
          </cell>
          <cell r="B31">
            <v>12386295.72907057</v>
          </cell>
          <cell r="C31">
            <v>5</v>
          </cell>
          <cell r="E31">
            <v>124100</v>
          </cell>
          <cell r="F31">
            <v>0.49883666683000555</v>
          </cell>
          <cell r="H31">
            <v>88886</v>
          </cell>
          <cell r="I31">
            <v>2</v>
          </cell>
          <cell r="J31">
            <v>1</v>
          </cell>
          <cell r="L31">
            <v>120800</v>
          </cell>
          <cell r="M31">
            <v>1.1000000000000001</v>
          </cell>
          <cell r="P31">
            <v>43710</v>
          </cell>
        </row>
        <row r="32">
          <cell r="A32">
            <v>59030</v>
          </cell>
          <cell r="B32">
            <v>12386295.72907057</v>
          </cell>
          <cell r="C32">
            <v>5</v>
          </cell>
          <cell r="E32">
            <v>139943</v>
          </cell>
          <cell r="F32">
            <v>0.49883666683000555</v>
          </cell>
          <cell r="H32">
            <v>89230</v>
          </cell>
          <cell r="I32">
            <v>2</v>
          </cell>
          <cell r="J32">
            <v>1</v>
          </cell>
          <cell r="P32">
            <v>43795</v>
          </cell>
        </row>
        <row r="33">
          <cell r="A33">
            <v>59030</v>
          </cell>
          <cell r="B33">
            <v>11081192.919741694</v>
          </cell>
          <cell r="C33">
            <v>5</v>
          </cell>
          <cell r="H33">
            <v>89230</v>
          </cell>
          <cell r="I33">
            <v>3</v>
          </cell>
          <cell r="J33">
            <v>1</v>
          </cell>
          <cell r="P33">
            <v>43795</v>
          </cell>
          <cell r="R33">
            <v>2</v>
          </cell>
          <cell r="T33">
            <v>2.0499999999999998</v>
          </cell>
        </row>
        <row r="34">
          <cell r="A34">
            <v>60540</v>
          </cell>
          <cell r="B34">
            <v>11081192.919741694</v>
          </cell>
          <cell r="C34">
            <v>5</v>
          </cell>
          <cell r="H34">
            <v>90278</v>
          </cell>
          <cell r="I34">
            <v>3</v>
          </cell>
          <cell r="J34">
            <v>1</v>
          </cell>
          <cell r="P34">
            <v>43810</v>
          </cell>
          <cell r="R34">
            <v>2</v>
          </cell>
          <cell r="T34">
            <v>2.0499999999999998</v>
          </cell>
        </row>
        <row r="35">
          <cell r="A35">
            <v>62050</v>
          </cell>
          <cell r="B35">
            <v>11081192.919741694</v>
          </cell>
          <cell r="C35">
            <v>5</v>
          </cell>
          <cell r="H35">
            <v>90278</v>
          </cell>
          <cell r="I35">
            <v>5</v>
          </cell>
          <cell r="J35">
            <v>1</v>
          </cell>
          <cell r="P35">
            <v>43810</v>
          </cell>
        </row>
        <row r="36">
          <cell r="A36">
            <v>62050</v>
          </cell>
          <cell r="B36">
            <v>11045694.12332795</v>
          </cell>
          <cell r="C36">
            <v>5</v>
          </cell>
          <cell r="H36">
            <v>93281</v>
          </cell>
          <cell r="I36">
            <v>5</v>
          </cell>
          <cell r="J36">
            <v>1</v>
          </cell>
          <cell r="P36">
            <v>45195</v>
          </cell>
        </row>
        <row r="37">
          <cell r="A37">
            <v>63830.5</v>
          </cell>
          <cell r="B37">
            <v>11045694.12332795</v>
          </cell>
          <cell r="C37">
            <v>5</v>
          </cell>
          <cell r="H37">
            <v>93281</v>
          </cell>
          <cell r="I37">
            <v>4</v>
          </cell>
          <cell r="J37">
            <v>1</v>
          </cell>
          <cell r="P37">
            <v>45195</v>
          </cell>
          <cell r="Q37">
            <v>1</v>
          </cell>
          <cell r="S37">
            <v>0.95</v>
          </cell>
        </row>
        <row r="38">
          <cell r="A38">
            <v>65611</v>
          </cell>
          <cell r="B38">
            <v>11045694.12332795</v>
          </cell>
          <cell r="C38">
            <v>5</v>
          </cell>
          <cell r="H38">
            <v>93781</v>
          </cell>
          <cell r="I38">
            <v>4</v>
          </cell>
          <cell r="J38">
            <v>1</v>
          </cell>
          <cell r="P38">
            <v>45210</v>
          </cell>
          <cell r="Q38">
            <v>1</v>
          </cell>
          <cell r="S38">
            <v>0.95</v>
          </cell>
        </row>
        <row r="39">
          <cell r="A39">
            <v>65611</v>
          </cell>
          <cell r="B39">
            <v>13415760.825069185</v>
          </cell>
          <cell r="C39">
            <v>5</v>
          </cell>
          <cell r="H39">
            <v>93781</v>
          </cell>
          <cell r="I39">
            <v>5</v>
          </cell>
          <cell r="J39">
            <v>1</v>
          </cell>
          <cell r="P39">
            <v>45210</v>
          </cell>
        </row>
        <row r="40">
          <cell r="A40">
            <v>66818</v>
          </cell>
          <cell r="B40">
            <v>13415760.825069185</v>
          </cell>
          <cell r="C40">
            <v>5</v>
          </cell>
          <cell r="H40">
            <v>95690</v>
          </cell>
          <cell r="I40">
            <v>5</v>
          </cell>
          <cell r="J40">
            <v>1</v>
          </cell>
          <cell r="P40">
            <v>45302</v>
          </cell>
        </row>
        <row r="41">
          <cell r="A41">
            <v>68025</v>
          </cell>
          <cell r="B41">
            <v>13415760.825069185</v>
          </cell>
          <cell r="C41">
            <v>5</v>
          </cell>
          <cell r="P41">
            <v>45302</v>
          </cell>
          <cell r="R41">
            <v>2</v>
          </cell>
          <cell r="T41">
            <v>2.0499999999999998</v>
          </cell>
        </row>
        <row r="42">
          <cell r="A42">
            <v>68025</v>
          </cell>
          <cell r="B42">
            <v>16102532.475207563</v>
          </cell>
          <cell r="C42">
            <v>5</v>
          </cell>
          <cell r="P42">
            <v>45317</v>
          </cell>
          <cell r="R42">
            <v>2</v>
          </cell>
          <cell r="T42">
            <v>2.0499999999999998</v>
          </cell>
        </row>
        <row r="43">
          <cell r="A43">
            <v>68507</v>
          </cell>
          <cell r="B43">
            <v>16102532.475207563</v>
          </cell>
          <cell r="C43">
            <v>5</v>
          </cell>
          <cell r="P43">
            <v>45317</v>
          </cell>
        </row>
        <row r="44">
          <cell r="A44">
            <v>68989</v>
          </cell>
          <cell r="B44">
            <v>16102532.475207563</v>
          </cell>
          <cell r="C44">
            <v>5</v>
          </cell>
          <cell r="P44">
            <v>48310</v>
          </cell>
        </row>
        <row r="45">
          <cell r="A45">
            <v>68989</v>
          </cell>
          <cell r="B45">
            <v>16930837.724861622</v>
          </cell>
          <cell r="C45">
            <v>5</v>
          </cell>
          <cell r="P45">
            <v>48310</v>
          </cell>
          <cell r="R45">
            <v>2</v>
          </cell>
          <cell r="T45">
            <v>2.0499999999999998</v>
          </cell>
        </row>
        <row r="46">
          <cell r="A46">
            <v>69719.5</v>
          </cell>
          <cell r="B46">
            <v>16930837.724861622</v>
          </cell>
          <cell r="C46">
            <v>5</v>
          </cell>
          <cell r="P46">
            <v>48325</v>
          </cell>
          <cell r="R46">
            <v>2</v>
          </cell>
          <cell r="T46">
            <v>2.0499999999999998</v>
          </cell>
        </row>
        <row r="47">
          <cell r="A47">
            <v>70450</v>
          </cell>
          <cell r="B47">
            <v>16930837.724861622</v>
          </cell>
          <cell r="C47">
            <v>5</v>
          </cell>
          <cell r="P47">
            <v>48325</v>
          </cell>
        </row>
        <row r="48">
          <cell r="A48">
            <v>70450</v>
          </cell>
          <cell r="B48">
            <v>16534086.470825644</v>
          </cell>
          <cell r="C48">
            <v>5</v>
          </cell>
          <cell r="P48">
            <v>50067</v>
          </cell>
        </row>
        <row r="49">
          <cell r="A49">
            <v>71755</v>
          </cell>
          <cell r="B49">
            <v>16534086.470825644</v>
          </cell>
          <cell r="C49">
            <v>5</v>
          </cell>
          <cell r="P49">
            <v>50067</v>
          </cell>
          <cell r="Q49">
            <v>1</v>
          </cell>
          <cell r="R49">
            <v>2</v>
          </cell>
          <cell r="S49">
            <v>0.95</v>
          </cell>
          <cell r="T49">
            <v>2.0499999999999998</v>
          </cell>
        </row>
        <row r="50">
          <cell r="A50">
            <v>73060</v>
          </cell>
          <cell r="B50">
            <v>16534086.470825644</v>
          </cell>
          <cell r="C50">
            <v>5</v>
          </cell>
          <cell r="P50">
            <v>50192</v>
          </cell>
          <cell r="Q50">
            <v>1</v>
          </cell>
          <cell r="R50">
            <v>2</v>
          </cell>
          <cell r="S50">
            <v>0.95</v>
          </cell>
          <cell r="T50">
            <v>2.0499999999999998</v>
          </cell>
        </row>
        <row r="51">
          <cell r="A51">
            <v>73060</v>
          </cell>
          <cell r="B51">
            <v>14922719.535574257</v>
          </cell>
          <cell r="C51">
            <v>5</v>
          </cell>
          <cell r="P51">
            <v>50192</v>
          </cell>
          <cell r="Q51">
            <v>1</v>
          </cell>
          <cell r="S51">
            <v>0.95</v>
          </cell>
        </row>
        <row r="52">
          <cell r="A52">
            <v>73924</v>
          </cell>
          <cell r="B52">
            <v>14922719.535574257</v>
          </cell>
          <cell r="C52">
            <v>5</v>
          </cell>
          <cell r="P52">
            <v>50199</v>
          </cell>
          <cell r="Q52">
            <v>1</v>
          </cell>
          <cell r="S52">
            <v>0.95</v>
          </cell>
        </row>
        <row r="53">
          <cell r="A53">
            <v>74788</v>
          </cell>
          <cell r="B53">
            <v>14922719.535574257</v>
          </cell>
          <cell r="C53">
            <v>5</v>
          </cell>
          <cell r="P53">
            <v>50199</v>
          </cell>
        </row>
        <row r="54">
          <cell r="A54">
            <v>74788</v>
          </cell>
          <cell r="B54">
            <v>11012283.491409132</v>
          </cell>
          <cell r="C54">
            <v>5</v>
          </cell>
          <cell r="P54">
            <v>56899</v>
          </cell>
        </row>
        <row r="55">
          <cell r="A55">
            <v>76056</v>
          </cell>
          <cell r="B55">
            <v>11012283.491409132</v>
          </cell>
          <cell r="C55">
            <v>5</v>
          </cell>
          <cell r="P55">
            <v>56899</v>
          </cell>
          <cell r="Q55">
            <v>1</v>
          </cell>
          <cell r="S55">
            <v>0.95</v>
          </cell>
        </row>
        <row r="56">
          <cell r="A56">
            <v>77324</v>
          </cell>
          <cell r="B56">
            <v>11012283.491409132</v>
          </cell>
          <cell r="C56">
            <v>5</v>
          </cell>
          <cell r="P56">
            <v>56914</v>
          </cell>
          <cell r="Q56">
            <v>1</v>
          </cell>
          <cell r="S56">
            <v>0.95</v>
          </cell>
        </row>
        <row r="57">
          <cell r="A57">
            <v>77324</v>
          </cell>
          <cell r="B57">
            <v>12246388.707910515</v>
          </cell>
          <cell r="C57">
            <v>5</v>
          </cell>
          <cell r="P57">
            <v>56914</v>
          </cell>
        </row>
        <row r="58">
          <cell r="A58">
            <v>81227</v>
          </cell>
          <cell r="B58">
            <v>12246388.707910515</v>
          </cell>
          <cell r="C58">
            <v>5</v>
          </cell>
          <cell r="P58">
            <v>56997</v>
          </cell>
        </row>
        <row r="59">
          <cell r="A59">
            <v>85130</v>
          </cell>
          <cell r="B59">
            <v>12246388.707910515</v>
          </cell>
          <cell r="C59">
            <v>5</v>
          </cell>
          <cell r="P59">
            <v>56997</v>
          </cell>
          <cell r="R59">
            <v>2</v>
          </cell>
          <cell r="T59">
            <v>2.0499999999999998</v>
          </cell>
        </row>
        <row r="60">
          <cell r="A60">
            <v>85130</v>
          </cell>
          <cell r="B60">
            <v>10028061.959467251</v>
          </cell>
          <cell r="C60">
            <v>5</v>
          </cell>
          <cell r="P60">
            <v>57017</v>
          </cell>
          <cell r="R60">
            <v>2</v>
          </cell>
          <cell r="T60">
            <v>2.0499999999999998</v>
          </cell>
        </row>
        <row r="61">
          <cell r="A61">
            <v>86105</v>
          </cell>
          <cell r="B61">
            <v>10028061.959467251</v>
          </cell>
          <cell r="C61">
            <v>5</v>
          </cell>
          <cell r="P61">
            <v>57017</v>
          </cell>
        </row>
        <row r="62">
          <cell r="A62">
            <v>87080</v>
          </cell>
          <cell r="B62">
            <v>10028061.959467251</v>
          </cell>
          <cell r="C62">
            <v>5</v>
          </cell>
          <cell r="P62">
            <v>58020</v>
          </cell>
        </row>
        <row r="63">
          <cell r="A63">
            <v>87080</v>
          </cell>
          <cell r="B63">
            <v>14017152.199607933</v>
          </cell>
          <cell r="C63">
            <v>5</v>
          </cell>
          <cell r="P63">
            <v>58020</v>
          </cell>
          <cell r="Q63">
            <v>1</v>
          </cell>
          <cell r="S63">
            <v>0.95</v>
          </cell>
        </row>
        <row r="64">
          <cell r="A64">
            <v>87733</v>
          </cell>
          <cell r="B64">
            <v>14017152.199607933</v>
          </cell>
          <cell r="C64">
            <v>5</v>
          </cell>
          <cell r="P64">
            <v>58035</v>
          </cell>
          <cell r="Q64">
            <v>1</v>
          </cell>
          <cell r="S64">
            <v>0.95</v>
          </cell>
        </row>
        <row r="65">
          <cell r="A65">
            <v>88386</v>
          </cell>
          <cell r="B65">
            <v>14017152.199607933</v>
          </cell>
          <cell r="C65">
            <v>5</v>
          </cell>
          <cell r="P65">
            <v>58035</v>
          </cell>
        </row>
        <row r="66">
          <cell r="A66">
            <v>88386</v>
          </cell>
          <cell r="B66">
            <v>7655907.0932310885</v>
          </cell>
          <cell r="C66">
            <v>3</v>
          </cell>
          <cell r="P66">
            <v>58120</v>
          </cell>
        </row>
        <row r="67">
          <cell r="A67">
            <v>96323</v>
          </cell>
          <cell r="B67">
            <v>7655907.0932310885</v>
          </cell>
          <cell r="C67">
            <v>3</v>
          </cell>
          <cell r="P67">
            <v>58120</v>
          </cell>
          <cell r="R67">
            <v>2</v>
          </cell>
          <cell r="T67">
            <v>2.0499999999999998</v>
          </cell>
        </row>
        <row r="68">
          <cell r="A68">
            <v>104260</v>
          </cell>
          <cell r="B68">
            <v>7655907.0932310885</v>
          </cell>
          <cell r="C68">
            <v>3</v>
          </cell>
          <cell r="P68">
            <v>58135</v>
          </cell>
          <cell r="R68">
            <v>2</v>
          </cell>
          <cell r="T68">
            <v>2.0499999999999998</v>
          </cell>
        </row>
        <row r="69">
          <cell r="A69">
            <v>104260</v>
          </cell>
          <cell r="B69">
            <v>7224353.0976130068</v>
          </cell>
          <cell r="C69">
            <v>3</v>
          </cell>
          <cell r="P69">
            <v>58135</v>
          </cell>
        </row>
        <row r="70">
          <cell r="A70">
            <v>107910</v>
          </cell>
          <cell r="B70">
            <v>7224353.0976130068</v>
          </cell>
          <cell r="C70">
            <v>3</v>
          </cell>
          <cell r="P70">
            <v>59008</v>
          </cell>
        </row>
        <row r="71">
          <cell r="A71">
            <v>111560</v>
          </cell>
          <cell r="B71">
            <v>7224353.0976130068</v>
          </cell>
          <cell r="C71">
            <v>3</v>
          </cell>
          <cell r="P71">
            <v>59008</v>
          </cell>
          <cell r="Q71">
            <v>1</v>
          </cell>
          <cell r="S71">
            <v>0.95</v>
          </cell>
        </row>
        <row r="72">
          <cell r="A72">
            <v>111560</v>
          </cell>
          <cell r="B72">
            <v>11395113.64881227</v>
          </cell>
          <cell r="C72">
            <v>5</v>
          </cell>
          <cell r="P72">
            <v>59023</v>
          </cell>
          <cell r="Q72">
            <v>1</v>
          </cell>
          <cell r="S72">
            <v>0.95</v>
          </cell>
        </row>
        <row r="73">
          <cell r="A73">
            <v>113780</v>
          </cell>
          <cell r="B73">
            <v>11395113.64881227</v>
          </cell>
          <cell r="C73">
            <v>5</v>
          </cell>
          <cell r="P73">
            <v>59023</v>
          </cell>
        </row>
        <row r="74">
          <cell r="A74">
            <v>116000</v>
          </cell>
          <cell r="B74">
            <v>11395113.64881227</v>
          </cell>
          <cell r="C74">
            <v>5</v>
          </cell>
          <cell r="P74">
            <v>59078</v>
          </cell>
        </row>
        <row r="75">
          <cell r="A75">
            <v>116000</v>
          </cell>
          <cell r="B75">
            <v>9089083.9915821012</v>
          </cell>
          <cell r="C75">
            <v>3</v>
          </cell>
          <cell r="P75">
            <v>59078</v>
          </cell>
          <cell r="R75">
            <v>2</v>
          </cell>
          <cell r="T75">
            <v>2.0499999999999998</v>
          </cell>
        </row>
        <row r="76">
          <cell r="A76">
            <v>118136.5</v>
          </cell>
          <cell r="B76">
            <v>9089083.9915821012</v>
          </cell>
          <cell r="C76">
            <v>3</v>
          </cell>
          <cell r="P76">
            <v>59093</v>
          </cell>
          <cell r="R76">
            <v>2</v>
          </cell>
          <cell r="T76">
            <v>2.0499999999999998</v>
          </cell>
        </row>
        <row r="77">
          <cell r="A77">
            <v>120273</v>
          </cell>
          <cell r="B77">
            <v>9089083.9915821012</v>
          </cell>
          <cell r="C77">
            <v>3</v>
          </cell>
          <cell r="P77">
            <v>59093</v>
          </cell>
        </row>
        <row r="78">
          <cell r="A78">
            <v>120273</v>
          </cell>
          <cell r="B78">
            <v>9022262.7277444638</v>
          </cell>
          <cell r="C78">
            <v>3</v>
          </cell>
          <cell r="P78">
            <v>59911</v>
          </cell>
        </row>
        <row r="79">
          <cell r="A79">
            <v>125476</v>
          </cell>
          <cell r="B79">
            <v>9022262.7277444638</v>
          </cell>
          <cell r="C79">
            <v>3</v>
          </cell>
          <cell r="P79">
            <v>59911</v>
          </cell>
          <cell r="Q79">
            <v>1</v>
          </cell>
          <cell r="S79">
            <v>0.95</v>
          </cell>
        </row>
        <row r="80">
          <cell r="A80">
            <v>130679</v>
          </cell>
          <cell r="B80">
            <v>9022262.7277444638</v>
          </cell>
          <cell r="C80">
            <v>3</v>
          </cell>
          <cell r="P80">
            <v>59926</v>
          </cell>
          <cell r="Q80">
            <v>1</v>
          </cell>
          <cell r="S80">
            <v>0.95</v>
          </cell>
        </row>
        <row r="81">
          <cell r="A81">
            <v>130679</v>
          </cell>
          <cell r="B81">
            <v>7437345.8760954794</v>
          </cell>
          <cell r="C81">
            <v>3</v>
          </cell>
          <cell r="P81">
            <v>59926</v>
          </cell>
        </row>
        <row r="82">
          <cell r="A82">
            <v>131326.5</v>
          </cell>
          <cell r="B82">
            <v>7437345.8760954794</v>
          </cell>
          <cell r="C82">
            <v>3</v>
          </cell>
          <cell r="P82">
            <v>60043</v>
          </cell>
        </row>
        <row r="83">
          <cell r="A83">
            <v>131974</v>
          </cell>
          <cell r="B83">
            <v>7437345.8760954794</v>
          </cell>
          <cell r="C83">
            <v>3</v>
          </cell>
          <cell r="P83">
            <v>60043</v>
          </cell>
          <cell r="R83">
            <v>2</v>
          </cell>
          <cell r="T83">
            <v>2.0499999999999998</v>
          </cell>
        </row>
        <row r="84">
          <cell r="A84">
            <v>131974</v>
          </cell>
          <cell r="B84">
            <v>7892565.7359893909</v>
          </cell>
          <cell r="C84">
            <v>3</v>
          </cell>
          <cell r="P84">
            <v>60058</v>
          </cell>
          <cell r="R84">
            <v>2</v>
          </cell>
          <cell r="T84">
            <v>2.0499999999999998</v>
          </cell>
        </row>
        <row r="85">
          <cell r="A85">
            <v>134637</v>
          </cell>
          <cell r="B85">
            <v>7892565.7359893909</v>
          </cell>
          <cell r="C85">
            <v>3</v>
          </cell>
          <cell r="P85">
            <v>60058</v>
          </cell>
        </row>
        <row r="86">
          <cell r="A86">
            <v>137300</v>
          </cell>
          <cell r="B86">
            <v>7892565.7359893909</v>
          </cell>
          <cell r="C86">
            <v>3</v>
          </cell>
          <cell r="P86">
            <v>61946</v>
          </cell>
        </row>
        <row r="87">
          <cell r="A87">
            <v>137300</v>
          </cell>
          <cell r="B87">
            <v>12384903.619407287</v>
          </cell>
          <cell r="C87">
            <v>5</v>
          </cell>
          <cell r="P87">
            <v>61946</v>
          </cell>
          <cell r="Q87">
            <v>1</v>
          </cell>
          <cell r="S87">
            <v>0.95</v>
          </cell>
        </row>
        <row r="88">
          <cell r="A88">
            <v>138621.5</v>
          </cell>
          <cell r="B88">
            <v>12384903.619407287</v>
          </cell>
          <cell r="C88">
            <v>5</v>
          </cell>
          <cell r="P88">
            <v>62008</v>
          </cell>
          <cell r="Q88">
            <v>1</v>
          </cell>
          <cell r="S88">
            <v>0.95</v>
          </cell>
        </row>
        <row r="89">
          <cell r="A89">
            <v>139943</v>
          </cell>
          <cell r="B89">
            <v>12384903.619407287</v>
          </cell>
          <cell r="C89">
            <v>5</v>
          </cell>
          <cell r="P89">
            <v>62008</v>
          </cell>
        </row>
        <row r="90">
          <cell r="P90">
            <v>62035</v>
          </cell>
        </row>
        <row r="91">
          <cell r="P91">
            <v>62035</v>
          </cell>
          <cell r="R91">
            <v>2</v>
          </cell>
          <cell r="T91">
            <v>2.0499999999999998</v>
          </cell>
        </row>
        <row r="92">
          <cell r="P92">
            <v>62050</v>
          </cell>
          <cell r="R92">
            <v>2</v>
          </cell>
          <cell r="T92">
            <v>2.0499999999999998</v>
          </cell>
        </row>
        <row r="93">
          <cell r="P93">
            <v>62050</v>
          </cell>
        </row>
        <row r="94">
          <cell r="P94">
            <v>68777</v>
          </cell>
        </row>
        <row r="95">
          <cell r="P95">
            <v>68777</v>
          </cell>
          <cell r="Q95">
            <v>1</v>
          </cell>
          <cell r="S95">
            <v>0.95</v>
          </cell>
        </row>
        <row r="96">
          <cell r="P96">
            <v>68860</v>
          </cell>
          <cell r="Q96">
            <v>1</v>
          </cell>
          <cell r="S96">
            <v>0.95</v>
          </cell>
        </row>
        <row r="97">
          <cell r="P97">
            <v>68860</v>
          </cell>
          <cell r="Q97">
            <v>1</v>
          </cell>
          <cell r="R97">
            <v>2</v>
          </cell>
          <cell r="S97">
            <v>0.95</v>
          </cell>
          <cell r="T97">
            <v>2.0499999999999998</v>
          </cell>
        </row>
        <row r="98">
          <cell r="P98">
            <v>68889</v>
          </cell>
          <cell r="Q98">
            <v>1</v>
          </cell>
          <cell r="R98">
            <v>2</v>
          </cell>
          <cell r="S98">
            <v>0.95</v>
          </cell>
          <cell r="T98">
            <v>2.0499999999999998</v>
          </cell>
        </row>
        <row r="99">
          <cell r="P99">
            <v>68889</v>
          </cell>
        </row>
        <row r="100">
          <cell r="P100">
            <v>68989</v>
          </cell>
        </row>
        <row r="101">
          <cell r="P101">
            <v>68989</v>
          </cell>
          <cell r="Q101">
            <v>1</v>
          </cell>
          <cell r="S101">
            <v>0.95</v>
          </cell>
        </row>
        <row r="102">
          <cell r="P102">
            <v>69051</v>
          </cell>
          <cell r="Q102">
            <v>1</v>
          </cell>
          <cell r="S102">
            <v>0.95</v>
          </cell>
        </row>
        <row r="103">
          <cell r="P103">
            <v>69051</v>
          </cell>
        </row>
        <row r="104">
          <cell r="P104">
            <v>77262</v>
          </cell>
        </row>
        <row r="105">
          <cell r="P105">
            <v>77262</v>
          </cell>
          <cell r="Q105">
            <v>1</v>
          </cell>
          <cell r="S105">
            <v>0.95</v>
          </cell>
        </row>
        <row r="106">
          <cell r="P106">
            <v>77277</v>
          </cell>
          <cell r="Q106">
            <v>1</v>
          </cell>
          <cell r="S106">
            <v>0.95</v>
          </cell>
        </row>
        <row r="107">
          <cell r="P107">
            <v>77277</v>
          </cell>
        </row>
        <row r="108">
          <cell r="P108">
            <v>77374</v>
          </cell>
        </row>
        <row r="109">
          <cell r="P109">
            <v>77374</v>
          </cell>
          <cell r="R109">
            <v>2</v>
          </cell>
          <cell r="T109">
            <v>2.0499999999999998</v>
          </cell>
        </row>
        <row r="110">
          <cell r="P110">
            <v>77389</v>
          </cell>
          <cell r="R110">
            <v>2</v>
          </cell>
          <cell r="T110">
            <v>2.0499999999999998</v>
          </cell>
        </row>
        <row r="111">
          <cell r="P111">
            <v>77389</v>
          </cell>
        </row>
        <row r="112">
          <cell r="P112">
            <v>80215</v>
          </cell>
        </row>
        <row r="113">
          <cell r="P113">
            <v>80215</v>
          </cell>
          <cell r="Q113">
            <v>1</v>
          </cell>
          <cell r="S113">
            <v>0.95</v>
          </cell>
        </row>
        <row r="114">
          <cell r="P114">
            <v>80230</v>
          </cell>
          <cell r="Q114">
            <v>1</v>
          </cell>
          <cell r="S114">
            <v>0.95</v>
          </cell>
        </row>
        <row r="115">
          <cell r="P115">
            <v>80230</v>
          </cell>
        </row>
        <row r="116">
          <cell r="P116">
            <v>80313</v>
          </cell>
        </row>
        <row r="117">
          <cell r="P117">
            <v>80313</v>
          </cell>
          <cell r="R117">
            <v>2</v>
          </cell>
          <cell r="T117">
            <v>2.0499999999999998</v>
          </cell>
        </row>
        <row r="118">
          <cell r="P118">
            <v>80328</v>
          </cell>
          <cell r="R118">
            <v>2</v>
          </cell>
          <cell r="T118">
            <v>2.0499999999999998</v>
          </cell>
        </row>
        <row r="119">
          <cell r="P119">
            <v>80328</v>
          </cell>
        </row>
        <row r="120">
          <cell r="P120">
            <v>81191</v>
          </cell>
        </row>
        <row r="121">
          <cell r="P121">
            <v>81191</v>
          </cell>
          <cell r="Q121">
            <v>1</v>
          </cell>
          <cell r="S121">
            <v>0.95</v>
          </cell>
        </row>
        <row r="122">
          <cell r="P122">
            <v>81289</v>
          </cell>
          <cell r="Q122">
            <v>1</v>
          </cell>
          <cell r="S122">
            <v>0.95</v>
          </cell>
        </row>
        <row r="123">
          <cell r="P123">
            <v>81289</v>
          </cell>
        </row>
        <row r="124">
          <cell r="P124">
            <v>81302</v>
          </cell>
        </row>
        <row r="125">
          <cell r="P125">
            <v>81302</v>
          </cell>
          <cell r="Q125">
            <v>1</v>
          </cell>
          <cell r="S125">
            <v>0.95</v>
          </cell>
        </row>
        <row r="126">
          <cell r="P126">
            <v>81371</v>
          </cell>
          <cell r="Q126">
            <v>1</v>
          </cell>
          <cell r="S126">
            <v>0.95</v>
          </cell>
        </row>
        <row r="127">
          <cell r="P127">
            <v>81371</v>
          </cell>
        </row>
        <row r="128">
          <cell r="P128">
            <v>81461</v>
          </cell>
        </row>
        <row r="129">
          <cell r="P129">
            <v>81461</v>
          </cell>
          <cell r="R129">
            <v>2</v>
          </cell>
          <cell r="T129">
            <v>2.0499999999999998</v>
          </cell>
        </row>
        <row r="130">
          <cell r="P130">
            <v>81476</v>
          </cell>
          <cell r="R130">
            <v>2</v>
          </cell>
          <cell r="T130">
            <v>2.0499999999999998</v>
          </cell>
        </row>
        <row r="131">
          <cell r="P131">
            <v>81476</v>
          </cell>
        </row>
        <row r="132">
          <cell r="P132">
            <v>88300</v>
          </cell>
        </row>
        <row r="133">
          <cell r="P133">
            <v>88300</v>
          </cell>
          <cell r="Q133">
            <v>1</v>
          </cell>
          <cell r="R133">
            <v>2</v>
          </cell>
          <cell r="S133">
            <v>0.95</v>
          </cell>
          <cell r="T133">
            <v>2.0499999999999998</v>
          </cell>
        </row>
        <row r="134">
          <cell r="P134">
            <v>88386</v>
          </cell>
          <cell r="Q134">
            <v>1</v>
          </cell>
          <cell r="R134">
            <v>2</v>
          </cell>
          <cell r="S134">
            <v>0.95</v>
          </cell>
          <cell r="T134">
            <v>2.0499999999999998</v>
          </cell>
        </row>
        <row r="135">
          <cell r="P135">
            <v>88386</v>
          </cell>
          <cell r="Q135">
            <v>1</v>
          </cell>
          <cell r="R135">
            <v>2</v>
          </cell>
          <cell r="S135">
            <v>0.95</v>
          </cell>
          <cell r="T135">
            <v>2.0499999999999998</v>
          </cell>
        </row>
        <row r="136">
          <cell r="P136">
            <v>89230</v>
          </cell>
          <cell r="Q136">
            <v>1</v>
          </cell>
          <cell r="R136">
            <v>2</v>
          </cell>
          <cell r="S136">
            <v>0.95</v>
          </cell>
          <cell r="T136">
            <v>2.0499999999999998</v>
          </cell>
        </row>
        <row r="137">
          <cell r="P137">
            <v>89230</v>
          </cell>
          <cell r="Q137">
            <v>1</v>
          </cell>
          <cell r="R137">
            <v>2</v>
          </cell>
          <cell r="S137">
            <v>0.95</v>
          </cell>
          <cell r="T137">
            <v>2.0499999999999998</v>
          </cell>
        </row>
        <row r="138">
          <cell r="P138">
            <v>90150</v>
          </cell>
          <cell r="Q138">
            <v>1</v>
          </cell>
          <cell r="R138">
            <v>2</v>
          </cell>
          <cell r="S138">
            <v>0.95</v>
          </cell>
          <cell r="T138">
            <v>2.0499999999999998</v>
          </cell>
        </row>
        <row r="139">
          <cell r="P139">
            <v>90150</v>
          </cell>
        </row>
        <row r="140">
          <cell r="P140">
            <v>104690</v>
          </cell>
        </row>
        <row r="141">
          <cell r="P141">
            <v>104690</v>
          </cell>
          <cell r="R141">
            <v>2</v>
          </cell>
          <cell r="T141">
            <v>2.0499999999999998</v>
          </cell>
        </row>
        <row r="142">
          <cell r="P142">
            <v>105050</v>
          </cell>
          <cell r="R142">
            <v>2</v>
          </cell>
          <cell r="T142">
            <v>2.0499999999999998</v>
          </cell>
        </row>
        <row r="143">
          <cell r="P143">
            <v>105050</v>
          </cell>
          <cell r="R143">
            <v>2</v>
          </cell>
          <cell r="T143">
            <v>2.0499999999999998</v>
          </cell>
        </row>
        <row r="144">
          <cell r="P144">
            <v>105250</v>
          </cell>
          <cell r="R144">
            <v>2</v>
          </cell>
          <cell r="T144">
            <v>2.0499999999999998</v>
          </cell>
        </row>
        <row r="145">
          <cell r="P145">
            <v>105250</v>
          </cell>
        </row>
        <row r="146">
          <cell r="P146">
            <v>105390</v>
          </cell>
        </row>
        <row r="147">
          <cell r="P147">
            <v>105390</v>
          </cell>
          <cell r="R147">
            <v>2</v>
          </cell>
          <cell r="T147">
            <v>2.0499999999999998</v>
          </cell>
        </row>
        <row r="148">
          <cell r="P148">
            <v>105410</v>
          </cell>
          <cell r="R148">
            <v>2</v>
          </cell>
          <cell r="T148">
            <v>2.0499999999999998</v>
          </cell>
        </row>
        <row r="149">
          <cell r="P149">
            <v>105410</v>
          </cell>
        </row>
        <row r="150">
          <cell r="P150">
            <v>107123</v>
          </cell>
        </row>
        <row r="151">
          <cell r="P151">
            <v>107123</v>
          </cell>
          <cell r="R151">
            <v>2</v>
          </cell>
          <cell r="T151">
            <v>2.0499999999999998</v>
          </cell>
        </row>
        <row r="152">
          <cell r="P152">
            <v>108526</v>
          </cell>
          <cell r="R152">
            <v>2</v>
          </cell>
          <cell r="T152">
            <v>2.0499999999999998</v>
          </cell>
        </row>
        <row r="153">
          <cell r="P153">
            <v>108526</v>
          </cell>
        </row>
        <row r="154">
          <cell r="P154">
            <v>139869</v>
          </cell>
        </row>
        <row r="155">
          <cell r="P155">
            <v>139869</v>
          </cell>
          <cell r="R155">
            <v>2</v>
          </cell>
          <cell r="T155">
            <v>2.0499999999999998</v>
          </cell>
        </row>
        <row r="156">
          <cell r="P156">
            <v>140049</v>
          </cell>
          <cell r="R156">
            <v>2</v>
          </cell>
          <cell r="T156">
            <v>2.0499999999999998</v>
          </cell>
        </row>
        <row r="157">
          <cell r="P157">
            <v>140049</v>
          </cell>
          <cell r="R157">
            <v>2</v>
          </cell>
          <cell r="T157">
            <v>2.0499999999999998</v>
          </cell>
        </row>
        <row r="158">
          <cell r="P158">
            <v>140598</v>
          </cell>
          <cell r="R158">
            <v>2</v>
          </cell>
          <cell r="T158">
            <v>2.0499999999999998</v>
          </cell>
        </row>
        <row r="159">
          <cell r="P159">
            <v>140598</v>
          </cell>
          <cell r="R159">
            <v>2</v>
          </cell>
          <cell r="T159">
            <v>2.0499999999999998</v>
          </cell>
        </row>
        <row r="160">
          <cell r="P160">
            <v>140606</v>
          </cell>
          <cell r="R160">
            <v>2</v>
          </cell>
          <cell r="T160">
            <v>2.0499999999999998</v>
          </cell>
        </row>
        <row r="161">
          <cell r="P161">
            <v>140606</v>
          </cell>
        </row>
        <row r="162">
          <cell r="P162">
            <v>149966</v>
          </cell>
        </row>
        <row r="163">
          <cell r="P163">
            <v>149966</v>
          </cell>
          <cell r="Q163">
            <v>1</v>
          </cell>
          <cell r="R163">
            <v>2</v>
          </cell>
          <cell r="S163">
            <v>0.95</v>
          </cell>
          <cell r="T163">
            <v>2.0499999999999998</v>
          </cell>
        </row>
        <row r="164">
          <cell r="P164">
            <v>150525</v>
          </cell>
          <cell r="Q164">
            <v>1</v>
          </cell>
          <cell r="R164">
            <v>2</v>
          </cell>
          <cell r="S164">
            <v>0.95</v>
          </cell>
          <cell r="T164">
            <v>2.0499999999999998</v>
          </cell>
        </row>
        <row r="165">
          <cell r="P165">
            <v>150525</v>
          </cell>
        </row>
        <row r="166">
          <cell r="P166">
            <v>156535</v>
          </cell>
        </row>
        <row r="167">
          <cell r="P167">
            <v>156535</v>
          </cell>
          <cell r="Q167">
            <v>1</v>
          </cell>
          <cell r="S167">
            <v>0.95</v>
          </cell>
        </row>
        <row r="168">
          <cell r="P168">
            <v>156625</v>
          </cell>
          <cell r="Q168">
            <v>1</v>
          </cell>
          <cell r="S168">
            <v>0.95</v>
          </cell>
        </row>
        <row r="169">
          <cell r="P169">
            <v>156625</v>
          </cell>
        </row>
        <row r="170">
          <cell r="P170">
            <v>169030</v>
          </cell>
        </row>
        <row r="171">
          <cell r="P171">
            <v>169030</v>
          </cell>
          <cell r="Q171">
            <v>1</v>
          </cell>
          <cell r="S171">
            <v>0.95</v>
          </cell>
        </row>
        <row r="172">
          <cell r="P172">
            <v>169230</v>
          </cell>
          <cell r="Q172">
            <v>1</v>
          </cell>
          <cell r="S172">
            <v>0.95</v>
          </cell>
        </row>
        <row r="173">
          <cell r="P173">
            <v>169230</v>
          </cell>
          <cell r="Q173">
            <v>1</v>
          </cell>
          <cell r="R173">
            <v>2</v>
          </cell>
          <cell r="S173">
            <v>0.95</v>
          </cell>
          <cell r="T173">
            <v>2.0499999999999998</v>
          </cell>
        </row>
        <row r="174">
          <cell r="P174">
            <v>169270</v>
          </cell>
          <cell r="Q174">
            <v>1</v>
          </cell>
          <cell r="R174">
            <v>2</v>
          </cell>
          <cell r="S174">
            <v>0.95</v>
          </cell>
          <cell r="T174">
            <v>2.0499999999999998</v>
          </cell>
        </row>
        <row r="175">
          <cell r="P175">
            <v>169270</v>
          </cell>
          <cell r="Q175">
            <v>1</v>
          </cell>
          <cell r="S175">
            <v>0.95</v>
          </cell>
        </row>
        <row r="176">
          <cell r="P176">
            <v>169480</v>
          </cell>
          <cell r="Q176">
            <v>1</v>
          </cell>
          <cell r="S176">
            <v>0.95</v>
          </cell>
        </row>
        <row r="177">
          <cell r="P177">
            <v>169480</v>
          </cell>
        </row>
        <row r="178">
          <cell r="P178">
            <v>169500</v>
          </cell>
        </row>
        <row r="179">
          <cell r="P179">
            <v>169500</v>
          </cell>
          <cell r="R179">
            <v>2</v>
          </cell>
          <cell r="T179">
            <v>2.0499999999999998</v>
          </cell>
        </row>
        <row r="180">
          <cell r="P180">
            <v>171100</v>
          </cell>
          <cell r="R180">
            <v>2</v>
          </cell>
          <cell r="T180">
            <v>2.0499999999999998</v>
          </cell>
        </row>
        <row r="181">
          <cell r="P181">
            <v>171100</v>
          </cell>
        </row>
        <row r="182">
          <cell r="P182">
            <v>171298</v>
          </cell>
        </row>
        <row r="183">
          <cell r="P183">
            <v>171298</v>
          </cell>
          <cell r="R183">
            <v>2</v>
          </cell>
          <cell r="T183">
            <v>2.0499999999999998</v>
          </cell>
        </row>
        <row r="184">
          <cell r="P184">
            <v>171430</v>
          </cell>
          <cell r="R184">
            <v>2</v>
          </cell>
          <cell r="T184">
            <v>2.0499999999999998</v>
          </cell>
        </row>
        <row r="185">
          <cell r="P185">
            <v>171430</v>
          </cell>
        </row>
        <row r="186">
          <cell r="P186">
            <v>171680</v>
          </cell>
        </row>
        <row r="187">
          <cell r="P187">
            <v>171680</v>
          </cell>
          <cell r="Q187">
            <v>1</v>
          </cell>
          <cell r="R187">
            <v>2</v>
          </cell>
          <cell r="S187">
            <v>0.95</v>
          </cell>
          <cell r="T187">
            <v>2.0499999999999998</v>
          </cell>
        </row>
        <row r="188">
          <cell r="P188">
            <v>171820</v>
          </cell>
          <cell r="Q188">
            <v>1</v>
          </cell>
          <cell r="R188">
            <v>2</v>
          </cell>
          <cell r="S188">
            <v>0.95</v>
          </cell>
          <cell r="T188">
            <v>2.0499999999999998</v>
          </cell>
        </row>
        <row r="189">
          <cell r="P189">
            <v>171820</v>
          </cell>
        </row>
        <row r="190">
          <cell r="P190">
            <v>172505</v>
          </cell>
        </row>
        <row r="191">
          <cell r="P191">
            <v>172505</v>
          </cell>
          <cell r="Q191">
            <v>1</v>
          </cell>
          <cell r="S191">
            <v>0.95</v>
          </cell>
        </row>
        <row r="192">
          <cell r="P192">
            <v>172930</v>
          </cell>
          <cell r="Q192">
            <v>1</v>
          </cell>
          <cell r="S192">
            <v>0.95</v>
          </cell>
        </row>
        <row r="193">
          <cell r="P193">
            <v>172930</v>
          </cell>
          <cell r="Q193">
            <v>1</v>
          </cell>
          <cell r="R193">
            <v>2</v>
          </cell>
          <cell r="S193">
            <v>0.95</v>
          </cell>
          <cell r="T193">
            <v>2.0499999999999998</v>
          </cell>
        </row>
        <row r="194">
          <cell r="P194">
            <v>173170</v>
          </cell>
          <cell r="Q194">
            <v>1</v>
          </cell>
          <cell r="R194">
            <v>2</v>
          </cell>
          <cell r="S194">
            <v>0.95</v>
          </cell>
          <cell r="T194">
            <v>2.0499999999999998</v>
          </cell>
        </row>
        <row r="195">
          <cell r="P195">
            <v>173170</v>
          </cell>
          <cell r="Q195">
            <v>1</v>
          </cell>
          <cell r="S195">
            <v>0.95</v>
          </cell>
        </row>
        <row r="196">
          <cell r="P196">
            <v>173180</v>
          </cell>
          <cell r="Q196">
            <v>1</v>
          </cell>
          <cell r="S196">
            <v>0.95</v>
          </cell>
        </row>
        <row r="197">
          <cell r="P197">
            <v>173180</v>
          </cell>
        </row>
        <row r="198">
          <cell r="P198">
            <v>176500</v>
          </cell>
        </row>
        <row r="199">
          <cell r="P199">
            <v>176500</v>
          </cell>
          <cell r="Q199">
            <v>1</v>
          </cell>
          <cell r="S199">
            <v>0.95</v>
          </cell>
        </row>
        <row r="200">
          <cell r="P200">
            <v>176890</v>
          </cell>
          <cell r="Q200">
            <v>1</v>
          </cell>
          <cell r="S200">
            <v>0.95</v>
          </cell>
        </row>
        <row r="201">
          <cell r="P201">
            <v>176890</v>
          </cell>
          <cell r="Q201">
            <v>1</v>
          </cell>
          <cell r="S201">
            <v>0.95</v>
          </cell>
        </row>
        <row r="202">
          <cell r="P202">
            <v>177180</v>
          </cell>
          <cell r="Q202">
            <v>1</v>
          </cell>
          <cell r="S202">
            <v>0.95</v>
          </cell>
        </row>
        <row r="203">
          <cell r="P203">
            <v>177180</v>
          </cell>
        </row>
        <row r="204">
          <cell r="P204">
            <v>178750</v>
          </cell>
        </row>
        <row r="205">
          <cell r="P205">
            <v>178750</v>
          </cell>
          <cell r="R205">
            <v>2</v>
          </cell>
          <cell r="T205">
            <v>2.0499999999999998</v>
          </cell>
        </row>
        <row r="206">
          <cell r="P206">
            <v>178825</v>
          </cell>
          <cell r="R206">
            <v>2</v>
          </cell>
          <cell r="T206">
            <v>2.0499999999999998</v>
          </cell>
        </row>
        <row r="207">
          <cell r="P207">
            <v>178825</v>
          </cell>
        </row>
        <row r="208">
          <cell r="P208">
            <v>185870</v>
          </cell>
        </row>
        <row r="209">
          <cell r="P209">
            <v>185870</v>
          </cell>
          <cell r="Q209">
            <v>1</v>
          </cell>
          <cell r="R209">
            <v>2</v>
          </cell>
          <cell r="S209">
            <v>0.95</v>
          </cell>
          <cell r="T209">
            <v>2.0499999999999998</v>
          </cell>
        </row>
        <row r="210">
          <cell r="P210">
            <v>186320</v>
          </cell>
          <cell r="Q210">
            <v>1</v>
          </cell>
          <cell r="R210">
            <v>2</v>
          </cell>
          <cell r="S210">
            <v>0.95</v>
          </cell>
          <cell r="T210">
            <v>2.0499999999999998</v>
          </cell>
        </row>
        <row r="211">
          <cell r="P211">
            <v>186320</v>
          </cell>
        </row>
        <row r="212">
          <cell r="P212">
            <v>187210</v>
          </cell>
        </row>
        <row r="213">
          <cell r="P213">
            <v>187210</v>
          </cell>
          <cell r="R213">
            <v>2</v>
          </cell>
          <cell r="T213">
            <v>2.0499999999999998</v>
          </cell>
        </row>
        <row r="214">
          <cell r="P214">
            <v>187303</v>
          </cell>
          <cell r="R214">
            <v>2</v>
          </cell>
          <cell r="T214">
            <v>2.0499999999999998</v>
          </cell>
        </row>
        <row r="215">
          <cell r="P215">
            <v>187303</v>
          </cell>
        </row>
        <row r="216">
          <cell r="P216">
            <v>189660</v>
          </cell>
        </row>
        <row r="217">
          <cell r="P217">
            <v>189660</v>
          </cell>
          <cell r="Q217">
            <v>1</v>
          </cell>
          <cell r="S217">
            <v>0.95</v>
          </cell>
        </row>
        <row r="218">
          <cell r="P218">
            <v>189760</v>
          </cell>
          <cell r="Q218">
            <v>1</v>
          </cell>
          <cell r="S218">
            <v>0.95</v>
          </cell>
        </row>
        <row r="219">
          <cell r="P219">
            <v>189760</v>
          </cell>
          <cell r="Q219">
            <v>1</v>
          </cell>
          <cell r="R219">
            <v>2</v>
          </cell>
          <cell r="S219">
            <v>0.95</v>
          </cell>
          <cell r="T219">
            <v>2.0499999999999998</v>
          </cell>
        </row>
        <row r="220">
          <cell r="P220">
            <v>190387</v>
          </cell>
          <cell r="Q220">
            <v>1</v>
          </cell>
          <cell r="R220">
            <v>2</v>
          </cell>
          <cell r="S220">
            <v>0.95</v>
          </cell>
          <cell r="T220">
            <v>2.0499999999999998</v>
          </cell>
        </row>
        <row r="221">
          <cell r="P221">
            <v>190387</v>
          </cell>
        </row>
        <row r="222">
          <cell r="P222">
            <v>190940</v>
          </cell>
        </row>
        <row r="223">
          <cell r="P223">
            <v>190940</v>
          </cell>
          <cell r="R223">
            <v>2</v>
          </cell>
          <cell r="T223">
            <v>2.0499999999999998</v>
          </cell>
        </row>
        <row r="224">
          <cell r="P224">
            <v>191126</v>
          </cell>
          <cell r="R224">
            <v>2</v>
          </cell>
          <cell r="T224">
            <v>2.0499999999999998</v>
          </cell>
        </row>
        <row r="225">
          <cell r="P225">
            <v>191126</v>
          </cell>
        </row>
        <row r="226">
          <cell r="P226">
            <v>191540</v>
          </cell>
        </row>
        <row r="227">
          <cell r="P227">
            <v>191540</v>
          </cell>
          <cell r="Q227">
            <v>1</v>
          </cell>
          <cell r="R227">
            <v>2</v>
          </cell>
          <cell r="S227">
            <v>0.95</v>
          </cell>
          <cell r="T227">
            <v>2.0499999999999998</v>
          </cell>
        </row>
        <row r="228">
          <cell r="P228">
            <v>192000</v>
          </cell>
          <cell r="Q228">
            <v>1</v>
          </cell>
          <cell r="R228">
            <v>2</v>
          </cell>
          <cell r="S228">
            <v>0.95</v>
          </cell>
          <cell r="T228">
            <v>2.0499999999999998</v>
          </cell>
        </row>
        <row r="229">
          <cell r="P229">
            <v>192000</v>
          </cell>
        </row>
        <row r="230">
          <cell r="P230">
            <v>192370</v>
          </cell>
        </row>
        <row r="231">
          <cell r="P231">
            <v>192370</v>
          </cell>
          <cell r="Q231">
            <v>1</v>
          </cell>
          <cell r="S231">
            <v>0.95</v>
          </cell>
        </row>
        <row r="232">
          <cell r="P232">
            <v>192449</v>
          </cell>
          <cell r="Q232">
            <v>1</v>
          </cell>
          <cell r="S232">
            <v>0.95</v>
          </cell>
        </row>
        <row r="233">
          <cell r="P233">
            <v>192449</v>
          </cell>
          <cell r="Q233">
            <v>1</v>
          </cell>
          <cell r="S233">
            <v>0.95</v>
          </cell>
        </row>
        <row r="234">
          <cell r="P234">
            <v>192459</v>
          </cell>
          <cell r="Q234">
            <v>1</v>
          </cell>
          <cell r="S234">
            <v>0.95</v>
          </cell>
        </row>
        <row r="235">
          <cell r="P235">
            <v>192459</v>
          </cell>
        </row>
        <row r="236">
          <cell r="P236">
            <v>193120</v>
          </cell>
        </row>
        <row r="237">
          <cell r="P237">
            <v>193120</v>
          </cell>
          <cell r="Q237">
            <v>1</v>
          </cell>
          <cell r="R237">
            <v>2</v>
          </cell>
          <cell r="S237">
            <v>0.95</v>
          </cell>
          <cell r="T237">
            <v>2.0499999999999998</v>
          </cell>
        </row>
        <row r="238">
          <cell r="P238">
            <v>193693</v>
          </cell>
          <cell r="Q238">
            <v>1</v>
          </cell>
          <cell r="R238">
            <v>2</v>
          </cell>
          <cell r="S238">
            <v>0.95</v>
          </cell>
          <cell r="T238">
            <v>2.0499999999999998</v>
          </cell>
        </row>
        <row r="239">
          <cell r="P239">
            <v>193693</v>
          </cell>
          <cell r="Q239">
            <v>1</v>
          </cell>
          <cell r="R239">
            <v>2</v>
          </cell>
          <cell r="S239">
            <v>0.95</v>
          </cell>
          <cell r="T239">
            <v>2.0499999999999998</v>
          </cell>
        </row>
        <row r="240">
          <cell r="P240">
            <v>194725</v>
          </cell>
          <cell r="Q240">
            <v>1</v>
          </cell>
          <cell r="R240">
            <v>2</v>
          </cell>
          <cell r="S240">
            <v>0.95</v>
          </cell>
          <cell r="T240">
            <v>2.0499999999999998</v>
          </cell>
        </row>
        <row r="241">
          <cell r="P241">
            <v>194725</v>
          </cell>
          <cell r="Q241">
            <v>1</v>
          </cell>
          <cell r="R241">
            <v>2</v>
          </cell>
          <cell r="S241">
            <v>0.95</v>
          </cell>
          <cell r="T241">
            <v>2.0499999999999998</v>
          </cell>
        </row>
        <row r="242">
          <cell r="P242">
            <v>197145</v>
          </cell>
          <cell r="Q242">
            <v>1</v>
          </cell>
          <cell r="R242">
            <v>2</v>
          </cell>
          <cell r="S242">
            <v>0.95</v>
          </cell>
          <cell r="T242">
            <v>2.0499999999999998</v>
          </cell>
        </row>
        <row r="243">
          <cell r="P243">
            <v>197145</v>
          </cell>
          <cell r="Q243">
            <v>1</v>
          </cell>
          <cell r="R243">
            <v>2</v>
          </cell>
          <cell r="S243">
            <v>0.95</v>
          </cell>
          <cell r="T243">
            <v>2.0499999999999998</v>
          </cell>
        </row>
        <row r="244">
          <cell r="P244">
            <v>200675</v>
          </cell>
          <cell r="Q244">
            <v>1</v>
          </cell>
          <cell r="R244">
            <v>2</v>
          </cell>
          <cell r="S244">
            <v>0.95</v>
          </cell>
          <cell r="T244">
            <v>2.0499999999999998</v>
          </cell>
        </row>
        <row r="245">
          <cell r="P245">
            <v>200675</v>
          </cell>
          <cell r="Q245">
            <v>1</v>
          </cell>
          <cell r="R245">
            <v>2</v>
          </cell>
          <cell r="S245">
            <v>0.95</v>
          </cell>
          <cell r="T245">
            <v>2.0499999999999998</v>
          </cell>
        </row>
        <row r="246">
          <cell r="P246">
            <v>203003</v>
          </cell>
          <cell r="Q246">
            <v>1</v>
          </cell>
          <cell r="R246">
            <v>2</v>
          </cell>
          <cell r="S246">
            <v>0.95</v>
          </cell>
          <cell r="T246">
            <v>2.0499999999999998</v>
          </cell>
        </row>
        <row r="247">
          <cell r="P247">
            <v>203003</v>
          </cell>
        </row>
        <row r="248">
          <cell r="P248">
            <v>203290</v>
          </cell>
        </row>
        <row r="249">
          <cell r="P249">
            <v>203290</v>
          </cell>
          <cell r="Q249">
            <v>1</v>
          </cell>
          <cell r="S249">
            <v>0.95</v>
          </cell>
        </row>
        <row r="250">
          <cell r="P250">
            <v>203390</v>
          </cell>
          <cell r="Q250">
            <v>1</v>
          </cell>
          <cell r="S250">
            <v>0.95</v>
          </cell>
        </row>
        <row r="251">
          <cell r="P251">
            <v>203390</v>
          </cell>
          <cell r="Q251">
            <v>1</v>
          </cell>
          <cell r="S251">
            <v>0.95</v>
          </cell>
        </row>
        <row r="252">
          <cell r="P252">
            <v>203530</v>
          </cell>
          <cell r="Q252">
            <v>1</v>
          </cell>
          <cell r="S252">
            <v>0.95</v>
          </cell>
        </row>
        <row r="253">
          <cell r="P253">
            <v>203530</v>
          </cell>
        </row>
        <row r="254">
          <cell r="P254">
            <v>230528</v>
          </cell>
        </row>
        <row r="255">
          <cell r="P255">
            <v>230528</v>
          </cell>
          <cell r="Q255">
            <v>1</v>
          </cell>
          <cell r="S255">
            <v>0.95</v>
          </cell>
        </row>
        <row r="256">
          <cell r="P256">
            <v>230595</v>
          </cell>
          <cell r="Q256">
            <v>1</v>
          </cell>
          <cell r="S256">
            <v>0.95</v>
          </cell>
        </row>
        <row r="257">
          <cell r="P257">
            <v>230595</v>
          </cell>
          <cell r="R257">
            <v>2</v>
          </cell>
          <cell r="T257">
            <v>2.0499999999999998</v>
          </cell>
        </row>
        <row r="258">
          <cell r="P258">
            <v>230661</v>
          </cell>
          <cell r="R258">
            <v>2</v>
          </cell>
          <cell r="T258">
            <v>2.0499999999999998</v>
          </cell>
        </row>
        <row r="259">
          <cell r="P259">
            <v>230661</v>
          </cell>
        </row>
        <row r="260">
          <cell r="P260">
            <v>231110</v>
          </cell>
        </row>
        <row r="261">
          <cell r="P261">
            <v>231110</v>
          </cell>
          <cell r="Q261">
            <v>1</v>
          </cell>
          <cell r="R261">
            <v>2</v>
          </cell>
          <cell r="S261">
            <v>0.95</v>
          </cell>
          <cell r="T261">
            <v>2.0499999999999998</v>
          </cell>
        </row>
        <row r="262">
          <cell r="P262">
            <v>231778</v>
          </cell>
          <cell r="Q262">
            <v>1</v>
          </cell>
          <cell r="R262">
            <v>2</v>
          </cell>
          <cell r="S262">
            <v>0.95</v>
          </cell>
          <cell r="T262">
            <v>2.0499999999999998</v>
          </cell>
        </row>
        <row r="263">
          <cell r="P263">
            <v>231778</v>
          </cell>
        </row>
        <row r="264">
          <cell r="P264">
            <v>232306</v>
          </cell>
        </row>
        <row r="265">
          <cell r="P265">
            <v>232306</v>
          </cell>
          <cell r="Q265">
            <v>1</v>
          </cell>
          <cell r="R265">
            <v>2</v>
          </cell>
          <cell r="S265">
            <v>0.95</v>
          </cell>
          <cell r="T265">
            <v>2.0499999999999998</v>
          </cell>
        </row>
        <row r="266">
          <cell r="P266">
            <v>232375</v>
          </cell>
          <cell r="Q266">
            <v>1</v>
          </cell>
          <cell r="R266">
            <v>2</v>
          </cell>
          <cell r="S266">
            <v>0.95</v>
          </cell>
          <cell r="T266">
            <v>2.0499999999999998</v>
          </cell>
        </row>
        <row r="267">
          <cell r="P267">
            <v>232375</v>
          </cell>
        </row>
        <row r="268">
          <cell r="P268">
            <v>232380</v>
          </cell>
        </row>
        <row r="269">
          <cell r="P269">
            <v>232380</v>
          </cell>
          <cell r="Q269">
            <v>1</v>
          </cell>
          <cell r="R269">
            <v>2</v>
          </cell>
          <cell r="S269">
            <v>0.95</v>
          </cell>
          <cell r="T269">
            <v>2.0499999999999998</v>
          </cell>
        </row>
        <row r="270">
          <cell r="P270">
            <v>233241</v>
          </cell>
          <cell r="Q270">
            <v>1</v>
          </cell>
          <cell r="R270">
            <v>2</v>
          </cell>
          <cell r="S270">
            <v>0.95</v>
          </cell>
          <cell r="T270">
            <v>2.0499999999999998</v>
          </cell>
        </row>
      </sheetData>
      <sheetData sheetId="5">
        <row r="3">
          <cell r="D3">
            <v>34828</v>
          </cell>
          <cell r="E3">
            <v>0</v>
          </cell>
          <cell r="G3">
            <v>18012</v>
          </cell>
          <cell r="H3">
            <v>8.1999999999999993</v>
          </cell>
          <cell r="J3">
            <v>18012</v>
          </cell>
          <cell r="K3" t="str">
            <v>JU-35/F</v>
          </cell>
          <cell r="L3">
            <v>10</v>
          </cell>
          <cell r="M3" t="str">
            <v>mZMA-12</v>
          </cell>
          <cell r="N3">
            <v>3</v>
          </cell>
          <cell r="O3">
            <v>13</v>
          </cell>
          <cell r="Q3">
            <v>18012</v>
          </cell>
          <cell r="S3">
            <v>17</v>
          </cell>
          <cell r="U3">
            <v>18012</v>
          </cell>
          <cell r="V3">
            <v>7</v>
          </cell>
        </row>
        <row r="4">
          <cell r="D4">
            <v>34828</v>
          </cell>
          <cell r="E4">
            <v>4</v>
          </cell>
          <cell r="G4">
            <v>19000</v>
          </cell>
          <cell r="H4">
            <v>8.1999999999999993</v>
          </cell>
          <cell r="J4">
            <v>24606</v>
          </cell>
          <cell r="K4" t="str">
            <v>JU-35/F</v>
          </cell>
          <cell r="L4">
            <v>10</v>
          </cell>
          <cell r="M4" t="str">
            <v>mZMA-12</v>
          </cell>
          <cell r="N4">
            <v>3</v>
          </cell>
          <cell r="O4">
            <v>13</v>
          </cell>
          <cell r="Q4">
            <v>20206</v>
          </cell>
          <cell r="S4">
            <v>17</v>
          </cell>
          <cell r="U4">
            <v>19189</v>
          </cell>
          <cell r="V4">
            <v>7</v>
          </cell>
        </row>
        <row r="5">
          <cell r="D5">
            <v>36095</v>
          </cell>
          <cell r="E5">
            <v>4</v>
          </cell>
          <cell r="G5">
            <v>19000</v>
          </cell>
          <cell r="H5">
            <v>12.4</v>
          </cell>
          <cell r="J5">
            <v>31200</v>
          </cell>
          <cell r="K5" t="str">
            <v>JU-35/F</v>
          </cell>
          <cell r="L5">
            <v>10</v>
          </cell>
          <cell r="M5" t="str">
            <v>mZMA-12</v>
          </cell>
          <cell r="N5">
            <v>3</v>
          </cell>
          <cell r="O5">
            <v>13</v>
          </cell>
          <cell r="Q5">
            <v>22400</v>
          </cell>
          <cell r="S5">
            <v>17</v>
          </cell>
          <cell r="U5">
            <v>19189</v>
          </cell>
          <cell r="V5">
            <v>11</v>
          </cell>
        </row>
        <row r="6">
          <cell r="D6">
            <v>36095</v>
          </cell>
          <cell r="E6">
            <v>0</v>
          </cell>
          <cell r="G6">
            <v>22000</v>
          </cell>
          <cell r="H6">
            <v>12.4</v>
          </cell>
          <cell r="J6">
            <v>31200</v>
          </cell>
          <cell r="L6">
            <v>0</v>
          </cell>
          <cell r="M6" t="str">
            <v>mZMA-12</v>
          </cell>
          <cell r="N6">
            <v>3</v>
          </cell>
          <cell r="O6">
            <v>3</v>
          </cell>
          <cell r="Q6">
            <v>22400</v>
          </cell>
          <cell r="S6">
            <v>18</v>
          </cell>
          <cell r="U6">
            <v>19239</v>
          </cell>
          <cell r="V6">
            <v>11</v>
          </cell>
        </row>
        <row r="7">
          <cell r="G7">
            <v>22000</v>
          </cell>
          <cell r="H7">
            <v>12.1</v>
          </cell>
          <cell r="J7">
            <v>33014</v>
          </cell>
          <cell r="M7" t="str">
            <v>mZMA-12</v>
          </cell>
          <cell r="N7">
            <v>3</v>
          </cell>
          <cell r="O7">
            <v>3</v>
          </cell>
          <cell r="Q7">
            <v>26900</v>
          </cell>
          <cell r="S7">
            <v>18</v>
          </cell>
          <cell r="U7">
            <v>19239</v>
          </cell>
          <cell r="V7">
            <v>14.5</v>
          </cell>
        </row>
        <row r="8">
          <cell r="D8">
            <v>88300</v>
          </cell>
          <cell r="E8">
            <v>0</v>
          </cell>
          <cell r="G8">
            <v>23000</v>
          </cell>
          <cell r="H8">
            <v>12.1</v>
          </cell>
          <cell r="J8">
            <v>34828</v>
          </cell>
          <cell r="M8" t="str">
            <v>mZMA-12</v>
          </cell>
          <cell r="N8">
            <v>3</v>
          </cell>
          <cell r="O8">
            <v>3</v>
          </cell>
          <cell r="Q8">
            <v>31400</v>
          </cell>
          <cell r="S8">
            <v>18</v>
          </cell>
          <cell r="U8">
            <v>19634</v>
          </cell>
          <cell r="V8">
            <v>14.5</v>
          </cell>
        </row>
        <row r="9">
          <cell r="D9">
            <v>88300</v>
          </cell>
          <cell r="E9">
            <v>10</v>
          </cell>
          <cell r="G9">
            <v>23000</v>
          </cell>
          <cell r="H9">
            <v>11.5</v>
          </cell>
          <cell r="J9">
            <v>34828</v>
          </cell>
          <cell r="M9" t="str">
            <v>mZMA-12</v>
          </cell>
          <cell r="N9">
            <v>4</v>
          </cell>
          <cell r="O9">
            <v>4</v>
          </cell>
          <cell r="Q9">
            <v>31400</v>
          </cell>
          <cell r="S9">
            <v>20</v>
          </cell>
          <cell r="U9">
            <v>19634</v>
          </cell>
          <cell r="V9">
            <v>7</v>
          </cell>
        </row>
        <row r="10">
          <cell r="D10">
            <v>90150</v>
          </cell>
          <cell r="E10">
            <v>10</v>
          </cell>
          <cell r="G10">
            <v>25000</v>
          </cell>
          <cell r="H10">
            <v>11.5</v>
          </cell>
          <cell r="J10">
            <v>35461.5</v>
          </cell>
          <cell r="M10" t="str">
            <v>mZMA-12</v>
          </cell>
          <cell r="N10">
            <v>4</v>
          </cell>
          <cell r="O10">
            <v>4</v>
          </cell>
          <cell r="Q10">
            <v>33225</v>
          </cell>
          <cell r="S10">
            <v>20</v>
          </cell>
          <cell r="U10">
            <v>25154</v>
          </cell>
          <cell r="V10">
            <v>7</v>
          </cell>
        </row>
        <row r="11">
          <cell r="D11">
            <v>90150</v>
          </cell>
          <cell r="E11">
            <v>0</v>
          </cell>
          <cell r="G11">
            <v>25000</v>
          </cell>
          <cell r="H11">
            <v>7.2</v>
          </cell>
          <cell r="J11">
            <v>36095</v>
          </cell>
          <cell r="L11">
            <v>0</v>
          </cell>
          <cell r="M11" t="str">
            <v>mZMA-12</v>
          </cell>
          <cell r="N11">
            <v>4</v>
          </cell>
          <cell r="O11">
            <v>4</v>
          </cell>
          <cell r="Q11">
            <v>35050</v>
          </cell>
          <cell r="S11">
            <v>20</v>
          </cell>
          <cell r="U11">
            <v>25154</v>
          </cell>
          <cell r="V11">
            <v>10.5</v>
          </cell>
        </row>
        <row r="12">
          <cell r="G12">
            <v>26000</v>
          </cell>
          <cell r="H12">
            <v>7.2</v>
          </cell>
          <cell r="J12">
            <v>36095</v>
          </cell>
          <cell r="K12" t="str">
            <v>JU-35/F</v>
          </cell>
          <cell r="L12">
            <v>10</v>
          </cell>
          <cell r="M12" t="str">
            <v>mZMA-12</v>
          </cell>
          <cell r="N12">
            <v>3</v>
          </cell>
          <cell r="O12">
            <v>13</v>
          </cell>
          <cell r="Q12">
            <v>35050</v>
          </cell>
          <cell r="S12">
            <v>15</v>
          </cell>
          <cell r="U12">
            <v>25670</v>
          </cell>
          <cell r="V12">
            <v>10.5</v>
          </cell>
        </row>
        <row r="13">
          <cell r="D13">
            <v>104690</v>
          </cell>
          <cell r="E13">
            <v>0</v>
          </cell>
          <cell r="G13">
            <v>26000</v>
          </cell>
          <cell r="H13">
            <v>11.6</v>
          </cell>
          <cell r="J13">
            <v>36547.5</v>
          </cell>
          <cell r="K13" t="str">
            <v>JU-35/F</v>
          </cell>
          <cell r="L13">
            <v>10</v>
          </cell>
          <cell r="M13" t="str">
            <v>mZMA-12</v>
          </cell>
          <cell r="N13">
            <v>3</v>
          </cell>
          <cell r="O13">
            <v>13</v>
          </cell>
          <cell r="Q13">
            <v>35525</v>
          </cell>
          <cell r="S13">
            <v>15</v>
          </cell>
          <cell r="U13">
            <v>25670</v>
          </cell>
          <cell r="V13">
            <v>7</v>
          </cell>
        </row>
        <row r="14">
          <cell r="D14">
            <v>104690</v>
          </cell>
          <cell r="E14">
            <v>3</v>
          </cell>
          <cell r="G14">
            <v>27000</v>
          </cell>
          <cell r="H14">
            <v>11.6</v>
          </cell>
          <cell r="J14">
            <v>37000</v>
          </cell>
          <cell r="K14" t="str">
            <v>JU-35/F</v>
          </cell>
          <cell r="L14">
            <v>10</v>
          </cell>
          <cell r="M14" t="str">
            <v>mZMA-12</v>
          </cell>
          <cell r="N14">
            <v>3</v>
          </cell>
          <cell r="O14">
            <v>13</v>
          </cell>
          <cell r="Q14">
            <v>36000</v>
          </cell>
          <cell r="S14">
            <v>15</v>
          </cell>
          <cell r="U14">
            <v>29252</v>
          </cell>
          <cell r="V14">
            <v>7</v>
          </cell>
        </row>
        <row r="15">
          <cell r="D15">
            <v>105250</v>
          </cell>
          <cell r="E15">
            <v>3</v>
          </cell>
          <cell r="G15">
            <v>27000</v>
          </cell>
          <cell r="H15">
            <v>11.2</v>
          </cell>
          <cell r="J15">
            <v>37000</v>
          </cell>
          <cell r="L15">
            <v>0</v>
          </cell>
          <cell r="M15" t="str">
            <v>mZMA-12</v>
          </cell>
          <cell r="N15">
            <v>4</v>
          </cell>
          <cell r="O15">
            <v>4</v>
          </cell>
          <cell r="Q15">
            <v>36000</v>
          </cell>
          <cell r="S15">
            <v>18</v>
          </cell>
          <cell r="U15">
            <v>29252</v>
          </cell>
          <cell r="V15">
            <v>10</v>
          </cell>
        </row>
        <row r="16">
          <cell r="D16">
            <v>105250</v>
          </cell>
          <cell r="E16">
            <v>0</v>
          </cell>
          <cell r="G16">
            <v>28000</v>
          </cell>
          <cell r="H16">
            <v>11.2</v>
          </cell>
          <cell r="J16">
            <v>37500</v>
          </cell>
          <cell r="L16">
            <v>0</v>
          </cell>
          <cell r="M16" t="str">
            <v>mZMA-12</v>
          </cell>
          <cell r="N16">
            <v>4</v>
          </cell>
          <cell r="O16">
            <v>4</v>
          </cell>
          <cell r="Q16">
            <v>74000</v>
          </cell>
          <cell r="S16">
            <v>18</v>
          </cell>
          <cell r="U16">
            <v>29453</v>
          </cell>
          <cell r="V16">
            <v>10</v>
          </cell>
        </row>
        <row r="17">
          <cell r="G17">
            <v>28000</v>
          </cell>
          <cell r="H17">
            <v>7.9</v>
          </cell>
          <cell r="J17">
            <v>38000</v>
          </cell>
          <cell r="L17">
            <v>0</v>
          </cell>
          <cell r="M17" t="str">
            <v>mZMA-12</v>
          </cell>
          <cell r="N17">
            <v>4</v>
          </cell>
          <cell r="O17">
            <v>4</v>
          </cell>
          <cell r="Q17">
            <v>112000</v>
          </cell>
          <cell r="S17">
            <v>18</v>
          </cell>
          <cell r="U17">
            <v>29453</v>
          </cell>
          <cell r="V17">
            <v>7.5</v>
          </cell>
        </row>
        <row r="18">
          <cell r="D18">
            <v>107123</v>
          </cell>
          <cell r="E18">
            <v>0</v>
          </cell>
          <cell r="G18">
            <v>29000</v>
          </cell>
          <cell r="H18">
            <v>7.9</v>
          </cell>
          <cell r="J18">
            <v>38000</v>
          </cell>
          <cell r="K18" t="str">
            <v>JU-35/F</v>
          </cell>
          <cell r="L18">
            <v>10</v>
          </cell>
          <cell r="M18" t="str">
            <v>mZMA-12</v>
          </cell>
          <cell r="N18">
            <v>3</v>
          </cell>
          <cell r="O18">
            <v>13</v>
          </cell>
          <cell r="Q18">
            <v>112000</v>
          </cell>
          <cell r="S18">
            <v>20</v>
          </cell>
          <cell r="U18">
            <v>30474</v>
          </cell>
          <cell r="V18">
            <v>7.5</v>
          </cell>
        </row>
        <row r="19">
          <cell r="D19">
            <v>107123</v>
          </cell>
          <cell r="E19">
            <v>3</v>
          </cell>
          <cell r="G19">
            <v>29000</v>
          </cell>
          <cell r="H19">
            <v>12.4</v>
          </cell>
          <cell r="J19">
            <v>38500</v>
          </cell>
          <cell r="K19" t="str">
            <v>JU-35/F</v>
          </cell>
          <cell r="L19">
            <v>10</v>
          </cell>
          <cell r="M19" t="str">
            <v>mZMA-12</v>
          </cell>
          <cell r="N19">
            <v>3</v>
          </cell>
          <cell r="O19">
            <v>13</v>
          </cell>
          <cell r="Q19">
            <v>125971.5</v>
          </cell>
          <cell r="S19">
            <v>20</v>
          </cell>
          <cell r="U19">
            <v>30474</v>
          </cell>
          <cell r="V19">
            <v>10.5</v>
          </cell>
        </row>
        <row r="20">
          <cell r="D20">
            <v>108526</v>
          </cell>
          <cell r="E20">
            <v>3</v>
          </cell>
          <cell r="G20">
            <v>30000</v>
          </cell>
          <cell r="H20">
            <v>12.4</v>
          </cell>
          <cell r="J20">
            <v>39000</v>
          </cell>
          <cell r="K20" t="str">
            <v>JU-35/F</v>
          </cell>
          <cell r="L20">
            <v>10</v>
          </cell>
          <cell r="M20" t="str">
            <v>mZMA-12</v>
          </cell>
          <cell r="N20">
            <v>3</v>
          </cell>
          <cell r="O20">
            <v>13</v>
          </cell>
          <cell r="Q20">
            <v>139943</v>
          </cell>
          <cell r="S20">
            <v>20</v>
          </cell>
          <cell r="U20">
            <v>30581</v>
          </cell>
          <cell r="V20">
            <v>10.5</v>
          </cell>
        </row>
        <row r="21">
          <cell r="D21">
            <v>108526</v>
          </cell>
          <cell r="E21">
            <v>0</v>
          </cell>
          <cell r="G21">
            <v>30000</v>
          </cell>
          <cell r="H21">
            <v>7.3</v>
          </cell>
          <cell r="J21">
            <v>39000</v>
          </cell>
          <cell r="K21" t="str">
            <v>K-20/F</v>
          </cell>
          <cell r="L21">
            <v>7</v>
          </cell>
          <cell r="M21" t="str">
            <v>mZMA-12</v>
          </cell>
          <cell r="N21">
            <v>3</v>
          </cell>
          <cell r="O21">
            <v>10</v>
          </cell>
          <cell r="U21">
            <v>30581</v>
          </cell>
          <cell r="V21">
            <v>7.5</v>
          </cell>
        </row>
        <row r="22">
          <cell r="G22">
            <v>31200</v>
          </cell>
          <cell r="H22">
            <v>7.3</v>
          </cell>
          <cell r="J22">
            <v>40750</v>
          </cell>
          <cell r="K22" t="str">
            <v>K-20/F</v>
          </cell>
          <cell r="L22">
            <v>7</v>
          </cell>
          <cell r="M22" t="str">
            <v>mZMA-12</v>
          </cell>
          <cell r="N22">
            <v>3</v>
          </cell>
          <cell r="O22">
            <v>10</v>
          </cell>
          <cell r="U22">
            <v>31414</v>
          </cell>
          <cell r="V22">
            <v>7.5</v>
          </cell>
        </row>
        <row r="23">
          <cell r="G23">
            <v>31200</v>
          </cell>
          <cell r="H23">
            <v>2.6</v>
          </cell>
          <cell r="J23">
            <v>42500</v>
          </cell>
          <cell r="K23" t="str">
            <v>K-20/F</v>
          </cell>
          <cell r="L23">
            <v>7</v>
          </cell>
          <cell r="M23" t="str">
            <v>mZMA-12</v>
          </cell>
          <cell r="N23">
            <v>3</v>
          </cell>
          <cell r="O23">
            <v>10</v>
          </cell>
          <cell r="U23">
            <v>31414</v>
          </cell>
          <cell r="V23">
            <v>7.6</v>
          </cell>
        </row>
        <row r="24">
          <cell r="G24">
            <v>36095</v>
          </cell>
          <cell r="H24">
            <v>2.6</v>
          </cell>
          <cell r="J24">
            <v>42500</v>
          </cell>
          <cell r="K24" t="str">
            <v>JU-35/F</v>
          </cell>
          <cell r="L24">
            <v>10</v>
          </cell>
          <cell r="M24" t="str">
            <v>mZMA-12</v>
          </cell>
          <cell r="N24">
            <v>3</v>
          </cell>
          <cell r="O24">
            <v>13</v>
          </cell>
          <cell r="U24">
            <v>34614</v>
          </cell>
          <cell r="V24">
            <v>7.6</v>
          </cell>
        </row>
        <row r="25">
          <cell r="G25">
            <v>36095</v>
          </cell>
          <cell r="H25">
            <v>6.3</v>
          </cell>
          <cell r="J25">
            <v>46500</v>
          </cell>
          <cell r="K25" t="str">
            <v>JU-35/F</v>
          </cell>
          <cell r="L25">
            <v>10</v>
          </cell>
          <cell r="M25" t="str">
            <v>mZMA-12</v>
          </cell>
          <cell r="N25">
            <v>3</v>
          </cell>
          <cell r="O25">
            <v>13</v>
          </cell>
          <cell r="U25">
            <v>34614</v>
          </cell>
          <cell r="V25">
            <v>9</v>
          </cell>
        </row>
        <row r="26">
          <cell r="G26">
            <v>37000</v>
          </cell>
          <cell r="H26">
            <v>6.3</v>
          </cell>
          <cell r="J26">
            <v>50500</v>
          </cell>
          <cell r="K26" t="str">
            <v>JU-35/F</v>
          </cell>
          <cell r="L26">
            <v>10</v>
          </cell>
          <cell r="M26" t="str">
            <v>mZMA-12</v>
          </cell>
          <cell r="N26">
            <v>3</v>
          </cell>
          <cell r="O26">
            <v>13</v>
          </cell>
          <cell r="U26">
            <v>36110</v>
          </cell>
          <cell r="V26">
            <v>9</v>
          </cell>
        </row>
        <row r="27">
          <cell r="G27">
            <v>37000</v>
          </cell>
          <cell r="H27">
            <v>3.4</v>
          </cell>
          <cell r="J27">
            <v>50500</v>
          </cell>
          <cell r="K27" t="str">
            <v>mAB-12/F</v>
          </cell>
          <cell r="L27">
            <v>4</v>
          </cell>
          <cell r="M27" t="str">
            <v>mZMA-12</v>
          </cell>
          <cell r="N27">
            <v>3</v>
          </cell>
          <cell r="O27">
            <v>7</v>
          </cell>
          <cell r="U27">
            <v>36110</v>
          </cell>
          <cell r="V27">
            <v>10.5</v>
          </cell>
        </row>
        <row r="28">
          <cell r="G28">
            <v>38000</v>
          </cell>
          <cell r="H28">
            <v>3.4</v>
          </cell>
          <cell r="J28">
            <v>51000</v>
          </cell>
          <cell r="K28" t="str">
            <v>mAB-12/F</v>
          </cell>
          <cell r="L28">
            <v>4</v>
          </cell>
          <cell r="M28" t="str">
            <v>mZMA-12</v>
          </cell>
          <cell r="N28">
            <v>3</v>
          </cell>
          <cell r="O28">
            <v>7</v>
          </cell>
          <cell r="U28">
            <v>36743</v>
          </cell>
          <cell r="V28">
            <v>10.5</v>
          </cell>
        </row>
        <row r="29">
          <cell r="G29">
            <v>38000</v>
          </cell>
          <cell r="H29">
            <v>9.1</v>
          </cell>
          <cell r="J29">
            <v>51500</v>
          </cell>
          <cell r="K29" t="str">
            <v>mAB-12/F</v>
          </cell>
          <cell r="L29">
            <v>4</v>
          </cell>
          <cell r="M29" t="str">
            <v>mZMA-12</v>
          </cell>
          <cell r="N29">
            <v>3</v>
          </cell>
          <cell r="O29">
            <v>7</v>
          </cell>
          <cell r="U29">
            <v>36743</v>
          </cell>
          <cell r="V29">
            <v>9</v>
          </cell>
        </row>
        <row r="30">
          <cell r="G30">
            <v>39000</v>
          </cell>
          <cell r="H30">
            <v>9.1</v>
          </cell>
          <cell r="J30">
            <v>51500</v>
          </cell>
          <cell r="K30" t="str">
            <v>K-20/F</v>
          </cell>
          <cell r="L30">
            <v>6</v>
          </cell>
          <cell r="M30" t="str">
            <v>mZMA-12</v>
          </cell>
          <cell r="N30">
            <v>3</v>
          </cell>
          <cell r="O30">
            <v>9</v>
          </cell>
          <cell r="U30">
            <v>36828</v>
          </cell>
          <cell r="V30">
            <v>9</v>
          </cell>
        </row>
        <row r="31">
          <cell r="G31">
            <v>39000</v>
          </cell>
          <cell r="H31">
            <v>9.1999999999999993</v>
          </cell>
          <cell r="J31">
            <v>59250</v>
          </cell>
          <cell r="K31" t="str">
            <v>K-20/F</v>
          </cell>
          <cell r="L31">
            <v>6</v>
          </cell>
          <cell r="M31" t="str">
            <v>mZMA-12</v>
          </cell>
          <cell r="N31">
            <v>3</v>
          </cell>
          <cell r="O31">
            <v>9</v>
          </cell>
          <cell r="U31">
            <v>36828</v>
          </cell>
          <cell r="V31">
            <v>7.5</v>
          </cell>
        </row>
        <row r="32">
          <cell r="G32">
            <v>42500</v>
          </cell>
          <cell r="H32">
            <v>9.1999999999999993</v>
          </cell>
          <cell r="J32">
            <v>67000</v>
          </cell>
          <cell r="K32" t="str">
            <v>K-20/F</v>
          </cell>
          <cell r="L32">
            <v>6</v>
          </cell>
          <cell r="M32" t="str">
            <v>mZMA-12</v>
          </cell>
          <cell r="N32">
            <v>3</v>
          </cell>
          <cell r="O32">
            <v>9</v>
          </cell>
          <cell r="U32">
            <v>48000</v>
          </cell>
          <cell r="V32">
            <v>7.5</v>
          </cell>
        </row>
        <row r="33">
          <cell r="G33">
            <v>42500</v>
          </cell>
          <cell r="H33">
            <v>11.3</v>
          </cell>
          <cell r="J33">
            <v>67000</v>
          </cell>
          <cell r="K33" t="str">
            <v>JU-35/F</v>
          </cell>
          <cell r="L33">
            <v>10</v>
          </cell>
          <cell r="M33" t="str">
            <v>mZMA-12</v>
          </cell>
          <cell r="N33">
            <v>3</v>
          </cell>
          <cell r="O33">
            <v>13</v>
          </cell>
          <cell r="U33">
            <v>48000</v>
          </cell>
          <cell r="V33">
            <v>10.5</v>
          </cell>
        </row>
        <row r="34">
          <cell r="G34">
            <v>50500</v>
          </cell>
          <cell r="H34">
            <v>11.3</v>
          </cell>
          <cell r="J34">
            <v>68000</v>
          </cell>
          <cell r="K34" t="str">
            <v>JU-35/F</v>
          </cell>
          <cell r="L34">
            <v>10</v>
          </cell>
          <cell r="M34" t="str">
            <v>mZMA-12</v>
          </cell>
          <cell r="N34">
            <v>3</v>
          </cell>
          <cell r="O34">
            <v>13</v>
          </cell>
          <cell r="U34">
            <v>48599</v>
          </cell>
          <cell r="V34">
            <v>10.5</v>
          </cell>
        </row>
        <row r="35">
          <cell r="G35">
            <v>50500</v>
          </cell>
          <cell r="H35">
            <v>5.8</v>
          </cell>
          <cell r="J35">
            <v>69000</v>
          </cell>
          <cell r="K35" t="str">
            <v>JU-35/F</v>
          </cell>
          <cell r="L35">
            <v>10</v>
          </cell>
          <cell r="M35" t="str">
            <v>mZMA-12</v>
          </cell>
          <cell r="N35">
            <v>3</v>
          </cell>
          <cell r="O35">
            <v>13</v>
          </cell>
          <cell r="U35">
            <v>48599</v>
          </cell>
          <cell r="V35">
            <v>7.5</v>
          </cell>
        </row>
        <row r="36">
          <cell r="G36">
            <v>51500</v>
          </cell>
          <cell r="H36">
            <v>5.8</v>
          </cell>
          <cell r="J36">
            <v>69000</v>
          </cell>
          <cell r="K36" t="str">
            <v>K-20/F</v>
          </cell>
          <cell r="L36">
            <v>8</v>
          </cell>
          <cell r="M36" t="str">
            <v>mZMA-12</v>
          </cell>
          <cell r="N36">
            <v>3</v>
          </cell>
          <cell r="O36">
            <v>11</v>
          </cell>
          <cell r="U36">
            <v>49323</v>
          </cell>
          <cell r="V36">
            <v>7.5</v>
          </cell>
        </row>
        <row r="37">
          <cell r="G37">
            <v>51500</v>
          </cell>
          <cell r="H37">
            <v>8.1999999999999993</v>
          </cell>
          <cell r="J37">
            <v>69500</v>
          </cell>
          <cell r="K37" t="str">
            <v>K-20/F</v>
          </cell>
          <cell r="L37">
            <v>8</v>
          </cell>
          <cell r="M37" t="str">
            <v>mZMA-12</v>
          </cell>
          <cell r="N37">
            <v>3</v>
          </cell>
          <cell r="O37">
            <v>11</v>
          </cell>
          <cell r="U37">
            <v>49323</v>
          </cell>
          <cell r="V37">
            <v>14</v>
          </cell>
        </row>
        <row r="38">
          <cell r="G38">
            <v>55500</v>
          </cell>
          <cell r="H38">
            <v>8.1999999999999993</v>
          </cell>
          <cell r="J38">
            <v>70000</v>
          </cell>
          <cell r="K38" t="str">
            <v>K-20/F</v>
          </cell>
          <cell r="L38">
            <v>8</v>
          </cell>
          <cell r="M38" t="str">
            <v>mZMA-12</v>
          </cell>
          <cell r="N38">
            <v>3</v>
          </cell>
          <cell r="O38">
            <v>11</v>
          </cell>
          <cell r="U38">
            <v>49390</v>
          </cell>
          <cell r="V38">
            <v>14</v>
          </cell>
        </row>
        <row r="39">
          <cell r="G39">
            <v>55500</v>
          </cell>
          <cell r="H39">
            <v>7.4</v>
          </cell>
          <cell r="J39">
            <v>70000</v>
          </cell>
          <cell r="K39" t="str">
            <v>JU-35/F</v>
          </cell>
          <cell r="L39">
            <v>10</v>
          </cell>
          <cell r="M39" t="str">
            <v>mZMA-12</v>
          </cell>
          <cell r="N39">
            <v>3</v>
          </cell>
          <cell r="O39">
            <v>13</v>
          </cell>
          <cell r="U39">
            <v>49390</v>
          </cell>
          <cell r="V39">
            <v>10.5</v>
          </cell>
        </row>
        <row r="40">
          <cell r="G40">
            <v>67000</v>
          </cell>
          <cell r="H40">
            <v>7.4</v>
          </cell>
          <cell r="J40">
            <v>71000</v>
          </cell>
          <cell r="K40" t="str">
            <v>JU-35/F</v>
          </cell>
          <cell r="L40">
            <v>10</v>
          </cell>
          <cell r="M40" t="str">
            <v>mZMA-12</v>
          </cell>
          <cell r="N40">
            <v>3</v>
          </cell>
          <cell r="O40">
            <v>13</v>
          </cell>
          <cell r="U40">
            <v>49500</v>
          </cell>
          <cell r="V40">
            <v>10.5</v>
          </cell>
        </row>
        <row r="41">
          <cell r="G41">
            <v>67000</v>
          </cell>
          <cell r="H41">
            <v>12.6</v>
          </cell>
          <cell r="J41">
            <v>72000</v>
          </cell>
          <cell r="K41" t="str">
            <v>JU-35/F</v>
          </cell>
          <cell r="L41">
            <v>10</v>
          </cell>
          <cell r="M41" t="str">
            <v>mZMA-12</v>
          </cell>
          <cell r="N41">
            <v>3</v>
          </cell>
          <cell r="O41">
            <v>13</v>
          </cell>
          <cell r="U41">
            <v>49500</v>
          </cell>
          <cell r="V41">
            <v>14</v>
          </cell>
        </row>
        <row r="42">
          <cell r="G42">
            <v>69000</v>
          </cell>
          <cell r="H42">
            <v>12.6</v>
          </cell>
          <cell r="J42">
            <v>72000</v>
          </cell>
          <cell r="K42" t="str">
            <v>JU-35/F</v>
          </cell>
          <cell r="L42">
            <v>11</v>
          </cell>
          <cell r="M42" t="str">
            <v>mZMA-12</v>
          </cell>
          <cell r="N42">
            <v>3</v>
          </cell>
          <cell r="O42">
            <v>14</v>
          </cell>
          <cell r="U42">
            <v>49592</v>
          </cell>
          <cell r="V42">
            <v>14</v>
          </cell>
        </row>
        <row r="43">
          <cell r="G43">
            <v>69000</v>
          </cell>
          <cell r="H43">
            <v>10.4</v>
          </cell>
          <cell r="J43">
            <v>73000</v>
          </cell>
          <cell r="K43" t="str">
            <v>JU-35/F</v>
          </cell>
          <cell r="L43">
            <v>11</v>
          </cell>
          <cell r="M43" t="str">
            <v>mZMA-12</v>
          </cell>
          <cell r="N43">
            <v>3</v>
          </cell>
          <cell r="O43">
            <v>14</v>
          </cell>
          <cell r="U43">
            <v>49592</v>
          </cell>
          <cell r="V43">
            <v>7.5</v>
          </cell>
        </row>
        <row r="44">
          <cell r="G44">
            <v>70000</v>
          </cell>
          <cell r="H44">
            <v>10.4</v>
          </cell>
          <cell r="J44">
            <v>74000</v>
          </cell>
          <cell r="K44" t="str">
            <v>JU-35/F</v>
          </cell>
          <cell r="L44">
            <v>11</v>
          </cell>
          <cell r="M44" t="str">
            <v>mZMA-12</v>
          </cell>
          <cell r="N44">
            <v>3</v>
          </cell>
          <cell r="O44">
            <v>14</v>
          </cell>
          <cell r="U44">
            <v>50024</v>
          </cell>
          <cell r="V44">
            <v>7.5</v>
          </cell>
        </row>
        <row r="45">
          <cell r="G45">
            <v>70000</v>
          </cell>
          <cell r="H45">
            <v>13</v>
          </cell>
          <cell r="J45">
            <v>74000</v>
          </cell>
          <cell r="K45" t="str">
            <v>JU-35/F</v>
          </cell>
          <cell r="L45">
            <v>10</v>
          </cell>
          <cell r="M45" t="str">
            <v>mZMA-12</v>
          </cell>
          <cell r="N45">
            <v>3</v>
          </cell>
          <cell r="O45">
            <v>13</v>
          </cell>
          <cell r="U45">
            <v>50024</v>
          </cell>
          <cell r="V45">
            <v>8.6999999999999993</v>
          </cell>
        </row>
        <row r="46">
          <cell r="G46">
            <v>72000</v>
          </cell>
          <cell r="H46">
            <v>13</v>
          </cell>
          <cell r="J46">
            <v>74500</v>
          </cell>
          <cell r="K46" t="str">
            <v>JU-35/F</v>
          </cell>
          <cell r="L46">
            <v>10</v>
          </cell>
          <cell r="M46" t="str">
            <v>mZMA-12</v>
          </cell>
          <cell r="N46">
            <v>3</v>
          </cell>
          <cell r="O46">
            <v>13</v>
          </cell>
          <cell r="U46">
            <v>50060</v>
          </cell>
          <cell r="V46">
            <v>8.6999999999999993</v>
          </cell>
        </row>
        <row r="47">
          <cell r="G47">
            <v>72000</v>
          </cell>
          <cell r="H47">
            <v>13.8</v>
          </cell>
          <cell r="J47">
            <v>75000</v>
          </cell>
          <cell r="K47" t="str">
            <v>JU-35/F</v>
          </cell>
          <cell r="L47">
            <v>10</v>
          </cell>
          <cell r="M47" t="str">
            <v>mZMA-12</v>
          </cell>
          <cell r="N47">
            <v>3</v>
          </cell>
          <cell r="O47">
            <v>13</v>
          </cell>
          <cell r="U47">
            <v>50060</v>
          </cell>
          <cell r="V47">
            <v>9.1999999999999993</v>
          </cell>
        </row>
        <row r="48">
          <cell r="G48">
            <v>74000</v>
          </cell>
          <cell r="H48">
            <v>13.8</v>
          </cell>
          <cell r="J48">
            <v>75000</v>
          </cell>
          <cell r="K48" t="str">
            <v>mAB-12/F</v>
          </cell>
          <cell r="L48">
            <v>4</v>
          </cell>
          <cell r="M48" t="str">
            <v>mZMA-12</v>
          </cell>
          <cell r="N48">
            <v>3</v>
          </cell>
          <cell r="O48">
            <v>7</v>
          </cell>
          <cell r="U48">
            <v>50199</v>
          </cell>
          <cell r="V48">
            <v>9.1999999999999993</v>
          </cell>
        </row>
        <row r="49">
          <cell r="G49">
            <v>74000</v>
          </cell>
          <cell r="H49">
            <v>7.8</v>
          </cell>
          <cell r="J49">
            <v>75500</v>
          </cell>
          <cell r="K49" t="str">
            <v>mAB-12/F</v>
          </cell>
          <cell r="L49">
            <v>4</v>
          </cell>
          <cell r="M49" t="str">
            <v>mZMA-12</v>
          </cell>
          <cell r="N49">
            <v>3</v>
          </cell>
          <cell r="O49">
            <v>7</v>
          </cell>
          <cell r="U49">
            <v>50199</v>
          </cell>
          <cell r="V49">
            <v>10.8</v>
          </cell>
        </row>
        <row r="50">
          <cell r="G50">
            <v>75000</v>
          </cell>
          <cell r="H50">
            <v>7.8</v>
          </cell>
          <cell r="J50">
            <v>76000</v>
          </cell>
          <cell r="K50" t="str">
            <v>mAB-12/F</v>
          </cell>
          <cell r="L50">
            <v>4</v>
          </cell>
          <cell r="M50" t="str">
            <v>mZMA-12</v>
          </cell>
          <cell r="N50">
            <v>3</v>
          </cell>
          <cell r="O50">
            <v>7</v>
          </cell>
          <cell r="U50">
            <v>50339</v>
          </cell>
          <cell r="V50">
            <v>10.8</v>
          </cell>
        </row>
        <row r="51">
          <cell r="G51">
            <v>75000</v>
          </cell>
          <cell r="H51">
            <v>4.3</v>
          </cell>
          <cell r="J51">
            <v>76000</v>
          </cell>
          <cell r="K51" t="str">
            <v>JU-35/F</v>
          </cell>
          <cell r="L51">
            <v>10</v>
          </cell>
          <cell r="M51" t="str">
            <v>mZMA-12</v>
          </cell>
          <cell r="N51">
            <v>3</v>
          </cell>
          <cell r="O51">
            <v>13</v>
          </cell>
          <cell r="U51">
            <v>50339</v>
          </cell>
          <cell r="V51">
            <v>9.1999999999999993</v>
          </cell>
        </row>
        <row r="52">
          <cell r="G52">
            <v>76000</v>
          </cell>
          <cell r="H52">
            <v>4.3</v>
          </cell>
          <cell r="J52">
            <v>77500</v>
          </cell>
          <cell r="K52" t="str">
            <v>JU-35/F</v>
          </cell>
          <cell r="L52">
            <v>10</v>
          </cell>
          <cell r="M52" t="str">
            <v>mZMA-12</v>
          </cell>
          <cell r="N52">
            <v>3</v>
          </cell>
          <cell r="O52">
            <v>13</v>
          </cell>
          <cell r="U52">
            <v>50489</v>
          </cell>
          <cell r="V52">
            <v>9.1999999999999993</v>
          </cell>
        </row>
        <row r="53">
          <cell r="G53">
            <v>76000</v>
          </cell>
          <cell r="H53">
            <v>12.2</v>
          </cell>
          <cell r="J53">
            <v>79000</v>
          </cell>
          <cell r="K53" t="str">
            <v>JU-35/F</v>
          </cell>
          <cell r="L53">
            <v>10</v>
          </cell>
          <cell r="M53" t="str">
            <v>mZMA-12</v>
          </cell>
          <cell r="N53">
            <v>3</v>
          </cell>
          <cell r="O53">
            <v>13</v>
          </cell>
          <cell r="U53">
            <v>50489</v>
          </cell>
          <cell r="V53">
            <v>7.5</v>
          </cell>
        </row>
        <row r="54">
          <cell r="G54">
            <v>79000</v>
          </cell>
          <cell r="H54">
            <v>12.2</v>
          </cell>
          <cell r="J54">
            <v>79000</v>
          </cell>
          <cell r="K54" t="str">
            <v>JU-35/F</v>
          </cell>
          <cell r="L54">
            <v>12</v>
          </cell>
          <cell r="M54" t="str">
            <v>mZMA-12</v>
          </cell>
          <cell r="N54">
            <v>3</v>
          </cell>
          <cell r="O54">
            <v>15</v>
          </cell>
          <cell r="U54">
            <v>51140</v>
          </cell>
          <cell r="V54">
            <v>7.5</v>
          </cell>
        </row>
        <row r="55">
          <cell r="G55">
            <v>79000</v>
          </cell>
          <cell r="H55">
            <v>14.4</v>
          </cell>
          <cell r="J55">
            <v>80000</v>
          </cell>
          <cell r="K55" t="str">
            <v>JU-35/F</v>
          </cell>
          <cell r="L55">
            <v>12</v>
          </cell>
          <cell r="M55" t="str">
            <v>mZMA-12</v>
          </cell>
          <cell r="N55">
            <v>3</v>
          </cell>
          <cell r="O55">
            <v>15</v>
          </cell>
          <cell r="U55">
            <v>51140</v>
          </cell>
          <cell r="V55">
            <v>10.5</v>
          </cell>
        </row>
        <row r="56">
          <cell r="G56">
            <v>80000</v>
          </cell>
          <cell r="H56">
            <v>14.4</v>
          </cell>
          <cell r="J56">
            <v>81000</v>
          </cell>
          <cell r="K56" t="str">
            <v>JU-35/F</v>
          </cell>
          <cell r="L56">
            <v>12</v>
          </cell>
          <cell r="M56" t="str">
            <v>mZMA-12</v>
          </cell>
          <cell r="N56">
            <v>3</v>
          </cell>
          <cell r="O56">
            <v>15</v>
          </cell>
          <cell r="U56">
            <v>51680</v>
          </cell>
          <cell r="V56">
            <v>10.5</v>
          </cell>
        </row>
        <row r="57">
          <cell r="G57">
            <v>80000</v>
          </cell>
          <cell r="H57">
            <v>14.5</v>
          </cell>
          <cell r="J57">
            <v>81000</v>
          </cell>
          <cell r="K57" t="str">
            <v>K-20/F</v>
          </cell>
          <cell r="L57">
            <v>8</v>
          </cell>
          <cell r="M57" t="str">
            <v>mZMA-12</v>
          </cell>
          <cell r="N57">
            <v>3</v>
          </cell>
          <cell r="O57">
            <v>11</v>
          </cell>
          <cell r="U57">
            <v>51680</v>
          </cell>
          <cell r="V57">
            <v>7.5</v>
          </cell>
        </row>
        <row r="58">
          <cell r="G58">
            <v>81000</v>
          </cell>
          <cell r="H58">
            <v>14.5</v>
          </cell>
          <cell r="J58">
            <v>81500</v>
          </cell>
          <cell r="K58" t="str">
            <v>K-20/F</v>
          </cell>
          <cell r="L58">
            <v>8</v>
          </cell>
          <cell r="M58" t="str">
            <v>mZMA-12</v>
          </cell>
          <cell r="N58">
            <v>3</v>
          </cell>
          <cell r="O58">
            <v>11</v>
          </cell>
          <cell r="U58">
            <v>58820</v>
          </cell>
          <cell r="V58">
            <v>7.5</v>
          </cell>
        </row>
        <row r="59">
          <cell r="G59">
            <v>81000</v>
          </cell>
          <cell r="H59">
            <v>10.6</v>
          </cell>
          <cell r="J59">
            <v>82000</v>
          </cell>
          <cell r="K59" t="str">
            <v>K-20/F</v>
          </cell>
          <cell r="L59">
            <v>8</v>
          </cell>
          <cell r="M59" t="str">
            <v>mZMA-12</v>
          </cell>
          <cell r="N59">
            <v>3</v>
          </cell>
          <cell r="O59">
            <v>11</v>
          </cell>
          <cell r="U59">
            <v>58820</v>
          </cell>
          <cell r="V59">
            <v>10.5</v>
          </cell>
        </row>
        <row r="60">
          <cell r="G60">
            <v>82000</v>
          </cell>
          <cell r="H60">
            <v>10.6</v>
          </cell>
          <cell r="J60">
            <v>82000</v>
          </cell>
          <cell r="K60" t="str">
            <v>JU-35/F</v>
          </cell>
          <cell r="L60">
            <v>11</v>
          </cell>
          <cell r="M60" t="str">
            <v>mZMA-12</v>
          </cell>
          <cell r="N60">
            <v>3</v>
          </cell>
          <cell r="O60">
            <v>14</v>
          </cell>
          <cell r="U60">
            <v>59293</v>
          </cell>
          <cell r="V60">
            <v>10.5</v>
          </cell>
        </row>
        <row r="61">
          <cell r="G61">
            <v>82000</v>
          </cell>
          <cell r="H61">
            <v>13.6</v>
          </cell>
          <cell r="J61">
            <v>83000</v>
          </cell>
          <cell r="K61" t="str">
            <v>JU-35/F</v>
          </cell>
          <cell r="L61">
            <v>11</v>
          </cell>
          <cell r="M61" t="str">
            <v>mZMA-12</v>
          </cell>
          <cell r="N61">
            <v>3</v>
          </cell>
          <cell r="O61">
            <v>14</v>
          </cell>
          <cell r="U61">
            <v>59293</v>
          </cell>
          <cell r="V61">
            <v>7.5</v>
          </cell>
        </row>
        <row r="62">
          <cell r="G62">
            <v>84000</v>
          </cell>
          <cell r="H62">
            <v>13.6</v>
          </cell>
          <cell r="J62">
            <v>84000</v>
          </cell>
          <cell r="K62" t="str">
            <v>JU-35/F</v>
          </cell>
          <cell r="L62">
            <v>11</v>
          </cell>
          <cell r="M62" t="str">
            <v>mZMA-12</v>
          </cell>
          <cell r="N62">
            <v>3</v>
          </cell>
          <cell r="O62">
            <v>14</v>
          </cell>
          <cell r="U62">
            <v>61773</v>
          </cell>
          <cell r="V62">
            <v>7.5</v>
          </cell>
        </row>
        <row r="63">
          <cell r="G63">
            <v>84000</v>
          </cell>
          <cell r="H63">
            <v>14.1</v>
          </cell>
          <cell r="J63">
            <v>84000</v>
          </cell>
          <cell r="K63" t="str">
            <v>JU-35/F</v>
          </cell>
          <cell r="L63">
            <v>12</v>
          </cell>
          <cell r="M63" t="str">
            <v>mZMA-12</v>
          </cell>
          <cell r="N63">
            <v>3</v>
          </cell>
          <cell r="O63">
            <v>15</v>
          </cell>
          <cell r="U63">
            <v>61773</v>
          </cell>
          <cell r="V63">
            <v>10.5</v>
          </cell>
        </row>
        <row r="64">
          <cell r="G64">
            <v>85500</v>
          </cell>
          <cell r="H64">
            <v>14.1</v>
          </cell>
          <cell r="J64">
            <v>84750</v>
          </cell>
          <cell r="K64" t="str">
            <v>JU-35/F</v>
          </cell>
          <cell r="L64">
            <v>12</v>
          </cell>
          <cell r="M64" t="str">
            <v>mZMA-12</v>
          </cell>
          <cell r="N64">
            <v>3</v>
          </cell>
          <cell r="O64">
            <v>15</v>
          </cell>
          <cell r="U64">
            <v>62340</v>
          </cell>
          <cell r="V64">
            <v>10.5</v>
          </cell>
        </row>
        <row r="65">
          <cell r="G65">
            <v>85500</v>
          </cell>
          <cell r="H65">
            <v>13</v>
          </cell>
          <cell r="J65">
            <v>85500</v>
          </cell>
          <cell r="K65" t="str">
            <v>JU-35/F</v>
          </cell>
          <cell r="L65">
            <v>12</v>
          </cell>
          <cell r="M65" t="str">
            <v>mZMA-12</v>
          </cell>
          <cell r="N65">
            <v>3</v>
          </cell>
          <cell r="O65">
            <v>15</v>
          </cell>
          <cell r="U65">
            <v>62340</v>
          </cell>
          <cell r="V65">
            <v>7.5</v>
          </cell>
        </row>
        <row r="66">
          <cell r="G66">
            <v>87000</v>
          </cell>
          <cell r="H66">
            <v>13</v>
          </cell>
          <cell r="J66">
            <v>85500</v>
          </cell>
          <cell r="K66" t="str">
            <v>JU-35/F</v>
          </cell>
          <cell r="L66">
            <v>10</v>
          </cell>
          <cell r="M66" t="str">
            <v>mZMA-12</v>
          </cell>
          <cell r="N66">
            <v>3</v>
          </cell>
          <cell r="O66">
            <v>13</v>
          </cell>
          <cell r="U66">
            <v>65427</v>
          </cell>
          <cell r="V66">
            <v>7.5</v>
          </cell>
        </row>
        <row r="67">
          <cell r="G67">
            <v>87000</v>
          </cell>
          <cell r="H67">
            <v>13.2</v>
          </cell>
          <cell r="J67">
            <v>86250</v>
          </cell>
          <cell r="K67" t="str">
            <v>JU-35/F</v>
          </cell>
          <cell r="L67">
            <v>10</v>
          </cell>
          <cell r="M67" t="str">
            <v>mZMA-12</v>
          </cell>
          <cell r="N67">
            <v>3</v>
          </cell>
          <cell r="O67">
            <v>13</v>
          </cell>
          <cell r="U67">
            <v>65427</v>
          </cell>
          <cell r="V67">
            <v>9.6</v>
          </cell>
        </row>
        <row r="68">
          <cell r="G68">
            <v>88300</v>
          </cell>
          <cell r="H68">
            <v>13.2</v>
          </cell>
          <cell r="J68">
            <v>87000</v>
          </cell>
          <cell r="K68" t="str">
            <v>JU-35/F</v>
          </cell>
          <cell r="L68">
            <v>10</v>
          </cell>
          <cell r="M68" t="str">
            <v>mZMA-12</v>
          </cell>
          <cell r="N68">
            <v>3</v>
          </cell>
          <cell r="O68">
            <v>13</v>
          </cell>
          <cell r="U68">
            <v>65891</v>
          </cell>
          <cell r="V68">
            <v>9.6</v>
          </cell>
        </row>
        <row r="69">
          <cell r="G69">
            <v>88300</v>
          </cell>
          <cell r="H69">
            <v>13.6</v>
          </cell>
          <cell r="J69">
            <v>87000</v>
          </cell>
          <cell r="K69" t="str">
            <v>JU-35/F</v>
          </cell>
          <cell r="L69">
            <v>11</v>
          </cell>
          <cell r="M69" t="str">
            <v>mZMA-12</v>
          </cell>
          <cell r="N69">
            <v>3</v>
          </cell>
          <cell r="O69">
            <v>14</v>
          </cell>
          <cell r="U69">
            <v>65891</v>
          </cell>
          <cell r="V69">
            <v>8</v>
          </cell>
        </row>
        <row r="70">
          <cell r="G70">
            <v>90150</v>
          </cell>
          <cell r="H70">
            <v>13.6</v>
          </cell>
          <cell r="J70">
            <v>87650</v>
          </cell>
          <cell r="K70" t="str">
            <v>JU-35/F</v>
          </cell>
          <cell r="L70">
            <v>11</v>
          </cell>
          <cell r="M70" t="str">
            <v>mZMA-12</v>
          </cell>
          <cell r="N70">
            <v>3</v>
          </cell>
          <cell r="O70">
            <v>14</v>
          </cell>
          <cell r="U70">
            <v>67700</v>
          </cell>
          <cell r="V70">
            <v>8</v>
          </cell>
        </row>
        <row r="71">
          <cell r="G71">
            <v>90150</v>
          </cell>
          <cell r="H71">
            <v>12.2</v>
          </cell>
          <cell r="J71">
            <v>88300</v>
          </cell>
          <cell r="K71" t="str">
            <v>JU-35/F</v>
          </cell>
          <cell r="L71">
            <v>11</v>
          </cell>
          <cell r="M71" t="str">
            <v>mZMA-12</v>
          </cell>
          <cell r="N71">
            <v>3</v>
          </cell>
          <cell r="O71">
            <v>14</v>
          </cell>
          <cell r="U71">
            <v>67700</v>
          </cell>
          <cell r="V71">
            <v>7</v>
          </cell>
        </row>
        <row r="72">
          <cell r="G72">
            <v>98000</v>
          </cell>
          <cell r="H72">
            <v>12.2</v>
          </cell>
          <cell r="J72">
            <v>88300</v>
          </cell>
          <cell r="K72" t="str">
            <v>K-20/F</v>
          </cell>
          <cell r="L72">
            <v>7</v>
          </cell>
          <cell r="M72" t="str">
            <v>mZMA-12</v>
          </cell>
          <cell r="N72">
            <v>3</v>
          </cell>
          <cell r="O72">
            <v>10</v>
          </cell>
          <cell r="U72">
            <v>67997</v>
          </cell>
          <cell r="V72">
            <v>7</v>
          </cell>
        </row>
        <row r="73">
          <cell r="G73">
            <v>98000</v>
          </cell>
          <cell r="H73">
            <v>11.6</v>
          </cell>
          <cell r="J73">
            <v>89225</v>
          </cell>
          <cell r="K73" t="str">
            <v>K-20/F</v>
          </cell>
          <cell r="L73">
            <v>7</v>
          </cell>
          <cell r="M73" t="str">
            <v>mZMA-12</v>
          </cell>
          <cell r="N73">
            <v>3</v>
          </cell>
          <cell r="O73">
            <v>10</v>
          </cell>
          <cell r="U73">
            <v>67997</v>
          </cell>
          <cell r="V73">
            <v>9</v>
          </cell>
        </row>
        <row r="74">
          <cell r="G74">
            <v>99000</v>
          </cell>
          <cell r="H74">
            <v>11.6</v>
          </cell>
          <cell r="J74">
            <v>90150</v>
          </cell>
          <cell r="K74" t="str">
            <v>K-20/F</v>
          </cell>
          <cell r="L74">
            <v>7</v>
          </cell>
          <cell r="M74" t="str">
            <v>mZMA-12</v>
          </cell>
          <cell r="N74">
            <v>3</v>
          </cell>
          <cell r="O74">
            <v>10</v>
          </cell>
          <cell r="U74">
            <v>68053</v>
          </cell>
          <cell r="V74">
            <v>9</v>
          </cell>
        </row>
        <row r="75">
          <cell r="G75">
            <v>99000</v>
          </cell>
          <cell r="H75">
            <v>12</v>
          </cell>
          <cell r="J75">
            <v>90150</v>
          </cell>
          <cell r="K75" t="str">
            <v>JU-35/F</v>
          </cell>
          <cell r="L75">
            <v>10</v>
          </cell>
          <cell r="M75" t="str">
            <v>mZMA-12</v>
          </cell>
          <cell r="N75">
            <v>3</v>
          </cell>
          <cell r="O75">
            <v>13</v>
          </cell>
          <cell r="U75">
            <v>68053</v>
          </cell>
          <cell r="V75">
            <v>7</v>
          </cell>
        </row>
        <row r="76">
          <cell r="G76">
            <v>100000</v>
          </cell>
          <cell r="H76">
            <v>12</v>
          </cell>
          <cell r="J76">
            <v>94075</v>
          </cell>
          <cell r="K76" t="str">
            <v>JU-35/F</v>
          </cell>
          <cell r="L76">
            <v>10</v>
          </cell>
          <cell r="M76" t="str">
            <v>mZMA-12</v>
          </cell>
          <cell r="N76">
            <v>3</v>
          </cell>
          <cell r="O76">
            <v>13</v>
          </cell>
          <cell r="U76">
            <v>68300</v>
          </cell>
          <cell r="V76">
            <v>7</v>
          </cell>
        </row>
        <row r="77">
          <cell r="G77">
            <v>100000</v>
          </cell>
          <cell r="H77">
            <v>3</v>
          </cell>
          <cell r="J77">
            <v>98000</v>
          </cell>
          <cell r="K77" t="str">
            <v>JU-35/F</v>
          </cell>
          <cell r="L77">
            <v>10</v>
          </cell>
          <cell r="M77" t="str">
            <v>mZMA-12</v>
          </cell>
          <cell r="N77">
            <v>3</v>
          </cell>
          <cell r="O77">
            <v>13</v>
          </cell>
          <cell r="U77">
            <v>68300</v>
          </cell>
          <cell r="V77">
            <v>8</v>
          </cell>
        </row>
        <row r="78">
          <cell r="G78">
            <v>101000</v>
          </cell>
          <cell r="H78">
            <v>3</v>
          </cell>
          <cell r="J78">
            <v>98000</v>
          </cell>
          <cell r="K78" t="str">
            <v>K-20/F</v>
          </cell>
          <cell r="L78">
            <v>9</v>
          </cell>
          <cell r="M78" t="str">
            <v>mZMA-12</v>
          </cell>
          <cell r="N78">
            <v>3</v>
          </cell>
          <cell r="O78">
            <v>12</v>
          </cell>
          <cell r="U78">
            <v>72760</v>
          </cell>
          <cell r="V78">
            <v>8</v>
          </cell>
        </row>
        <row r="79">
          <cell r="G79">
            <v>101000</v>
          </cell>
          <cell r="H79">
            <v>3.6</v>
          </cell>
          <cell r="J79">
            <v>98500</v>
          </cell>
          <cell r="K79" t="str">
            <v>K-20/F</v>
          </cell>
          <cell r="L79">
            <v>9</v>
          </cell>
          <cell r="M79" t="str">
            <v>mZMA-12</v>
          </cell>
          <cell r="N79">
            <v>3</v>
          </cell>
          <cell r="O79">
            <v>12</v>
          </cell>
          <cell r="U79">
            <v>72760</v>
          </cell>
          <cell r="V79">
            <v>11.1</v>
          </cell>
        </row>
        <row r="80">
          <cell r="G80">
            <v>109500</v>
          </cell>
          <cell r="H80">
            <v>3.6</v>
          </cell>
          <cell r="J80">
            <v>99000</v>
          </cell>
          <cell r="K80" t="str">
            <v>K-20/F</v>
          </cell>
          <cell r="L80">
            <v>9</v>
          </cell>
          <cell r="M80" t="str">
            <v>mZMA-12</v>
          </cell>
          <cell r="N80">
            <v>3</v>
          </cell>
          <cell r="O80">
            <v>12</v>
          </cell>
          <cell r="U80">
            <v>72842</v>
          </cell>
          <cell r="V80">
            <v>11.1</v>
          </cell>
        </row>
        <row r="81">
          <cell r="G81">
            <v>109500</v>
          </cell>
          <cell r="H81">
            <v>8.4</v>
          </cell>
          <cell r="J81">
            <v>99000</v>
          </cell>
          <cell r="K81" t="str">
            <v>JU-35/F</v>
          </cell>
          <cell r="L81">
            <v>10</v>
          </cell>
          <cell r="M81" t="str">
            <v>mZMA-12</v>
          </cell>
          <cell r="N81">
            <v>3</v>
          </cell>
          <cell r="O81">
            <v>13</v>
          </cell>
          <cell r="U81">
            <v>72842</v>
          </cell>
          <cell r="V81">
            <v>14.6</v>
          </cell>
        </row>
        <row r="82">
          <cell r="G82">
            <v>111500</v>
          </cell>
          <cell r="H82">
            <v>8.4</v>
          </cell>
          <cell r="J82">
            <v>99500</v>
          </cell>
          <cell r="K82" t="str">
            <v>JU-35/F</v>
          </cell>
          <cell r="L82">
            <v>10</v>
          </cell>
          <cell r="M82" t="str">
            <v>mZMA-12</v>
          </cell>
          <cell r="N82">
            <v>3</v>
          </cell>
          <cell r="O82">
            <v>13</v>
          </cell>
          <cell r="U82">
            <v>72970</v>
          </cell>
          <cell r="V82">
            <v>14.6</v>
          </cell>
        </row>
        <row r="83">
          <cell r="G83">
            <v>111500</v>
          </cell>
          <cell r="H83">
            <v>9</v>
          </cell>
          <cell r="J83">
            <v>100000</v>
          </cell>
          <cell r="K83" t="str">
            <v>JU-35/F</v>
          </cell>
          <cell r="L83">
            <v>10</v>
          </cell>
          <cell r="M83" t="str">
            <v>mZMA-12</v>
          </cell>
          <cell r="N83">
            <v>3</v>
          </cell>
          <cell r="O83">
            <v>13</v>
          </cell>
          <cell r="U83">
            <v>72970</v>
          </cell>
          <cell r="V83">
            <v>11.1</v>
          </cell>
        </row>
        <row r="84">
          <cell r="G84">
            <v>112500</v>
          </cell>
          <cell r="H84">
            <v>9</v>
          </cell>
          <cell r="J84">
            <v>100000</v>
          </cell>
          <cell r="L84">
            <v>0</v>
          </cell>
          <cell r="M84" t="str">
            <v>mZMA-12</v>
          </cell>
          <cell r="N84">
            <v>3</v>
          </cell>
          <cell r="O84">
            <v>3</v>
          </cell>
          <cell r="U84">
            <v>73188</v>
          </cell>
          <cell r="V84">
            <v>11.1</v>
          </cell>
        </row>
        <row r="85">
          <cell r="G85">
            <v>112500</v>
          </cell>
          <cell r="H85">
            <v>6</v>
          </cell>
          <cell r="J85">
            <v>100500</v>
          </cell>
          <cell r="M85" t="str">
            <v>mZMA-12</v>
          </cell>
          <cell r="N85">
            <v>3</v>
          </cell>
          <cell r="O85">
            <v>3</v>
          </cell>
          <cell r="U85">
            <v>73188</v>
          </cell>
          <cell r="V85">
            <v>8</v>
          </cell>
        </row>
        <row r="86">
          <cell r="G86">
            <v>121500</v>
          </cell>
          <cell r="H86">
            <v>6</v>
          </cell>
          <cell r="J86">
            <v>101000</v>
          </cell>
          <cell r="M86" t="str">
            <v>mZMA-12</v>
          </cell>
          <cell r="N86">
            <v>3</v>
          </cell>
          <cell r="O86">
            <v>3</v>
          </cell>
          <cell r="U86">
            <v>74495</v>
          </cell>
          <cell r="V86">
            <v>8</v>
          </cell>
        </row>
        <row r="87">
          <cell r="G87">
            <v>121500</v>
          </cell>
          <cell r="H87">
            <v>4.5</v>
          </cell>
          <cell r="J87">
            <v>101000</v>
          </cell>
          <cell r="M87" t="str">
            <v>mZMA-12</v>
          </cell>
          <cell r="N87">
            <v>4</v>
          </cell>
          <cell r="O87">
            <v>4</v>
          </cell>
          <cell r="U87">
            <v>74495</v>
          </cell>
          <cell r="V87">
            <v>14.3</v>
          </cell>
        </row>
        <row r="88">
          <cell r="G88">
            <v>124500</v>
          </cell>
          <cell r="H88">
            <v>4.5</v>
          </cell>
          <cell r="J88">
            <v>102845</v>
          </cell>
          <cell r="M88" t="str">
            <v>mZMA-12</v>
          </cell>
          <cell r="N88">
            <v>4</v>
          </cell>
          <cell r="O88">
            <v>4</v>
          </cell>
          <cell r="U88">
            <v>74840</v>
          </cell>
          <cell r="V88">
            <v>14.3</v>
          </cell>
        </row>
        <row r="89">
          <cell r="G89">
            <v>124500</v>
          </cell>
          <cell r="H89">
            <v>6</v>
          </cell>
          <cell r="J89">
            <v>104690</v>
          </cell>
          <cell r="M89" t="str">
            <v>mZMA-12</v>
          </cell>
          <cell r="N89">
            <v>4</v>
          </cell>
          <cell r="O89">
            <v>4</v>
          </cell>
          <cell r="U89">
            <v>74840</v>
          </cell>
          <cell r="V89">
            <v>10.5</v>
          </cell>
        </row>
        <row r="90">
          <cell r="G90">
            <v>130500</v>
          </cell>
          <cell r="H90">
            <v>6</v>
          </cell>
          <cell r="J90">
            <v>104690</v>
          </cell>
          <cell r="M90" t="str">
            <v>mZMA-12</v>
          </cell>
          <cell r="N90">
            <v>3</v>
          </cell>
          <cell r="O90">
            <v>3</v>
          </cell>
          <cell r="U90">
            <v>75669</v>
          </cell>
          <cell r="V90">
            <v>10.5</v>
          </cell>
        </row>
        <row r="91">
          <cell r="G91">
            <v>130500</v>
          </cell>
          <cell r="H91">
            <v>5.5</v>
          </cell>
          <cell r="J91">
            <v>104970</v>
          </cell>
          <cell r="M91" t="str">
            <v>mZMA-12</v>
          </cell>
          <cell r="N91">
            <v>3</v>
          </cell>
          <cell r="O91">
            <v>3</v>
          </cell>
          <cell r="U91">
            <v>75669</v>
          </cell>
          <cell r="V91">
            <v>14</v>
          </cell>
        </row>
        <row r="92">
          <cell r="G92">
            <v>135500</v>
          </cell>
          <cell r="H92">
            <v>5.5</v>
          </cell>
          <cell r="J92">
            <v>105250</v>
          </cell>
          <cell r="M92" t="str">
            <v>mZMA-12</v>
          </cell>
          <cell r="N92">
            <v>3</v>
          </cell>
          <cell r="O92">
            <v>3</v>
          </cell>
          <cell r="U92">
            <v>75858</v>
          </cell>
          <cell r="V92">
            <v>14</v>
          </cell>
        </row>
        <row r="93">
          <cell r="G93">
            <v>135500</v>
          </cell>
          <cell r="H93">
            <v>6.5</v>
          </cell>
          <cell r="J93">
            <v>105250</v>
          </cell>
          <cell r="M93" t="str">
            <v>mZMA-12</v>
          </cell>
          <cell r="N93">
            <v>4</v>
          </cell>
          <cell r="O93">
            <v>4</v>
          </cell>
          <cell r="U93">
            <v>75858</v>
          </cell>
          <cell r="V93">
            <v>10.5</v>
          </cell>
        </row>
        <row r="94">
          <cell r="G94">
            <v>139943</v>
          </cell>
          <cell r="H94">
            <v>6.5</v>
          </cell>
          <cell r="J94">
            <v>106186.5</v>
          </cell>
          <cell r="M94" t="str">
            <v>mZMA-12</v>
          </cell>
          <cell r="N94">
            <v>4</v>
          </cell>
          <cell r="O94">
            <v>4</v>
          </cell>
          <cell r="U94">
            <v>76015</v>
          </cell>
          <cell r="V94">
            <v>10.5</v>
          </cell>
        </row>
        <row r="95">
          <cell r="J95">
            <v>107123</v>
          </cell>
          <cell r="M95" t="str">
            <v>mZMA-12</v>
          </cell>
          <cell r="N95">
            <v>4</v>
          </cell>
          <cell r="O95">
            <v>4</v>
          </cell>
          <cell r="U95">
            <v>76015</v>
          </cell>
          <cell r="V95">
            <v>14</v>
          </cell>
        </row>
        <row r="96">
          <cell r="J96">
            <v>107123</v>
          </cell>
          <cell r="M96" t="str">
            <v>mZMA-12</v>
          </cell>
          <cell r="N96">
            <v>3</v>
          </cell>
          <cell r="O96">
            <v>3</v>
          </cell>
          <cell r="U96">
            <v>76114</v>
          </cell>
          <cell r="V96">
            <v>14</v>
          </cell>
        </row>
        <row r="97">
          <cell r="J97">
            <v>107824.5</v>
          </cell>
          <cell r="M97" t="str">
            <v>mZMA-12</v>
          </cell>
          <cell r="N97">
            <v>3</v>
          </cell>
          <cell r="O97">
            <v>3</v>
          </cell>
          <cell r="U97">
            <v>76114</v>
          </cell>
          <cell r="V97">
            <v>10.5</v>
          </cell>
        </row>
        <row r="98">
          <cell r="J98">
            <v>108526</v>
          </cell>
          <cell r="M98" t="str">
            <v>mZMA-12</v>
          </cell>
          <cell r="N98">
            <v>3</v>
          </cell>
          <cell r="O98">
            <v>3</v>
          </cell>
          <cell r="U98">
            <v>76135</v>
          </cell>
          <cell r="V98">
            <v>10.5</v>
          </cell>
        </row>
        <row r="99">
          <cell r="J99">
            <v>108526</v>
          </cell>
          <cell r="M99" t="str">
            <v>mZMA-12</v>
          </cell>
          <cell r="N99">
            <v>4</v>
          </cell>
          <cell r="O99">
            <v>4</v>
          </cell>
          <cell r="U99">
            <v>76135</v>
          </cell>
          <cell r="V99">
            <v>14</v>
          </cell>
        </row>
        <row r="100">
          <cell r="J100">
            <v>109013</v>
          </cell>
          <cell r="M100" t="str">
            <v>mZMA-12</v>
          </cell>
          <cell r="N100">
            <v>4</v>
          </cell>
          <cell r="O100">
            <v>4</v>
          </cell>
          <cell r="U100">
            <v>76333</v>
          </cell>
          <cell r="V100">
            <v>14</v>
          </cell>
        </row>
        <row r="101">
          <cell r="J101">
            <v>109500</v>
          </cell>
          <cell r="L101">
            <v>0</v>
          </cell>
          <cell r="M101" t="str">
            <v>mZMA-12</v>
          </cell>
          <cell r="N101">
            <v>4</v>
          </cell>
          <cell r="O101">
            <v>4</v>
          </cell>
          <cell r="U101">
            <v>76333</v>
          </cell>
          <cell r="V101">
            <v>10.5</v>
          </cell>
        </row>
        <row r="102">
          <cell r="J102">
            <v>109500</v>
          </cell>
          <cell r="K102" t="str">
            <v>JU-35/F</v>
          </cell>
          <cell r="L102">
            <v>10</v>
          </cell>
          <cell r="M102" t="str">
            <v>mZMA-12</v>
          </cell>
          <cell r="N102">
            <v>3</v>
          </cell>
          <cell r="O102">
            <v>13</v>
          </cell>
          <cell r="U102">
            <v>76363</v>
          </cell>
          <cell r="V102">
            <v>10.5</v>
          </cell>
        </row>
        <row r="103">
          <cell r="J103">
            <v>110500</v>
          </cell>
          <cell r="K103" t="str">
            <v>JU-35/F</v>
          </cell>
          <cell r="L103">
            <v>10</v>
          </cell>
          <cell r="M103" t="str">
            <v>mZMA-12</v>
          </cell>
          <cell r="N103">
            <v>3</v>
          </cell>
          <cell r="O103">
            <v>13</v>
          </cell>
          <cell r="U103">
            <v>76363</v>
          </cell>
          <cell r="V103">
            <v>7.5</v>
          </cell>
        </row>
        <row r="104">
          <cell r="J104">
            <v>111500</v>
          </cell>
          <cell r="K104" t="str">
            <v>JU-35/F</v>
          </cell>
          <cell r="L104">
            <v>10</v>
          </cell>
          <cell r="M104" t="str">
            <v>mZMA-12</v>
          </cell>
          <cell r="N104">
            <v>3</v>
          </cell>
          <cell r="O104">
            <v>13</v>
          </cell>
          <cell r="U104">
            <v>77200</v>
          </cell>
          <cell r="V104">
            <v>7.5</v>
          </cell>
        </row>
        <row r="105">
          <cell r="J105">
            <v>111500</v>
          </cell>
          <cell r="K105" t="str">
            <v>K-20/F</v>
          </cell>
          <cell r="L105">
            <v>6</v>
          </cell>
          <cell r="M105" t="str">
            <v>mZMA-12</v>
          </cell>
          <cell r="N105">
            <v>3</v>
          </cell>
          <cell r="O105">
            <v>9</v>
          </cell>
          <cell r="U105">
            <v>77200</v>
          </cell>
          <cell r="V105">
            <v>11.2</v>
          </cell>
        </row>
        <row r="106">
          <cell r="J106">
            <v>112000</v>
          </cell>
          <cell r="K106" t="str">
            <v>K-20/F</v>
          </cell>
          <cell r="L106">
            <v>6</v>
          </cell>
          <cell r="M106" t="str">
            <v>mZMA-12</v>
          </cell>
          <cell r="N106">
            <v>3</v>
          </cell>
          <cell r="O106">
            <v>9</v>
          </cell>
          <cell r="U106">
            <v>77500</v>
          </cell>
          <cell r="V106">
            <v>11.2</v>
          </cell>
        </row>
        <row r="107">
          <cell r="J107">
            <v>112500</v>
          </cell>
          <cell r="K107" t="str">
            <v>K-20/F</v>
          </cell>
          <cell r="L107">
            <v>6</v>
          </cell>
          <cell r="M107" t="str">
            <v>mZMA-12</v>
          </cell>
          <cell r="N107">
            <v>3</v>
          </cell>
          <cell r="O107">
            <v>9</v>
          </cell>
          <cell r="U107">
            <v>77500</v>
          </cell>
          <cell r="V107">
            <v>7.5</v>
          </cell>
        </row>
        <row r="108">
          <cell r="J108">
            <v>112500</v>
          </cell>
          <cell r="K108" t="str">
            <v>JU-35/F</v>
          </cell>
          <cell r="L108">
            <v>10</v>
          </cell>
          <cell r="M108" t="str">
            <v>mZMA-12</v>
          </cell>
          <cell r="N108">
            <v>3</v>
          </cell>
          <cell r="O108">
            <v>13</v>
          </cell>
          <cell r="U108">
            <v>80922</v>
          </cell>
          <cell r="V108">
            <v>7.5</v>
          </cell>
        </row>
        <row r="109">
          <cell r="J109">
            <v>117000</v>
          </cell>
          <cell r="K109" t="str">
            <v>JU-35/F</v>
          </cell>
          <cell r="L109">
            <v>10</v>
          </cell>
          <cell r="M109" t="str">
            <v>mZMA-12</v>
          </cell>
          <cell r="N109">
            <v>3</v>
          </cell>
          <cell r="O109">
            <v>13</v>
          </cell>
          <cell r="U109">
            <v>80922</v>
          </cell>
          <cell r="V109">
            <v>7.6</v>
          </cell>
        </row>
        <row r="110">
          <cell r="J110">
            <v>121500</v>
          </cell>
          <cell r="K110" t="str">
            <v>JU-35/F</v>
          </cell>
          <cell r="L110">
            <v>10</v>
          </cell>
          <cell r="M110" t="str">
            <v>mZMA-12</v>
          </cell>
          <cell r="N110">
            <v>3</v>
          </cell>
          <cell r="O110">
            <v>13</v>
          </cell>
          <cell r="U110">
            <v>81302</v>
          </cell>
          <cell r="V110">
            <v>7.6</v>
          </cell>
        </row>
        <row r="111">
          <cell r="J111">
            <v>121500</v>
          </cell>
          <cell r="K111" t="str">
            <v>mAB-12/F</v>
          </cell>
          <cell r="L111">
            <v>4</v>
          </cell>
          <cell r="M111" t="str">
            <v>mZMA-12</v>
          </cell>
          <cell r="N111">
            <v>3</v>
          </cell>
          <cell r="O111">
            <v>7</v>
          </cell>
          <cell r="U111">
            <v>81302</v>
          </cell>
          <cell r="V111">
            <v>13</v>
          </cell>
        </row>
        <row r="112">
          <cell r="J112">
            <v>122000</v>
          </cell>
          <cell r="K112" t="str">
            <v>mAB-12/F</v>
          </cell>
          <cell r="L112">
            <v>4</v>
          </cell>
          <cell r="M112" t="str">
            <v>mZMA-12</v>
          </cell>
          <cell r="N112">
            <v>3</v>
          </cell>
          <cell r="O112">
            <v>7</v>
          </cell>
          <cell r="U112">
            <v>81893</v>
          </cell>
          <cell r="V112">
            <v>13</v>
          </cell>
        </row>
        <row r="113">
          <cell r="J113">
            <v>122500</v>
          </cell>
          <cell r="K113" t="str">
            <v>mAB-12/F</v>
          </cell>
          <cell r="L113">
            <v>4</v>
          </cell>
          <cell r="M113" t="str">
            <v>mZMA-12</v>
          </cell>
          <cell r="N113">
            <v>3</v>
          </cell>
          <cell r="O113">
            <v>7</v>
          </cell>
          <cell r="U113">
            <v>81893</v>
          </cell>
          <cell r="V113">
            <v>9.6</v>
          </cell>
        </row>
        <row r="114">
          <cell r="J114">
            <v>122500</v>
          </cell>
          <cell r="K114" t="str">
            <v>JU-35/F</v>
          </cell>
          <cell r="L114">
            <v>10</v>
          </cell>
          <cell r="M114" t="str">
            <v>mZMA-12</v>
          </cell>
          <cell r="N114">
            <v>3</v>
          </cell>
          <cell r="O114">
            <v>13</v>
          </cell>
          <cell r="U114">
            <v>81973</v>
          </cell>
          <cell r="V114">
            <v>9.6</v>
          </cell>
        </row>
        <row r="115">
          <cell r="J115">
            <v>123500</v>
          </cell>
          <cell r="K115" t="str">
            <v>JU-35/F</v>
          </cell>
          <cell r="L115">
            <v>10</v>
          </cell>
          <cell r="M115" t="str">
            <v>mZMA-12</v>
          </cell>
          <cell r="N115">
            <v>3</v>
          </cell>
          <cell r="O115">
            <v>13</v>
          </cell>
          <cell r="U115">
            <v>81973</v>
          </cell>
          <cell r="V115">
            <v>11.5</v>
          </cell>
        </row>
        <row r="116">
          <cell r="J116">
            <v>124500</v>
          </cell>
          <cell r="K116" t="str">
            <v>JU-35/F</v>
          </cell>
          <cell r="L116">
            <v>10</v>
          </cell>
          <cell r="M116" t="str">
            <v>mZMA-12</v>
          </cell>
          <cell r="N116">
            <v>3</v>
          </cell>
          <cell r="O116">
            <v>13</v>
          </cell>
          <cell r="U116">
            <v>82008</v>
          </cell>
          <cell r="V116">
            <v>11.5</v>
          </cell>
        </row>
        <row r="117">
          <cell r="J117">
            <v>124500</v>
          </cell>
          <cell r="K117" t="str">
            <v>mAB-12/F</v>
          </cell>
          <cell r="L117">
            <v>4</v>
          </cell>
          <cell r="M117" t="str">
            <v>mZMA-12</v>
          </cell>
          <cell r="N117">
            <v>3</v>
          </cell>
          <cell r="O117">
            <v>7</v>
          </cell>
          <cell r="U117">
            <v>82008</v>
          </cell>
          <cell r="V117">
            <v>7</v>
          </cell>
        </row>
        <row r="118">
          <cell r="J118">
            <v>127500</v>
          </cell>
          <cell r="K118" t="str">
            <v>mAB-12/F</v>
          </cell>
          <cell r="L118">
            <v>4</v>
          </cell>
          <cell r="M118" t="str">
            <v>mZMA-12</v>
          </cell>
          <cell r="N118">
            <v>3</v>
          </cell>
          <cell r="O118">
            <v>7</v>
          </cell>
          <cell r="U118">
            <v>82498</v>
          </cell>
          <cell r="V118">
            <v>7</v>
          </cell>
        </row>
        <row r="119">
          <cell r="J119">
            <v>130500</v>
          </cell>
          <cell r="K119" t="str">
            <v>mAB-12/F</v>
          </cell>
          <cell r="L119">
            <v>4</v>
          </cell>
          <cell r="M119" t="str">
            <v>mZMA-12</v>
          </cell>
          <cell r="N119">
            <v>3</v>
          </cell>
          <cell r="O119">
            <v>7</v>
          </cell>
          <cell r="U119">
            <v>82498</v>
          </cell>
          <cell r="V119">
            <v>11.5</v>
          </cell>
        </row>
        <row r="120">
          <cell r="J120">
            <v>130500</v>
          </cell>
          <cell r="K120" t="str">
            <v>JU-35/F</v>
          </cell>
          <cell r="L120">
            <v>10</v>
          </cell>
          <cell r="M120" t="str">
            <v>mZMA-12</v>
          </cell>
          <cell r="N120">
            <v>3</v>
          </cell>
          <cell r="O120">
            <v>13</v>
          </cell>
          <cell r="U120">
            <v>82566</v>
          </cell>
          <cell r="V120">
            <v>11.5</v>
          </cell>
        </row>
        <row r="121">
          <cell r="J121">
            <v>132500</v>
          </cell>
          <cell r="K121" t="str">
            <v>JU-35/F</v>
          </cell>
          <cell r="L121">
            <v>10</v>
          </cell>
          <cell r="M121" t="str">
            <v>mZMA-12</v>
          </cell>
          <cell r="N121">
            <v>3</v>
          </cell>
          <cell r="O121">
            <v>13</v>
          </cell>
          <cell r="U121">
            <v>82566</v>
          </cell>
          <cell r="V121">
            <v>7</v>
          </cell>
        </row>
        <row r="122">
          <cell r="J122">
            <v>134500</v>
          </cell>
          <cell r="K122" t="str">
            <v>JU-35/F</v>
          </cell>
          <cell r="L122">
            <v>10</v>
          </cell>
          <cell r="M122" t="str">
            <v>mZMA-12</v>
          </cell>
          <cell r="N122">
            <v>3</v>
          </cell>
          <cell r="O122">
            <v>13</v>
          </cell>
          <cell r="U122">
            <v>84500</v>
          </cell>
          <cell r="V122">
            <v>7</v>
          </cell>
        </row>
        <row r="123">
          <cell r="J123">
            <v>134500</v>
          </cell>
          <cell r="K123" t="str">
            <v>mAB-12/F</v>
          </cell>
          <cell r="L123">
            <v>4</v>
          </cell>
          <cell r="M123" t="str">
            <v>mZMA-12</v>
          </cell>
          <cell r="N123">
            <v>3</v>
          </cell>
          <cell r="O123">
            <v>7</v>
          </cell>
          <cell r="U123">
            <v>84500</v>
          </cell>
          <cell r="V123">
            <v>10.5</v>
          </cell>
        </row>
        <row r="124">
          <cell r="J124">
            <v>137221.5</v>
          </cell>
          <cell r="K124" t="str">
            <v>mAB-12/F</v>
          </cell>
          <cell r="L124">
            <v>4</v>
          </cell>
          <cell r="M124" t="str">
            <v>mZMA-12</v>
          </cell>
          <cell r="N124">
            <v>3</v>
          </cell>
          <cell r="O124">
            <v>7</v>
          </cell>
          <cell r="U124">
            <v>84650</v>
          </cell>
          <cell r="V124">
            <v>10.5</v>
          </cell>
        </row>
        <row r="125">
          <cell r="J125">
            <v>139943</v>
          </cell>
          <cell r="K125" t="str">
            <v>mAB-12/F</v>
          </cell>
          <cell r="L125">
            <v>4</v>
          </cell>
          <cell r="M125" t="str">
            <v>mZMA-12</v>
          </cell>
          <cell r="N125">
            <v>3</v>
          </cell>
          <cell r="O125">
            <v>7</v>
          </cell>
          <cell r="U125">
            <v>84650</v>
          </cell>
          <cell r="V125">
            <v>14</v>
          </cell>
        </row>
        <row r="126">
          <cell r="U126">
            <v>84873</v>
          </cell>
          <cell r="V126">
            <v>14</v>
          </cell>
        </row>
        <row r="127">
          <cell r="U127">
            <v>84873</v>
          </cell>
          <cell r="V127">
            <v>7</v>
          </cell>
        </row>
        <row r="128">
          <cell r="U128">
            <v>84957</v>
          </cell>
          <cell r="V128">
            <v>7</v>
          </cell>
        </row>
        <row r="129">
          <cell r="U129">
            <v>84957</v>
          </cell>
          <cell r="V129">
            <v>11.5</v>
          </cell>
        </row>
        <row r="130">
          <cell r="U130">
            <v>85620</v>
          </cell>
          <cell r="V130">
            <v>11.5</v>
          </cell>
        </row>
        <row r="131">
          <cell r="U131">
            <v>85620</v>
          </cell>
          <cell r="V131">
            <v>7</v>
          </cell>
        </row>
        <row r="132">
          <cell r="U132">
            <v>86870</v>
          </cell>
          <cell r="V132">
            <v>7</v>
          </cell>
        </row>
        <row r="133">
          <cell r="U133">
            <v>86870</v>
          </cell>
          <cell r="V133">
            <v>9</v>
          </cell>
        </row>
        <row r="134">
          <cell r="U134">
            <v>87247</v>
          </cell>
          <cell r="V134">
            <v>9</v>
          </cell>
        </row>
        <row r="135">
          <cell r="U135">
            <v>87247</v>
          </cell>
          <cell r="V135">
            <v>12.7</v>
          </cell>
        </row>
        <row r="136">
          <cell r="U136">
            <v>87280</v>
          </cell>
          <cell r="V136">
            <v>12.7</v>
          </cell>
        </row>
        <row r="137">
          <cell r="U137">
            <v>87280</v>
          </cell>
          <cell r="V137">
            <v>10.7</v>
          </cell>
        </row>
        <row r="138">
          <cell r="U138">
            <v>87407</v>
          </cell>
          <cell r="V138">
            <v>10.7</v>
          </cell>
        </row>
        <row r="139">
          <cell r="U139">
            <v>87407</v>
          </cell>
          <cell r="V139">
            <v>7</v>
          </cell>
        </row>
        <row r="140">
          <cell r="U140">
            <v>88282</v>
          </cell>
          <cell r="V140">
            <v>7</v>
          </cell>
        </row>
        <row r="141">
          <cell r="U141">
            <v>88282</v>
          </cell>
          <cell r="V141">
            <v>10.5</v>
          </cell>
        </row>
        <row r="142">
          <cell r="U142">
            <v>89307</v>
          </cell>
          <cell r="V142">
            <v>10.5</v>
          </cell>
        </row>
        <row r="143">
          <cell r="U143">
            <v>89307</v>
          </cell>
          <cell r="V143">
            <v>9</v>
          </cell>
        </row>
        <row r="144">
          <cell r="U144">
            <v>90098</v>
          </cell>
          <cell r="V144">
            <v>9</v>
          </cell>
        </row>
        <row r="145">
          <cell r="U145">
            <v>90098</v>
          </cell>
          <cell r="V145">
            <v>7</v>
          </cell>
        </row>
        <row r="146">
          <cell r="U146">
            <v>99895</v>
          </cell>
          <cell r="V146">
            <v>7</v>
          </cell>
        </row>
        <row r="147">
          <cell r="U147">
            <v>99895</v>
          </cell>
          <cell r="V147">
            <v>11.5</v>
          </cell>
        </row>
        <row r="148">
          <cell r="U148">
            <v>101385</v>
          </cell>
          <cell r="V148">
            <v>11.5</v>
          </cell>
        </row>
        <row r="149">
          <cell r="U149">
            <v>101385</v>
          </cell>
          <cell r="V149">
            <v>9</v>
          </cell>
        </row>
        <row r="150">
          <cell r="U150">
            <v>101685</v>
          </cell>
          <cell r="V150">
            <v>9</v>
          </cell>
        </row>
        <row r="151">
          <cell r="U151">
            <v>101685</v>
          </cell>
          <cell r="V151">
            <v>8</v>
          </cell>
        </row>
        <row r="152">
          <cell r="U152">
            <v>104093</v>
          </cell>
          <cell r="V152">
            <v>8</v>
          </cell>
        </row>
        <row r="153">
          <cell r="U153">
            <v>104093</v>
          </cell>
          <cell r="V153">
            <v>15</v>
          </cell>
        </row>
        <row r="154">
          <cell r="U154">
            <v>104420</v>
          </cell>
          <cell r="V154">
            <v>15</v>
          </cell>
        </row>
        <row r="155">
          <cell r="U155">
            <v>104420</v>
          </cell>
          <cell r="V155">
            <v>7</v>
          </cell>
        </row>
        <row r="156">
          <cell r="U156">
            <v>104690</v>
          </cell>
          <cell r="V156">
            <v>7</v>
          </cell>
        </row>
        <row r="157">
          <cell r="U157">
            <v>104690</v>
          </cell>
          <cell r="V157">
            <v>7.5</v>
          </cell>
        </row>
        <row r="158">
          <cell r="U158">
            <v>105200</v>
          </cell>
          <cell r="V158">
            <v>7.5</v>
          </cell>
        </row>
        <row r="159">
          <cell r="U159">
            <v>105200</v>
          </cell>
          <cell r="V159">
            <v>7</v>
          </cell>
        </row>
        <row r="160">
          <cell r="U160">
            <v>105390</v>
          </cell>
          <cell r="V160">
            <v>7</v>
          </cell>
        </row>
        <row r="161">
          <cell r="U161">
            <v>105390</v>
          </cell>
          <cell r="V161">
            <v>7.5</v>
          </cell>
        </row>
        <row r="162">
          <cell r="U162">
            <v>105410</v>
          </cell>
          <cell r="V162">
            <v>7.5</v>
          </cell>
        </row>
        <row r="163">
          <cell r="U163">
            <v>105410</v>
          </cell>
          <cell r="V163">
            <v>7</v>
          </cell>
        </row>
        <row r="164">
          <cell r="U164">
            <v>107123</v>
          </cell>
          <cell r="V164">
            <v>7</v>
          </cell>
        </row>
        <row r="165">
          <cell r="U165">
            <v>107123</v>
          </cell>
          <cell r="V165">
            <v>9</v>
          </cell>
        </row>
        <row r="166">
          <cell r="U166">
            <v>110035</v>
          </cell>
          <cell r="V166">
            <v>9</v>
          </cell>
        </row>
        <row r="167">
          <cell r="U167">
            <v>110035</v>
          </cell>
          <cell r="V167">
            <v>7</v>
          </cell>
        </row>
        <row r="168">
          <cell r="U168">
            <v>110635</v>
          </cell>
          <cell r="V168">
            <v>7</v>
          </cell>
        </row>
        <row r="169">
          <cell r="U169">
            <v>110635</v>
          </cell>
          <cell r="V169">
            <v>10.5</v>
          </cell>
        </row>
        <row r="170">
          <cell r="U170">
            <v>110975</v>
          </cell>
          <cell r="V170">
            <v>10.5</v>
          </cell>
        </row>
        <row r="171">
          <cell r="U171">
            <v>110975</v>
          </cell>
          <cell r="V171">
            <v>10</v>
          </cell>
        </row>
        <row r="172">
          <cell r="U172">
            <v>111367</v>
          </cell>
          <cell r="V172">
            <v>10</v>
          </cell>
        </row>
        <row r="173">
          <cell r="U173">
            <v>111367</v>
          </cell>
          <cell r="V173">
            <v>10.5</v>
          </cell>
        </row>
        <row r="174">
          <cell r="U174">
            <v>111490</v>
          </cell>
          <cell r="V174">
            <v>10.5</v>
          </cell>
        </row>
        <row r="175">
          <cell r="U175">
            <v>111490</v>
          </cell>
          <cell r="V175">
            <v>14.7</v>
          </cell>
        </row>
        <row r="176">
          <cell r="U176">
            <v>111623</v>
          </cell>
          <cell r="V176">
            <v>14.7</v>
          </cell>
        </row>
        <row r="177">
          <cell r="U177">
            <v>111623</v>
          </cell>
          <cell r="V177">
            <v>15.7</v>
          </cell>
        </row>
        <row r="178">
          <cell r="U178">
            <v>111756</v>
          </cell>
          <cell r="V178">
            <v>15.7</v>
          </cell>
        </row>
        <row r="179">
          <cell r="U179">
            <v>111756</v>
          </cell>
          <cell r="V179">
            <v>16.7</v>
          </cell>
        </row>
        <row r="180">
          <cell r="U180">
            <v>111890</v>
          </cell>
          <cell r="V180">
            <v>16.7</v>
          </cell>
        </row>
        <row r="181">
          <cell r="U181">
            <v>111890</v>
          </cell>
          <cell r="V181">
            <v>17.7</v>
          </cell>
        </row>
        <row r="182">
          <cell r="U182">
            <v>112022</v>
          </cell>
          <cell r="V182">
            <v>17.7</v>
          </cell>
        </row>
        <row r="183">
          <cell r="U183">
            <v>112022</v>
          </cell>
          <cell r="V183">
            <v>18.7</v>
          </cell>
        </row>
        <row r="184">
          <cell r="U184">
            <v>112090</v>
          </cell>
          <cell r="V184">
            <v>18.7</v>
          </cell>
        </row>
        <row r="185">
          <cell r="U185">
            <v>112090</v>
          </cell>
          <cell r="V185">
            <v>20.7</v>
          </cell>
        </row>
        <row r="186">
          <cell r="U186">
            <v>112190</v>
          </cell>
          <cell r="V186">
            <v>20.7</v>
          </cell>
        </row>
        <row r="187">
          <cell r="U187">
            <v>112190</v>
          </cell>
          <cell r="V187">
            <v>21.7</v>
          </cell>
        </row>
        <row r="188">
          <cell r="U188">
            <v>112296</v>
          </cell>
          <cell r="V188">
            <v>21.7</v>
          </cell>
        </row>
        <row r="189">
          <cell r="U189">
            <v>112296</v>
          </cell>
          <cell r="V189">
            <v>23</v>
          </cell>
        </row>
        <row r="190">
          <cell r="U190">
            <v>112320</v>
          </cell>
          <cell r="V190">
            <v>23</v>
          </cell>
        </row>
        <row r="191">
          <cell r="U191">
            <v>112320</v>
          </cell>
          <cell r="V191">
            <v>25.2</v>
          </cell>
        </row>
        <row r="192">
          <cell r="U192">
            <v>112400</v>
          </cell>
          <cell r="V192">
            <v>25.2</v>
          </cell>
        </row>
        <row r="193">
          <cell r="U193">
            <v>112400</v>
          </cell>
          <cell r="V193">
            <v>23.2</v>
          </cell>
        </row>
        <row r="194">
          <cell r="U194">
            <v>112450</v>
          </cell>
          <cell r="V194">
            <v>23.2</v>
          </cell>
        </row>
        <row r="195">
          <cell r="U195">
            <v>112450</v>
          </cell>
          <cell r="V195">
            <v>21.7</v>
          </cell>
        </row>
        <row r="196">
          <cell r="U196">
            <v>112500</v>
          </cell>
          <cell r="V196">
            <v>21.7</v>
          </cell>
        </row>
        <row r="197">
          <cell r="U197">
            <v>112500</v>
          </cell>
          <cell r="V197">
            <v>20.7</v>
          </cell>
        </row>
        <row r="198">
          <cell r="U198">
            <v>112550</v>
          </cell>
          <cell r="V198">
            <v>20.7</v>
          </cell>
        </row>
        <row r="199">
          <cell r="U199">
            <v>112550</v>
          </cell>
          <cell r="V199">
            <v>18.7</v>
          </cell>
        </row>
        <row r="200">
          <cell r="U200">
            <v>112600</v>
          </cell>
          <cell r="V200">
            <v>18.7</v>
          </cell>
        </row>
        <row r="201">
          <cell r="U201">
            <v>112600</v>
          </cell>
          <cell r="V201">
            <v>16.7</v>
          </cell>
        </row>
        <row r="202">
          <cell r="U202">
            <v>112650</v>
          </cell>
          <cell r="V202">
            <v>16.7</v>
          </cell>
        </row>
        <row r="203">
          <cell r="U203">
            <v>112650</v>
          </cell>
          <cell r="V203">
            <v>14.7</v>
          </cell>
        </row>
        <row r="204">
          <cell r="U204">
            <v>112700</v>
          </cell>
          <cell r="V204">
            <v>14.7</v>
          </cell>
        </row>
        <row r="205">
          <cell r="U205">
            <v>112700</v>
          </cell>
          <cell r="V205">
            <v>7</v>
          </cell>
        </row>
        <row r="206">
          <cell r="U206">
            <v>114154</v>
          </cell>
          <cell r="V206">
            <v>7</v>
          </cell>
        </row>
        <row r="207">
          <cell r="U207">
            <v>114154</v>
          </cell>
          <cell r="V207">
            <v>10.5</v>
          </cell>
        </row>
        <row r="208">
          <cell r="U208">
            <v>114654</v>
          </cell>
          <cell r="V208">
            <v>10.5</v>
          </cell>
        </row>
        <row r="209">
          <cell r="U209">
            <v>114654</v>
          </cell>
          <cell r="V209">
            <v>7</v>
          </cell>
        </row>
        <row r="210">
          <cell r="U210">
            <v>115482</v>
          </cell>
          <cell r="V210">
            <v>7</v>
          </cell>
        </row>
        <row r="211">
          <cell r="U211">
            <v>115482</v>
          </cell>
          <cell r="V211">
            <v>10.5</v>
          </cell>
        </row>
        <row r="212">
          <cell r="U212">
            <v>115982</v>
          </cell>
          <cell r="V212">
            <v>10.5</v>
          </cell>
        </row>
        <row r="213">
          <cell r="U213">
            <v>115982</v>
          </cell>
          <cell r="V213">
            <v>7</v>
          </cell>
        </row>
        <row r="214">
          <cell r="U214">
            <v>120075</v>
          </cell>
          <cell r="V214">
            <v>7</v>
          </cell>
        </row>
        <row r="215">
          <cell r="U215">
            <v>120075</v>
          </cell>
          <cell r="V215">
            <v>10</v>
          </cell>
        </row>
        <row r="216">
          <cell r="U216">
            <v>120461</v>
          </cell>
          <cell r="V216">
            <v>10</v>
          </cell>
        </row>
        <row r="217">
          <cell r="U217">
            <v>120461</v>
          </cell>
          <cell r="V217">
            <v>7</v>
          </cell>
        </row>
        <row r="218">
          <cell r="U218">
            <v>130424</v>
          </cell>
          <cell r="V218">
            <v>7</v>
          </cell>
        </row>
        <row r="219">
          <cell r="U219">
            <v>130424</v>
          </cell>
          <cell r="V219">
            <v>12.5</v>
          </cell>
        </row>
        <row r="220">
          <cell r="U220">
            <v>130679</v>
          </cell>
          <cell r="V220">
            <v>12.5</v>
          </cell>
        </row>
        <row r="221">
          <cell r="U221">
            <v>130679</v>
          </cell>
          <cell r="V221">
            <v>7</v>
          </cell>
        </row>
        <row r="222">
          <cell r="U222">
            <v>130929</v>
          </cell>
          <cell r="V222">
            <v>7</v>
          </cell>
        </row>
        <row r="223">
          <cell r="U223">
            <v>130929</v>
          </cell>
          <cell r="V223">
            <v>11.5</v>
          </cell>
        </row>
        <row r="224">
          <cell r="U224">
            <v>131014</v>
          </cell>
          <cell r="V224">
            <v>11.5</v>
          </cell>
        </row>
        <row r="225">
          <cell r="U225">
            <v>131014</v>
          </cell>
          <cell r="V225">
            <v>7</v>
          </cell>
        </row>
        <row r="226">
          <cell r="U226">
            <v>132247</v>
          </cell>
          <cell r="V226">
            <v>7</v>
          </cell>
        </row>
        <row r="227">
          <cell r="U227">
            <v>132247</v>
          </cell>
          <cell r="V227">
            <v>6.8</v>
          </cell>
        </row>
        <row r="228">
          <cell r="U228">
            <v>133364</v>
          </cell>
          <cell r="V228">
            <v>6.8</v>
          </cell>
        </row>
        <row r="229">
          <cell r="U229">
            <v>133364</v>
          </cell>
          <cell r="V229">
            <v>7.5</v>
          </cell>
        </row>
        <row r="230">
          <cell r="U230">
            <v>133849</v>
          </cell>
          <cell r="V230">
            <v>7.5</v>
          </cell>
        </row>
        <row r="231">
          <cell r="U231">
            <v>133849</v>
          </cell>
          <cell r="V231">
            <v>11.1</v>
          </cell>
        </row>
        <row r="232">
          <cell r="U232">
            <v>133879</v>
          </cell>
          <cell r="V232">
            <v>11.1</v>
          </cell>
        </row>
        <row r="233">
          <cell r="U233">
            <v>133879</v>
          </cell>
          <cell r="V233">
            <v>7.5</v>
          </cell>
        </row>
        <row r="234">
          <cell r="U234">
            <v>134366</v>
          </cell>
          <cell r="V234">
            <v>7.5</v>
          </cell>
        </row>
        <row r="235">
          <cell r="U235">
            <v>134366</v>
          </cell>
          <cell r="V235">
            <v>6.8</v>
          </cell>
        </row>
        <row r="236">
          <cell r="U236">
            <v>137098</v>
          </cell>
          <cell r="V236">
            <v>6.8</v>
          </cell>
        </row>
        <row r="237">
          <cell r="U237">
            <v>137098</v>
          </cell>
          <cell r="V237">
            <v>10</v>
          </cell>
        </row>
        <row r="238">
          <cell r="U238">
            <v>137238</v>
          </cell>
          <cell r="V238">
            <v>10</v>
          </cell>
        </row>
        <row r="239">
          <cell r="U239">
            <v>137238</v>
          </cell>
          <cell r="V239">
            <v>15</v>
          </cell>
        </row>
        <row r="240">
          <cell r="U240">
            <v>138880</v>
          </cell>
          <cell r="V240">
            <v>15</v>
          </cell>
        </row>
        <row r="241">
          <cell r="U241">
            <v>138880</v>
          </cell>
          <cell r="V241">
            <v>7</v>
          </cell>
        </row>
        <row r="242">
          <cell r="U242">
            <v>139281</v>
          </cell>
          <cell r="V242">
            <v>7</v>
          </cell>
        </row>
        <row r="243">
          <cell r="U243">
            <v>139281</v>
          </cell>
          <cell r="V243">
            <v>15</v>
          </cell>
        </row>
        <row r="244">
          <cell r="U244">
            <v>139943</v>
          </cell>
          <cell r="V244">
            <v>15</v>
          </cell>
        </row>
      </sheetData>
      <sheetData sheetId="6"/>
      <sheetData sheetId="7"/>
      <sheetData sheetId="8">
        <row r="2">
          <cell r="A2">
            <v>18012</v>
          </cell>
          <cell r="B2">
            <v>4</v>
          </cell>
          <cell r="C2">
            <v>2</v>
          </cell>
        </row>
        <row r="3">
          <cell r="A3">
            <v>18512</v>
          </cell>
          <cell r="B3">
            <v>4</v>
          </cell>
          <cell r="C3">
            <v>2</v>
          </cell>
        </row>
        <row r="4">
          <cell r="A4">
            <v>18512</v>
          </cell>
          <cell r="B4">
            <v>3</v>
          </cell>
          <cell r="C4">
            <v>2</v>
          </cell>
        </row>
        <row r="5">
          <cell r="A5">
            <v>19453</v>
          </cell>
          <cell r="B5">
            <v>3</v>
          </cell>
          <cell r="C5">
            <v>2</v>
          </cell>
        </row>
        <row r="6">
          <cell r="A6">
            <v>19453</v>
          </cell>
          <cell r="B6">
            <v>4</v>
          </cell>
          <cell r="C6">
            <v>2</v>
          </cell>
        </row>
        <row r="7">
          <cell r="A7">
            <v>20453</v>
          </cell>
          <cell r="B7">
            <v>4</v>
          </cell>
          <cell r="C7">
            <v>2</v>
          </cell>
        </row>
        <row r="8">
          <cell r="A8">
            <v>20453</v>
          </cell>
          <cell r="B8">
            <v>4</v>
          </cell>
          <cell r="C8">
            <v>3</v>
          </cell>
        </row>
        <row r="9">
          <cell r="A9">
            <v>20953</v>
          </cell>
          <cell r="B9">
            <v>4</v>
          </cell>
          <cell r="C9">
            <v>3</v>
          </cell>
        </row>
        <row r="10">
          <cell r="A10">
            <v>20953</v>
          </cell>
          <cell r="B10">
            <v>3</v>
          </cell>
          <cell r="C10">
            <v>2</v>
          </cell>
        </row>
        <row r="11">
          <cell r="A11">
            <v>21453</v>
          </cell>
          <cell r="B11">
            <v>3</v>
          </cell>
          <cell r="C11">
            <v>2</v>
          </cell>
        </row>
        <row r="12">
          <cell r="A12">
            <v>21453</v>
          </cell>
          <cell r="B12">
            <v>4</v>
          </cell>
          <cell r="C12">
            <v>2</v>
          </cell>
        </row>
        <row r="13">
          <cell r="A13">
            <v>23932</v>
          </cell>
          <cell r="B13">
            <v>4</v>
          </cell>
          <cell r="C13">
            <v>2</v>
          </cell>
        </row>
        <row r="14">
          <cell r="A14">
            <v>23932</v>
          </cell>
          <cell r="B14">
            <v>5</v>
          </cell>
          <cell r="C14">
            <v>2</v>
          </cell>
        </row>
        <row r="15">
          <cell r="A15">
            <v>24432</v>
          </cell>
          <cell r="B15">
            <v>5</v>
          </cell>
          <cell r="C15">
            <v>2</v>
          </cell>
        </row>
        <row r="16">
          <cell r="A16">
            <v>24432</v>
          </cell>
          <cell r="B16">
            <v>3</v>
          </cell>
          <cell r="C16">
            <v>2</v>
          </cell>
        </row>
        <row r="17">
          <cell r="A17">
            <v>24932</v>
          </cell>
          <cell r="B17">
            <v>3</v>
          </cell>
          <cell r="C17">
            <v>2</v>
          </cell>
        </row>
        <row r="18">
          <cell r="A18">
            <v>24932</v>
          </cell>
          <cell r="B18">
            <v>5</v>
          </cell>
          <cell r="C18">
            <v>2</v>
          </cell>
        </row>
        <row r="19">
          <cell r="A19">
            <v>26480</v>
          </cell>
          <cell r="B19">
            <v>5</v>
          </cell>
          <cell r="C19">
            <v>2</v>
          </cell>
        </row>
        <row r="20">
          <cell r="A20">
            <v>26480</v>
          </cell>
          <cell r="B20">
            <v>3</v>
          </cell>
          <cell r="C20">
            <v>2</v>
          </cell>
        </row>
        <row r="21">
          <cell r="A21">
            <v>27480</v>
          </cell>
          <cell r="B21">
            <v>3</v>
          </cell>
          <cell r="C21">
            <v>2</v>
          </cell>
        </row>
        <row r="22">
          <cell r="A22">
            <v>27480</v>
          </cell>
          <cell r="B22">
            <v>2</v>
          </cell>
          <cell r="C22">
            <v>1</v>
          </cell>
        </row>
        <row r="23">
          <cell r="A23">
            <v>27980</v>
          </cell>
          <cell r="B23">
            <v>2</v>
          </cell>
          <cell r="C23">
            <v>1</v>
          </cell>
        </row>
        <row r="24">
          <cell r="A24">
            <v>27980</v>
          </cell>
          <cell r="B24">
            <v>3</v>
          </cell>
          <cell r="C24">
            <v>2</v>
          </cell>
        </row>
        <row r="25">
          <cell r="A25">
            <v>28480</v>
          </cell>
          <cell r="B25">
            <v>3</v>
          </cell>
          <cell r="C25">
            <v>2</v>
          </cell>
        </row>
        <row r="26">
          <cell r="A26">
            <v>28480</v>
          </cell>
          <cell r="B26">
            <v>5</v>
          </cell>
          <cell r="C26">
            <v>2</v>
          </cell>
        </row>
        <row r="27">
          <cell r="A27">
            <v>31414</v>
          </cell>
          <cell r="B27">
            <v>5</v>
          </cell>
          <cell r="C27">
            <v>2</v>
          </cell>
        </row>
        <row r="28">
          <cell r="A28">
            <v>31414</v>
          </cell>
          <cell r="B28">
            <v>3</v>
          </cell>
          <cell r="C28">
            <v>2</v>
          </cell>
        </row>
        <row r="29">
          <cell r="A29">
            <v>32914</v>
          </cell>
          <cell r="B29">
            <v>3</v>
          </cell>
          <cell r="C29">
            <v>2</v>
          </cell>
        </row>
        <row r="30">
          <cell r="A30">
            <v>32914</v>
          </cell>
          <cell r="B30">
            <v>4</v>
          </cell>
          <cell r="C30">
            <v>2</v>
          </cell>
        </row>
        <row r="31">
          <cell r="A31">
            <v>33414</v>
          </cell>
          <cell r="B31">
            <v>4</v>
          </cell>
          <cell r="C31">
            <v>2</v>
          </cell>
        </row>
        <row r="32">
          <cell r="A32">
            <v>33414</v>
          </cell>
          <cell r="B32">
            <v>5</v>
          </cell>
          <cell r="C32">
            <v>2</v>
          </cell>
        </row>
        <row r="33">
          <cell r="A33">
            <v>34414</v>
          </cell>
          <cell r="B33">
            <v>5</v>
          </cell>
          <cell r="C33">
            <v>2</v>
          </cell>
        </row>
        <row r="34">
          <cell r="A34">
            <v>34414</v>
          </cell>
          <cell r="B34">
            <v>2</v>
          </cell>
          <cell r="C34">
            <v>2</v>
          </cell>
        </row>
        <row r="35">
          <cell r="A35">
            <v>34914</v>
          </cell>
          <cell r="B35">
            <v>2</v>
          </cell>
          <cell r="C35">
            <v>2</v>
          </cell>
        </row>
        <row r="36">
          <cell r="A36">
            <v>34914</v>
          </cell>
          <cell r="B36">
            <v>4</v>
          </cell>
          <cell r="C36">
            <v>2</v>
          </cell>
        </row>
        <row r="37">
          <cell r="A37">
            <v>35414</v>
          </cell>
          <cell r="B37">
            <v>4</v>
          </cell>
          <cell r="C37">
            <v>2</v>
          </cell>
        </row>
        <row r="38">
          <cell r="A38">
            <v>35414</v>
          </cell>
          <cell r="B38">
            <v>3</v>
          </cell>
          <cell r="C38">
            <v>2</v>
          </cell>
        </row>
        <row r="39">
          <cell r="A39">
            <v>35552</v>
          </cell>
          <cell r="B39">
            <v>3</v>
          </cell>
          <cell r="C39">
            <v>2</v>
          </cell>
        </row>
        <row r="40">
          <cell r="A40">
            <v>35552</v>
          </cell>
          <cell r="B40">
            <v>2</v>
          </cell>
          <cell r="C40">
            <v>2</v>
          </cell>
        </row>
        <row r="41">
          <cell r="A41">
            <v>36050</v>
          </cell>
          <cell r="B41">
            <v>2</v>
          </cell>
          <cell r="C41">
            <v>2</v>
          </cell>
        </row>
        <row r="42">
          <cell r="A42">
            <v>36050</v>
          </cell>
          <cell r="B42">
            <v>5</v>
          </cell>
          <cell r="C42">
            <v>2</v>
          </cell>
        </row>
        <row r="43">
          <cell r="A43">
            <v>36550</v>
          </cell>
          <cell r="B43">
            <v>5</v>
          </cell>
          <cell r="C43">
            <v>2</v>
          </cell>
        </row>
        <row r="44">
          <cell r="A44">
            <v>36550</v>
          </cell>
          <cell r="B44">
            <v>2</v>
          </cell>
          <cell r="C44">
            <v>2</v>
          </cell>
        </row>
        <row r="45">
          <cell r="A45">
            <v>37052</v>
          </cell>
          <cell r="B45">
            <v>2</v>
          </cell>
          <cell r="C45">
            <v>2</v>
          </cell>
        </row>
        <row r="46">
          <cell r="A46">
            <v>37052</v>
          </cell>
          <cell r="B46">
            <v>5</v>
          </cell>
          <cell r="C46">
            <v>2</v>
          </cell>
        </row>
        <row r="47">
          <cell r="A47">
            <v>37552</v>
          </cell>
          <cell r="B47">
            <v>5</v>
          </cell>
          <cell r="C47">
            <v>2</v>
          </cell>
        </row>
        <row r="48">
          <cell r="A48">
            <v>37552</v>
          </cell>
          <cell r="B48">
            <v>3</v>
          </cell>
          <cell r="C48">
            <v>2</v>
          </cell>
        </row>
        <row r="49">
          <cell r="A49">
            <v>38548</v>
          </cell>
          <cell r="B49">
            <v>3</v>
          </cell>
          <cell r="C49">
            <v>2</v>
          </cell>
        </row>
        <row r="50">
          <cell r="A50">
            <v>38548</v>
          </cell>
          <cell r="B50">
            <v>5</v>
          </cell>
          <cell r="C50">
            <v>2</v>
          </cell>
        </row>
        <row r="51">
          <cell r="A51">
            <v>39052</v>
          </cell>
          <cell r="B51">
            <v>5</v>
          </cell>
          <cell r="C51">
            <v>2</v>
          </cell>
        </row>
        <row r="52">
          <cell r="A52">
            <v>39052</v>
          </cell>
          <cell r="B52">
            <v>3</v>
          </cell>
          <cell r="C52">
            <v>2</v>
          </cell>
        </row>
        <row r="53">
          <cell r="A53">
            <v>39552</v>
          </cell>
          <cell r="B53">
            <v>3</v>
          </cell>
          <cell r="C53">
            <v>2</v>
          </cell>
        </row>
        <row r="54">
          <cell r="A54">
            <v>39552</v>
          </cell>
          <cell r="B54">
            <v>5</v>
          </cell>
          <cell r="C54">
            <v>2</v>
          </cell>
        </row>
        <row r="55">
          <cell r="A55">
            <v>42052</v>
          </cell>
          <cell r="B55">
            <v>5</v>
          </cell>
          <cell r="C55">
            <v>2</v>
          </cell>
        </row>
        <row r="56">
          <cell r="A56">
            <v>42052</v>
          </cell>
          <cell r="B56">
            <v>3</v>
          </cell>
          <cell r="C56">
            <v>2</v>
          </cell>
        </row>
        <row r="57">
          <cell r="A57">
            <v>44923</v>
          </cell>
          <cell r="B57">
            <v>3</v>
          </cell>
          <cell r="C57">
            <v>2</v>
          </cell>
        </row>
        <row r="58">
          <cell r="A58">
            <v>44923</v>
          </cell>
          <cell r="B58">
            <v>4</v>
          </cell>
          <cell r="C58">
            <v>2</v>
          </cell>
        </row>
        <row r="59">
          <cell r="A59">
            <v>45924</v>
          </cell>
          <cell r="B59">
            <v>4</v>
          </cell>
          <cell r="C59">
            <v>2</v>
          </cell>
        </row>
        <row r="60">
          <cell r="A60">
            <v>45924</v>
          </cell>
          <cell r="B60">
            <v>5</v>
          </cell>
          <cell r="C60">
            <v>2</v>
          </cell>
        </row>
        <row r="61">
          <cell r="A61">
            <v>46926</v>
          </cell>
          <cell r="B61">
            <v>5</v>
          </cell>
          <cell r="C61">
            <v>2</v>
          </cell>
        </row>
        <row r="62">
          <cell r="A62">
            <v>46926</v>
          </cell>
          <cell r="B62">
            <v>3</v>
          </cell>
          <cell r="C62">
            <v>2</v>
          </cell>
        </row>
        <row r="63">
          <cell r="A63">
            <v>47428</v>
          </cell>
          <cell r="B63">
            <v>3</v>
          </cell>
          <cell r="C63">
            <v>2</v>
          </cell>
        </row>
        <row r="64">
          <cell r="A64">
            <v>47428</v>
          </cell>
          <cell r="B64">
            <v>5</v>
          </cell>
          <cell r="C64">
            <v>2</v>
          </cell>
        </row>
        <row r="65">
          <cell r="A65">
            <v>47928</v>
          </cell>
          <cell r="B65">
            <v>5</v>
          </cell>
          <cell r="C65">
            <v>2</v>
          </cell>
        </row>
        <row r="66">
          <cell r="A66">
            <v>47928</v>
          </cell>
          <cell r="B66">
            <v>4</v>
          </cell>
          <cell r="C66">
            <v>2</v>
          </cell>
        </row>
        <row r="67">
          <cell r="A67">
            <v>48282</v>
          </cell>
          <cell r="B67">
            <v>4</v>
          </cell>
          <cell r="C67">
            <v>2</v>
          </cell>
        </row>
        <row r="68">
          <cell r="A68">
            <v>48282</v>
          </cell>
          <cell r="B68">
            <v>3</v>
          </cell>
          <cell r="C68">
            <v>2</v>
          </cell>
        </row>
        <row r="69">
          <cell r="A69">
            <v>48782</v>
          </cell>
          <cell r="B69">
            <v>3</v>
          </cell>
          <cell r="C69">
            <v>2</v>
          </cell>
        </row>
        <row r="70">
          <cell r="A70">
            <v>48782</v>
          </cell>
          <cell r="B70">
            <v>4</v>
          </cell>
          <cell r="C70">
            <v>2</v>
          </cell>
        </row>
        <row r="71">
          <cell r="A71">
            <v>49285</v>
          </cell>
          <cell r="B71">
            <v>4</v>
          </cell>
          <cell r="C71">
            <v>2</v>
          </cell>
        </row>
        <row r="72">
          <cell r="A72">
            <v>49285</v>
          </cell>
          <cell r="B72">
            <v>5</v>
          </cell>
          <cell r="C72">
            <v>2</v>
          </cell>
        </row>
        <row r="73">
          <cell r="A73">
            <v>49785</v>
          </cell>
          <cell r="B73">
            <v>5</v>
          </cell>
          <cell r="C73">
            <v>2</v>
          </cell>
        </row>
        <row r="74">
          <cell r="A74">
            <v>49785</v>
          </cell>
          <cell r="B74">
            <v>4</v>
          </cell>
          <cell r="C74">
            <v>2</v>
          </cell>
        </row>
        <row r="75">
          <cell r="A75">
            <v>50199</v>
          </cell>
          <cell r="B75">
            <v>4</v>
          </cell>
          <cell r="C75">
            <v>2</v>
          </cell>
        </row>
        <row r="76">
          <cell r="A76">
            <v>50199</v>
          </cell>
          <cell r="B76">
            <v>3</v>
          </cell>
          <cell r="C76">
            <v>2</v>
          </cell>
        </row>
        <row r="77">
          <cell r="A77">
            <v>50699</v>
          </cell>
          <cell r="B77">
            <v>3</v>
          </cell>
          <cell r="C77">
            <v>2</v>
          </cell>
        </row>
        <row r="78">
          <cell r="A78">
            <v>50699</v>
          </cell>
          <cell r="B78">
            <v>2</v>
          </cell>
          <cell r="C78">
            <v>2</v>
          </cell>
        </row>
        <row r="79">
          <cell r="A79">
            <v>51408</v>
          </cell>
          <cell r="B79">
            <v>2</v>
          </cell>
          <cell r="C79">
            <v>2</v>
          </cell>
        </row>
        <row r="80">
          <cell r="A80">
            <v>51408</v>
          </cell>
          <cell r="B80">
            <v>2</v>
          </cell>
          <cell r="C80">
            <v>1</v>
          </cell>
        </row>
        <row r="81">
          <cell r="A81">
            <v>51908</v>
          </cell>
          <cell r="B81">
            <v>2</v>
          </cell>
          <cell r="C81">
            <v>1</v>
          </cell>
        </row>
        <row r="82">
          <cell r="A82">
            <v>51908</v>
          </cell>
          <cell r="B82">
            <v>3</v>
          </cell>
          <cell r="C82">
            <v>2</v>
          </cell>
        </row>
        <row r="83">
          <cell r="A83">
            <v>52916</v>
          </cell>
          <cell r="B83">
            <v>3</v>
          </cell>
          <cell r="C83">
            <v>2</v>
          </cell>
        </row>
        <row r="84">
          <cell r="A84">
            <v>52916</v>
          </cell>
          <cell r="B84">
            <v>2</v>
          </cell>
          <cell r="C84">
            <v>2</v>
          </cell>
        </row>
        <row r="85">
          <cell r="A85">
            <v>54417</v>
          </cell>
          <cell r="B85">
            <v>2</v>
          </cell>
          <cell r="C85">
            <v>2</v>
          </cell>
        </row>
        <row r="86">
          <cell r="A86">
            <v>54417</v>
          </cell>
          <cell r="B86">
            <v>3</v>
          </cell>
          <cell r="C86">
            <v>2</v>
          </cell>
        </row>
        <row r="87">
          <cell r="A87">
            <v>54917</v>
          </cell>
          <cell r="B87">
            <v>3</v>
          </cell>
          <cell r="C87">
            <v>2</v>
          </cell>
        </row>
        <row r="88">
          <cell r="A88">
            <v>54917</v>
          </cell>
          <cell r="B88">
            <v>5</v>
          </cell>
          <cell r="C88">
            <v>2</v>
          </cell>
        </row>
        <row r="89">
          <cell r="A89">
            <v>55915</v>
          </cell>
          <cell r="B89">
            <v>5</v>
          </cell>
          <cell r="C89">
            <v>2</v>
          </cell>
        </row>
        <row r="90">
          <cell r="A90">
            <v>55915</v>
          </cell>
          <cell r="B90">
            <v>4</v>
          </cell>
          <cell r="C90">
            <v>2</v>
          </cell>
        </row>
        <row r="91">
          <cell r="A91">
            <v>56410</v>
          </cell>
          <cell r="B91">
            <v>4</v>
          </cell>
          <cell r="C91">
            <v>2</v>
          </cell>
        </row>
        <row r="92">
          <cell r="A92">
            <v>56410</v>
          </cell>
          <cell r="B92">
            <v>5</v>
          </cell>
          <cell r="C92">
            <v>2</v>
          </cell>
        </row>
        <row r="93">
          <cell r="A93">
            <v>57912</v>
          </cell>
          <cell r="B93">
            <v>5</v>
          </cell>
          <cell r="C93">
            <v>2</v>
          </cell>
        </row>
        <row r="94">
          <cell r="A94">
            <v>57912</v>
          </cell>
          <cell r="B94">
            <v>3</v>
          </cell>
          <cell r="C94">
            <v>2</v>
          </cell>
        </row>
        <row r="95">
          <cell r="A95">
            <v>58415</v>
          </cell>
          <cell r="B95">
            <v>3</v>
          </cell>
          <cell r="C95">
            <v>2</v>
          </cell>
        </row>
        <row r="96">
          <cell r="A96">
            <v>58415</v>
          </cell>
          <cell r="B96">
            <v>5</v>
          </cell>
          <cell r="C96">
            <v>2</v>
          </cell>
        </row>
        <row r="97">
          <cell r="A97">
            <v>59523</v>
          </cell>
          <cell r="B97">
            <v>5</v>
          </cell>
          <cell r="C97">
            <v>2</v>
          </cell>
        </row>
        <row r="98">
          <cell r="A98">
            <v>59523</v>
          </cell>
          <cell r="B98">
            <v>4</v>
          </cell>
          <cell r="C98">
            <v>2</v>
          </cell>
        </row>
        <row r="99">
          <cell r="A99">
            <v>60537</v>
          </cell>
          <cell r="B99">
            <v>4</v>
          </cell>
          <cell r="C99">
            <v>2</v>
          </cell>
        </row>
        <row r="100">
          <cell r="A100">
            <v>60537</v>
          </cell>
          <cell r="B100">
            <v>5</v>
          </cell>
          <cell r="C100">
            <v>2</v>
          </cell>
        </row>
        <row r="101">
          <cell r="A101">
            <v>61604</v>
          </cell>
          <cell r="B101">
            <v>5</v>
          </cell>
          <cell r="C101">
            <v>2</v>
          </cell>
        </row>
        <row r="102">
          <cell r="A102">
            <v>61604</v>
          </cell>
          <cell r="B102">
            <v>3</v>
          </cell>
          <cell r="C102">
            <v>2</v>
          </cell>
        </row>
        <row r="103">
          <cell r="A103">
            <v>62050</v>
          </cell>
          <cell r="B103">
            <v>3</v>
          </cell>
          <cell r="C103">
            <v>2</v>
          </cell>
        </row>
        <row r="104">
          <cell r="A104">
            <v>62050</v>
          </cell>
          <cell r="B104">
            <v>2</v>
          </cell>
          <cell r="C104">
            <v>2</v>
          </cell>
        </row>
        <row r="105">
          <cell r="A105">
            <v>62550</v>
          </cell>
          <cell r="B105">
            <v>2</v>
          </cell>
          <cell r="C105">
            <v>2</v>
          </cell>
        </row>
        <row r="106">
          <cell r="A106">
            <v>62550</v>
          </cell>
          <cell r="B106">
            <v>3</v>
          </cell>
          <cell r="C106">
            <v>2</v>
          </cell>
        </row>
        <row r="107">
          <cell r="A107">
            <v>65036</v>
          </cell>
          <cell r="B107">
            <v>3</v>
          </cell>
          <cell r="C107">
            <v>2</v>
          </cell>
        </row>
        <row r="108">
          <cell r="A108">
            <v>65036</v>
          </cell>
          <cell r="B108">
            <v>2</v>
          </cell>
          <cell r="C108">
            <v>2</v>
          </cell>
        </row>
        <row r="109">
          <cell r="A109">
            <v>65427</v>
          </cell>
          <cell r="B109">
            <v>2</v>
          </cell>
          <cell r="C109">
            <v>2</v>
          </cell>
        </row>
        <row r="110">
          <cell r="A110">
            <v>65427</v>
          </cell>
          <cell r="B110">
            <v>3</v>
          </cell>
          <cell r="C110">
            <v>2</v>
          </cell>
        </row>
        <row r="111">
          <cell r="A111">
            <v>65611</v>
          </cell>
          <cell r="B111">
            <v>3</v>
          </cell>
          <cell r="C111">
            <v>2</v>
          </cell>
        </row>
        <row r="112">
          <cell r="A112">
            <v>65611</v>
          </cell>
          <cell r="B112">
            <v>5</v>
          </cell>
          <cell r="C112">
            <v>2</v>
          </cell>
        </row>
        <row r="113">
          <cell r="A113">
            <v>66109</v>
          </cell>
          <cell r="B113">
            <v>5</v>
          </cell>
          <cell r="C113">
            <v>2</v>
          </cell>
        </row>
        <row r="114">
          <cell r="A114">
            <v>66109</v>
          </cell>
          <cell r="B114">
            <v>2</v>
          </cell>
          <cell r="C114">
            <v>2</v>
          </cell>
        </row>
        <row r="115">
          <cell r="A115">
            <v>66609</v>
          </cell>
          <cell r="B115">
            <v>2</v>
          </cell>
          <cell r="C115">
            <v>2</v>
          </cell>
        </row>
        <row r="116">
          <cell r="A116">
            <v>66609</v>
          </cell>
          <cell r="B116">
            <v>5</v>
          </cell>
          <cell r="C116">
            <v>2</v>
          </cell>
        </row>
        <row r="117">
          <cell r="A117">
            <v>67107</v>
          </cell>
          <cell r="B117">
            <v>5</v>
          </cell>
          <cell r="C117">
            <v>2</v>
          </cell>
        </row>
        <row r="118">
          <cell r="A118">
            <v>67107</v>
          </cell>
          <cell r="B118">
            <v>4</v>
          </cell>
          <cell r="C118">
            <v>2</v>
          </cell>
        </row>
        <row r="119">
          <cell r="A119">
            <v>67607</v>
          </cell>
          <cell r="B119">
            <v>4</v>
          </cell>
          <cell r="C119">
            <v>2</v>
          </cell>
        </row>
        <row r="120">
          <cell r="A120">
            <v>67607</v>
          </cell>
          <cell r="B120">
            <v>4</v>
          </cell>
          <cell r="C120">
            <v>1</v>
          </cell>
        </row>
        <row r="121">
          <cell r="A121">
            <v>68025</v>
          </cell>
          <cell r="B121">
            <v>4</v>
          </cell>
          <cell r="C121">
            <v>1</v>
          </cell>
        </row>
        <row r="122">
          <cell r="A122">
            <v>68025</v>
          </cell>
          <cell r="B122">
            <v>4</v>
          </cell>
          <cell r="C122">
            <v>2</v>
          </cell>
        </row>
        <row r="123">
          <cell r="A123">
            <v>68989</v>
          </cell>
          <cell r="B123">
            <v>4</v>
          </cell>
          <cell r="C123">
            <v>2</v>
          </cell>
        </row>
        <row r="124">
          <cell r="A124">
            <v>68989</v>
          </cell>
          <cell r="B124">
            <v>3</v>
          </cell>
          <cell r="C124">
            <v>2</v>
          </cell>
        </row>
        <row r="125">
          <cell r="A125">
            <v>70008</v>
          </cell>
          <cell r="B125">
            <v>3</v>
          </cell>
          <cell r="C125">
            <v>2</v>
          </cell>
        </row>
        <row r="126">
          <cell r="A126">
            <v>70008</v>
          </cell>
          <cell r="B126">
            <v>5</v>
          </cell>
          <cell r="C126">
            <v>2</v>
          </cell>
        </row>
        <row r="127">
          <cell r="A127">
            <v>70450</v>
          </cell>
          <cell r="B127">
            <v>5</v>
          </cell>
          <cell r="C127">
            <v>2</v>
          </cell>
        </row>
        <row r="128">
          <cell r="A128">
            <v>70450</v>
          </cell>
          <cell r="B128">
            <v>4</v>
          </cell>
          <cell r="C128">
            <v>2</v>
          </cell>
        </row>
        <row r="129">
          <cell r="A129">
            <v>70950</v>
          </cell>
          <cell r="B129">
            <v>4</v>
          </cell>
          <cell r="C129">
            <v>2</v>
          </cell>
        </row>
        <row r="130">
          <cell r="A130">
            <v>70950</v>
          </cell>
          <cell r="B130">
            <v>3</v>
          </cell>
          <cell r="C130">
            <v>2</v>
          </cell>
        </row>
        <row r="131">
          <cell r="A131">
            <v>72183</v>
          </cell>
          <cell r="B131">
            <v>3</v>
          </cell>
          <cell r="C131">
            <v>2</v>
          </cell>
        </row>
        <row r="132">
          <cell r="A132">
            <v>72183</v>
          </cell>
          <cell r="B132">
            <v>4</v>
          </cell>
          <cell r="C132">
            <v>2</v>
          </cell>
        </row>
        <row r="133">
          <cell r="A133">
            <v>72683</v>
          </cell>
          <cell r="B133">
            <v>4</v>
          </cell>
          <cell r="C133">
            <v>2</v>
          </cell>
        </row>
        <row r="134">
          <cell r="A134">
            <v>72683</v>
          </cell>
          <cell r="B134">
            <v>5</v>
          </cell>
          <cell r="C134">
            <v>2</v>
          </cell>
        </row>
        <row r="135">
          <cell r="A135">
            <v>73060</v>
          </cell>
          <cell r="B135">
            <v>5</v>
          </cell>
          <cell r="C135">
            <v>2</v>
          </cell>
        </row>
        <row r="136">
          <cell r="A136">
            <v>73060</v>
          </cell>
          <cell r="B136">
            <v>4</v>
          </cell>
          <cell r="C136">
            <v>2</v>
          </cell>
        </row>
        <row r="137">
          <cell r="A137">
            <v>73482</v>
          </cell>
          <cell r="B137">
            <v>4</v>
          </cell>
          <cell r="C137">
            <v>2</v>
          </cell>
        </row>
        <row r="138">
          <cell r="A138">
            <v>73482</v>
          </cell>
          <cell r="B138">
            <v>5</v>
          </cell>
          <cell r="C138">
            <v>2</v>
          </cell>
        </row>
        <row r="139">
          <cell r="A139">
            <v>73982</v>
          </cell>
          <cell r="B139">
            <v>5</v>
          </cell>
          <cell r="C139">
            <v>2</v>
          </cell>
        </row>
        <row r="140">
          <cell r="A140">
            <v>73982</v>
          </cell>
          <cell r="B140">
            <v>4</v>
          </cell>
          <cell r="C140">
            <v>2</v>
          </cell>
        </row>
        <row r="141">
          <cell r="A141">
            <v>74365</v>
          </cell>
          <cell r="B141">
            <v>4</v>
          </cell>
          <cell r="C141">
            <v>2</v>
          </cell>
        </row>
        <row r="142">
          <cell r="A142">
            <v>74365</v>
          </cell>
          <cell r="B142">
            <v>3</v>
          </cell>
          <cell r="C142">
            <v>2</v>
          </cell>
        </row>
        <row r="143">
          <cell r="A143">
            <v>74865</v>
          </cell>
          <cell r="B143">
            <v>3</v>
          </cell>
          <cell r="C143">
            <v>2</v>
          </cell>
        </row>
        <row r="144">
          <cell r="A144">
            <v>74865</v>
          </cell>
          <cell r="B144">
            <v>4</v>
          </cell>
          <cell r="C144">
            <v>2</v>
          </cell>
        </row>
        <row r="145">
          <cell r="A145">
            <v>75378</v>
          </cell>
          <cell r="B145">
            <v>4</v>
          </cell>
          <cell r="C145">
            <v>2</v>
          </cell>
        </row>
        <row r="146">
          <cell r="A146">
            <v>75378</v>
          </cell>
          <cell r="B146">
            <v>3</v>
          </cell>
          <cell r="C146">
            <v>2</v>
          </cell>
        </row>
        <row r="147">
          <cell r="A147">
            <v>75878</v>
          </cell>
          <cell r="B147">
            <v>3</v>
          </cell>
          <cell r="C147">
            <v>2</v>
          </cell>
        </row>
        <row r="148">
          <cell r="A148">
            <v>75878</v>
          </cell>
          <cell r="B148">
            <v>4</v>
          </cell>
          <cell r="C148">
            <v>2</v>
          </cell>
        </row>
        <row r="149">
          <cell r="A149">
            <v>76190</v>
          </cell>
          <cell r="B149">
            <v>4</v>
          </cell>
          <cell r="C149">
            <v>2</v>
          </cell>
        </row>
        <row r="150">
          <cell r="A150">
            <v>76190</v>
          </cell>
          <cell r="B150">
            <v>2</v>
          </cell>
          <cell r="C150">
            <v>2</v>
          </cell>
        </row>
        <row r="151">
          <cell r="A151">
            <v>76690</v>
          </cell>
          <cell r="B151">
            <v>2</v>
          </cell>
          <cell r="C151">
            <v>2</v>
          </cell>
        </row>
        <row r="152">
          <cell r="A152">
            <v>76690</v>
          </cell>
          <cell r="B152">
            <v>5</v>
          </cell>
          <cell r="C152">
            <v>2</v>
          </cell>
        </row>
        <row r="153">
          <cell r="A153">
            <v>77324</v>
          </cell>
          <cell r="B153">
            <v>5</v>
          </cell>
          <cell r="C153">
            <v>2</v>
          </cell>
        </row>
        <row r="155">
          <cell r="A155">
            <v>95690</v>
          </cell>
          <cell r="B155">
            <v>5</v>
          </cell>
          <cell r="C155">
            <v>1</v>
          </cell>
        </row>
        <row r="156">
          <cell r="A156">
            <v>96717</v>
          </cell>
          <cell r="B156">
            <v>5</v>
          </cell>
          <cell r="C156">
            <v>1</v>
          </cell>
        </row>
        <row r="157">
          <cell r="A157">
            <v>96717</v>
          </cell>
          <cell r="B157">
            <v>4</v>
          </cell>
          <cell r="C157">
            <v>1</v>
          </cell>
        </row>
        <row r="158">
          <cell r="A158">
            <v>97218</v>
          </cell>
          <cell r="B158">
            <v>4</v>
          </cell>
          <cell r="C158">
            <v>1</v>
          </cell>
        </row>
        <row r="159">
          <cell r="A159">
            <v>97218</v>
          </cell>
          <cell r="B159">
            <v>5</v>
          </cell>
          <cell r="C159">
            <v>1</v>
          </cell>
        </row>
        <row r="160">
          <cell r="A160">
            <v>101725</v>
          </cell>
          <cell r="B160">
            <v>5</v>
          </cell>
          <cell r="C160">
            <v>1</v>
          </cell>
        </row>
        <row r="161">
          <cell r="A161">
            <v>101725</v>
          </cell>
          <cell r="B161">
            <v>4</v>
          </cell>
          <cell r="C161">
            <v>1</v>
          </cell>
        </row>
        <row r="162">
          <cell r="A162">
            <v>102725</v>
          </cell>
          <cell r="B162">
            <v>4</v>
          </cell>
          <cell r="C162">
            <v>1</v>
          </cell>
        </row>
        <row r="163">
          <cell r="A163">
            <v>102725</v>
          </cell>
          <cell r="B163">
            <v>5</v>
          </cell>
          <cell r="C163">
            <v>1</v>
          </cell>
        </row>
        <row r="164">
          <cell r="A164">
            <v>103229</v>
          </cell>
          <cell r="B164">
            <v>5</v>
          </cell>
          <cell r="C164">
            <v>1</v>
          </cell>
        </row>
        <row r="165">
          <cell r="A165">
            <v>103229</v>
          </cell>
          <cell r="B165">
            <v>4</v>
          </cell>
          <cell r="C165">
            <v>1</v>
          </cell>
        </row>
        <row r="166">
          <cell r="A166">
            <v>103729</v>
          </cell>
          <cell r="B166">
            <v>4</v>
          </cell>
          <cell r="C166">
            <v>1</v>
          </cell>
        </row>
        <row r="167">
          <cell r="A167">
            <v>103729</v>
          </cell>
          <cell r="B167">
            <v>5</v>
          </cell>
          <cell r="C167">
            <v>1</v>
          </cell>
        </row>
        <row r="168">
          <cell r="A168">
            <v>104760</v>
          </cell>
          <cell r="B168">
            <v>5</v>
          </cell>
          <cell r="C168">
            <v>1</v>
          </cell>
        </row>
        <row r="169">
          <cell r="A169">
            <v>104760</v>
          </cell>
          <cell r="B169">
            <v>2</v>
          </cell>
          <cell r="C169">
            <v>1</v>
          </cell>
        </row>
        <row r="170">
          <cell r="A170">
            <v>105050</v>
          </cell>
          <cell r="B170">
            <v>2</v>
          </cell>
          <cell r="C170">
            <v>1</v>
          </cell>
        </row>
        <row r="171">
          <cell r="A171">
            <v>105050</v>
          </cell>
          <cell r="B171">
            <v>3</v>
          </cell>
          <cell r="C171">
            <v>1</v>
          </cell>
        </row>
        <row r="172">
          <cell r="A172">
            <v>106068</v>
          </cell>
          <cell r="B172">
            <v>3</v>
          </cell>
          <cell r="C172">
            <v>1</v>
          </cell>
        </row>
        <row r="173">
          <cell r="A173">
            <v>106068</v>
          </cell>
          <cell r="B173">
            <v>2</v>
          </cell>
          <cell r="C173">
            <v>1</v>
          </cell>
        </row>
        <row r="174">
          <cell r="A174">
            <v>106568</v>
          </cell>
          <cell r="B174">
            <v>2</v>
          </cell>
          <cell r="C174">
            <v>1</v>
          </cell>
        </row>
        <row r="175">
          <cell r="A175">
            <v>106568</v>
          </cell>
          <cell r="B175">
            <v>3</v>
          </cell>
          <cell r="C175">
            <v>1</v>
          </cell>
        </row>
        <row r="176">
          <cell r="A176">
            <v>107577</v>
          </cell>
          <cell r="B176">
            <v>3</v>
          </cell>
          <cell r="C176">
            <v>1</v>
          </cell>
        </row>
        <row r="177">
          <cell r="A177">
            <v>107577</v>
          </cell>
          <cell r="B177">
            <v>2</v>
          </cell>
          <cell r="C177">
            <v>1</v>
          </cell>
        </row>
        <row r="178">
          <cell r="A178">
            <v>108077</v>
          </cell>
          <cell r="B178">
            <v>2</v>
          </cell>
          <cell r="C178">
            <v>1</v>
          </cell>
        </row>
        <row r="179">
          <cell r="A179">
            <v>108077</v>
          </cell>
          <cell r="B179">
            <v>3</v>
          </cell>
          <cell r="C179">
            <v>1</v>
          </cell>
        </row>
        <row r="180">
          <cell r="A180">
            <v>108577</v>
          </cell>
          <cell r="B180">
            <v>3</v>
          </cell>
          <cell r="C180">
            <v>1</v>
          </cell>
        </row>
        <row r="181">
          <cell r="A181">
            <v>108577</v>
          </cell>
          <cell r="B181">
            <v>4</v>
          </cell>
          <cell r="C181">
            <v>1</v>
          </cell>
        </row>
        <row r="182">
          <cell r="A182">
            <v>110585</v>
          </cell>
          <cell r="B182">
            <v>4</v>
          </cell>
          <cell r="C182">
            <v>1</v>
          </cell>
        </row>
        <row r="183">
          <cell r="A183">
            <v>110585</v>
          </cell>
          <cell r="B183">
            <v>5</v>
          </cell>
          <cell r="C183">
            <v>1</v>
          </cell>
        </row>
        <row r="184">
          <cell r="A184">
            <v>113086</v>
          </cell>
          <cell r="B184">
            <v>5</v>
          </cell>
          <cell r="C184">
            <v>1</v>
          </cell>
        </row>
        <row r="185">
          <cell r="A185">
            <v>113086</v>
          </cell>
          <cell r="B185">
            <v>4</v>
          </cell>
          <cell r="C185">
            <v>1</v>
          </cell>
        </row>
        <row r="186">
          <cell r="A186">
            <v>116085</v>
          </cell>
          <cell r="B186">
            <v>4</v>
          </cell>
          <cell r="C186">
            <v>1</v>
          </cell>
        </row>
        <row r="187">
          <cell r="A187">
            <v>116085</v>
          </cell>
          <cell r="B187">
            <v>3</v>
          </cell>
          <cell r="C187">
            <v>1</v>
          </cell>
        </row>
        <row r="188">
          <cell r="A188">
            <v>116585</v>
          </cell>
          <cell r="B188">
            <v>3</v>
          </cell>
          <cell r="C188">
            <v>1</v>
          </cell>
        </row>
        <row r="189">
          <cell r="A189">
            <v>116585</v>
          </cell>
          <cell r="B189">
            <v>4</v>
          </cell>
          <cell r="C189">
            <v>2</v>
          </cell>
        </row>
        <row r="190">
          <cell r="A190">
            <v>117085</v>
          </cell>
          <cell r="B190">
            <v>4</v>
          </cell>
          <cell r="C190">
            <v>2</v>
          </cell>
        </row>
        <row r="191">
          <cell r="A191">
            <v>117085</v>
          </cell>
          <cell r="B191">
            <v>4</v>
          </cell>
          <cell r="C191">
            <v>1</v>
          </cell>
        </row>
        <row r="192">
          <cell r="A192">
            <v>118089</v>
          </cell>
          <cell r="B192">
            <v>4</v>
          </cell>
          <cell r="C192">
            <v>1</v>
          </cell>
        </row>
        <row r="193">
          <cell r="A193">
            <v>118089</v>
          </cell>
          <cell r="B193">
            <v>5</v>
          </cell>
          <cell r="C193">
            <v>1</v>
          </cell>
        </row>
        <row r="194">
          <cell r="A194">
            <v>120273</v>
          </cell>
          <cell r="B194">
            <v>5</v>
          </cell>
          <cell r="C194">
            <v>1</v>
          </cell>
        </row>
        <row r="195">
          <cell r="A195">
            <v>120273</v>
          </cell>
          <cell r="B195">
            <v>4</v>
          </cell>
          <cell r="C195">
            <v>1</v>
          </cell>
        </row>
        <row r="196">
          <cell r="A196">
            <v>122288</v>
          </cell>
          <cell r="B196">
            <v>4</v>
          </cell>
          <cell r="C196">
            <v>1</v>
          </cell>
        </row>
        <row r="197">
          <cell r="A197">
            <v>122288</v>
          </cell>
          <cell r="B197">
            <v>5</v>
          </cell>
          <cell r="C197">
            <v>1</v>
          </cell>
        </row>
        <row r="198">
          <cell r="A198">
            <v>123900</v>
          </cell>
          <cell r="B198">
            <v>5</v>
          </cell>
          <cell r="C198">
            <v>1</v>
          </cell>
        </row>
        <row r="199">
          <cell r="A199">
            <v>123900</v>
          </cell>
          <cell r="B199">
            <v>3</v>
          </cell>
          <cell r="C199">
            <v>1</v>
          </cell>
        </row>
        <row r="200">
          <cell r="A200">
            <v>127383</v>
          </cell>
          <cell r="B200">
            <v>3</v>
          </cell>
          <cell r="C200">
            <v>1</v>
          </cell>
        </row>
        <row r="201">
          <cell r="A201">
            <v>127383</v>
          </cell>
          <cell r="B201">
            <v>2</v>
          </cell>
          <cell r="C201">
            <v>1</v>
          </cell>
        </row>
        <row r="202">
          <cell r="A202">
            <v>127883</v>
          </cell>
          <cell r="B202">
            <v>2</v>
          </cell>
          <cell r="C202">
            <v>1</v>
          </cell>
        </row>
        <row r="203">
          <cell r="A203">
            <v>127883</v>
          </cell>
          <cell r="B203">
            <v>3</v>
          </cell>
          <cell r="C203">
            <v>1</v>
          </cell>
        </row>
        <row r="204">
          <cell r="A204">
            <v>128385</v>
          </cell>
          <cell r="B204">
            <v>3</v>
          </cell>
          <cell r="C204">
            <v>1</v>
          </cell>
        </row>
        <row r="205">
          <cell r="A205">
            <v>128385</v>
          </cell>
          <cell r="B205">
            <v>2</v>
          </cell>
          <cell r="C205">
            <v>1</v>
          </cell>
        </row>
        <row r="206">
          <cell r="A206">
            <v>129887</v>
          </cell>
          <cell r="B206">
            <v>2</v>
          </cell>
          <cell r="C206">
            <v>1</v>
          </cell>
        </row>
        <row r="207">
          <cell r="A207">
            <v>129887</v>
          </cell>
          <cell r="B207">
            <v>3</v>
          </cell>
          <cell r="C207">
            <v>1</v>
          </cell>
        </row>
        <row r="208">
          <cell r="A208">
            <v>130382</v>
          </cell>
          <cell r="B208">
            <v>3</v>
          </cell>
          <cell r="C208">
            <v>1</v>
          </cell>
        </row>
        <row r="209">
          <cell r="A209">
            <v>130382</v>
          </cell>
          <cell r="B209">
            <v>5</v>
          </cell>
          <cell r="C209">
            <v>1</v>
          </cell>
        </row>
        <row r="210">
          <cell r="A210">
            <v>130679</v>
          </cell>
          <cell r="B210">
            <v>5</v>
          </cell>
          <cell r="C210">
            <v>1</v>
          </cell>
        </row>
        <row r="211">
          <cell r="A211">
            <v>130679</v>
          </cell>
          <cell r="B211">
            <v>4</v>
          </cell>
          <cell r="C211">
            <v>1</v>
          </cell>
        </row>
        <row r="212">
          <cell r="A212">
            <v>131190</v>
          </cell>
          <cell r="B212">
            <v>4</v>
          </cell>
          <cell r="C212">
            <v>1</v>
          </cell>
        </row>
        <row r="213">
          <cell r="A213">
            <v>131190</v>
          </cell>
          <cell r="B213">
            <v>5</v>
          </cell>
          <cell r="C213">
            <v>1</v>
          </cell>
        </row>
        <row r="214">
          <cell r="A214">
            <v>132973</v>
          </cell>
          <cell r="B214">
            <v>5</v>
          </cell>
          <cell r="C214">
            <v>1</v>
          </cell>
        </row>
        <row r="215">
          <cell r="A215">
            <v>132973</v>
          </cell>
          <cell r="B215">
            <v>3</v>
          </cell>
          <cell r="C215">
            <v>1</v>
          </cell>
        </row>
        <row r="216">
          <cell r="A216">
            <v>133475</v>
          </cell>
          <cell r="B216">
            <v>3</v>
          </cell>
          <cell r="C216">
            <v>1</v>
          </cell>
        </row>
        <row r="217">
          <cell r="A217">
            <v>133475</v>
          </cell>
          <cell r="B217">
            <v>5</v>
          </cell>
          <cell r="C217">
            <v>1</v>
          </cell>
        </row>
        <row r="218">
          <cell r="A218">
            <v>135477</v>
          </cell>
          <cell r="B218">
            <v>5</v>
          </cell>
          <cell r="C218">
            <v>1</v>
          </cell>
        </row>
        <row r="219">
          <cell r="A219">
            <v>135477</v>
          </cell>
          <cell r="B219">
            <v>4</v>
          </cell>
          <cell r="C219">
            <v>1</v>
          </cell>
        </row>
        <row r="220">
          <cell r="A220">
            <v>135977</v>
          </cell>
          <cell r="B220">
            <v>4</v>
          </cell>
          <cell r="C220">
            <v>1</v>
          </cell>
        </row>
        <row r="221">
          <cell r="A221">
            <v>135977</v>
          </cell>
          <cell r="B221">
            <v>5</v>
          </cell>
          <cell r="C221">
            <v>1</v>
          </cell>
        </row>
        <row r="222">
          <cell r="A222">
            <v>136480</v>
          </cell>
          <cell r="B222">
            <v>5</v>
          </cell>
          <cell r="C222">
            <v>1</v>
          </cell>
        </row>
        <row r="223">
          <cell r="A223">
            <v>136480</v>
          </cell>
          <cell r="B223">
            <v>3</v>
          </cell>
          <cell r="C223">
            <v>1</v>
          </cell>
        </row>
        <row r="224">
          <cell r="A224">
            <v>136980</v>
          </cell>
          <cell r="B224">
            <v>3</v>
          </cell>
          <cell r="C224">
            <v>1</v>
          </cell>
        </row>
        <row r="225">
          <cell r="A225">
            <v>136980</v>
          </cell>
          <cell r="B225">
            <v>5</v>
          </cell>
          <cell r="C225">
            <v>1</v>
          </cell>
        </row>
        <row r="226">
          <cell r="A226">
            <v>138880</v>
          </cell>
          <cell r="B226">
            <v>5</v>
          </cell>
          <cell r="C226">
            <v>1</v>
          </cell>
        </row>
        <row r="227">
          <cell r="A227">
            <v>138880</v>
          </cell>
        </row>
        <row r="228">
          <cell r="A228">
            <v>139281</v>
          </cell>
        </row>
        <row r="229">
          <cell r="A229">
            <v>139281</v>
          </cell>
          <cell r="B229">
            <v>3</v>
          </cell>
          <cell r="C229">
            <v>1</v>
          </cell>
        </row>
        <row r="230">
          <cell r="A230">
            <v>139781</v>
          </cell>
          <cell r="B230">
            <v>3</v>
          </cell>
          <cell r="C230">
            <v>1</v>
          </cell>
        </row>
        <row r="231">
          <cell r="A231">
            <v>139781</v>
          </cell>
          <cell r="B231">
            <v>5</v>
          </cell>
          <cell r="C231">
            <v>1</v>
          </cell>
        </row>
        <row r="232">
          <cell r="A232">
            <v>139943</v>
          </cell>
          <cell r="B232">
            <v>5</v>
          </cell>
          <cell r="C23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ET"/>
      <sheetName val="3réteg"/>
      <sheetName val="vált"/>
    </sheetNames>
    <sheetDataSet>
      <sheetData sheetId="0">
        <row r="8">
          <cell r="E8">
            <v>0.15</v>
          </cell>
        </row>
        <row r="9">
          <cell r="E9">
            <v>50000</v>
          </cell>
        </row>
        <row r="11">
          <cell r="L11">
            <v>703000</v>
          </cell>
        </row>
        <row r="16">
          <cell r="E16">
            <v>3000</v>
          </cell>
          <cell r="I16">
            <v>0.15</v>
          </cell>
          <cell r="M16" t="str">
            <v>0,35</v>
          </cell>
        </row>
        <row r="17">
          <cell r="E17">
            <v>300</v>
          </cell>
          <cell r="I17">
            <v>0.3</v>
          </cell>
          <cell r="M17" t="str">
            <v>0,35</v>
          </cell>
        </row>
        <row r="18">
          <cell r="E18">
            <v>50</v>
          </cell>
          <cell r="M18" t="str">
            <v>0,35</v>
          </cell>
        </row>
        <row r="23">
          <cell r="I23">
            <v>1</v>
          </cell>
        </row>
        <row r="24">
          <cell r="I24">
            <v>0.8</v>
          </cell>
        </row>
      </sheetData>
      <sheetData sheetId="1"/>
      <sheetData sheetId="2">
        <row r="1">
          <cell r="B1" t="b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Diagram1"/>
      <sheetName val="Diagram2"/>
      <sheetName val="grafikon1"/>
      <sheetName val="adatok"/>
      <sheetName val="vizsgálat"/>
      <sheetName val="mérés"/>
      <sheetName val="új"/>
      <sheetName val="utolsó"/>
      <sheetName val="még"/>
      <sheetName val="T-6-1 Fejér (B-T)"/>
      <sheetName val="T-6-2 Tolna (IMI)"/>
    </sheetNames>
    <sheetDataSet>
      <sheetData sheetId="0" refreshError="1"/>
      <sheetData sheetId="1" refreshError="1"/>
      <sheetData sheetId="2" refreshError="1"/>
      <sheetData sheetId="3"/>
      <sheetData sheetId="4">
        <row r="8">
          <cell r="AM8">
            <v>16</v>
          </cell>
        </row>
        <row r="18">
          <cell r="AM18">
            <v>8.3000000000000007</v>
          </cell>
        </row>
        <row r="28">
          <cell r="AM28">
            <v>11</v>
          </cell>
        </row>
        <row r="38">
          <cell r="AM38">
            <v>10.7</v>
          </cell>
        </row>
        <row r="48">
          <cell r="AM48">
            <v>11.1</v>
          </cell>
        </row>
        <row r="58">
          <cell r="AM58">
            <v>13</v>
          </cell>
        </row>
        <row r="68">
          <cell r="AM68">
            <v>11.9</v>
          </cell>
        </row>
        <row r="78">
          <cell r="AM78">
            <v>17.2</v>
          </cell>
        </row>
        <row r="88">
          <cell r="AM88">
            <v>11.7</v>
          </cell>
        </row>
        <row r="98">
          <cell r="AM98">
            <v>12.3</v>
          </cell>
        </row>
        <row r="108">
          <cell r="AM108">
            <v>17.2</v>
          </cell>
        </row>
        <row r="118">
          <cell r="AM118">
            <v>10.7</v>
          </cell>
        </row>
        <row r="128">
          <cell r="AM128">
            <v>17.8</v>
          </cell>
        </row>
        <row r="180">
          <cell r="AM180">
            <v>4.0999999999999996</v>
          </cell>
        </row>
        <row r="188">
          <cell r="AM188">
            <v>18.399999999999999</v>
          </cell>
        </row>
        <row r="198">
          <cell r="AM198">
            <v>18.3</v>
          </cell>
        </row>
        <row r="207">
          <cell r="AM207">
            <v>11.1</v>
          </cell>
        </row>
        <row r="252">
          <cell r="AM252">
            <v>10.5</v>
          </cell>
        </row>
        <row r="262">
          <cell r="AM262">
            <v>12.1</v>
          </cell>
        </row>
        <row r="272">
          <cell r="AM272">
            <v>12.1</v>
          </cell>
        </row>
        <row r="282">
          <cell r="AM282">
            <v>15.1</v>
          </cell>
        </row>
        <row r="292">
          <cell r="AM292">
            <v>14.5</v>
          </cell>
        </row>
        <row r="302">
          <cell r="AM302">
            <v>14.4</v>
          </cell>
        </row>
        <row r="312">
          <cell r="AM312">
            <v>20.100000000000001</v>
          </cell>
        </row>
        <row r="322">
          <cell r="AM322">
            <v>20.100000000000001</v>
          </cell>
        </row>
        <row r="331">
          <cell r="AM331">
            <v>19</v>
          </cell>
        </row>
        <row r="385">
          <cell r="AM385">
            <v>16.2</v>
          </cell>
        </row>
        <row r="497">
          <cell r="AM497">
            <v>10.5</v>
          </cell>
        </row>
        <row r="507">
          <cell r="AM507">
            <v>12.4</v>
          </cell>
        </row>
        <row r="517">
          <cell r="AM517">
            <v>13.2</v>
          </cell>
        </row>
        <row r="527">
          <cell r="AM527">
            <v>10</v>
          </cell>
        </row>
        <row r="537">
          <cell r="AM537">
            <v>15</v>
          </cell>
        </row>
        <row r="547">
          <cell r="AM547">
            <v>9.6</v>
          </cell>
        </row>
        <row r="567">
          <cell r="AM567">
            <v>16.5</v>
          </cell>
        </row>
        <row r="577">
          <cell r="AM577">
            <v>20.9</v>
          </cell>
        </row>
        <row r="587">
          <cell r="AM587">
            <v>17.100000000000001</v>
          </cell>
        </row>
        <row r="597">
          <cell r="AM597">
            <v>15.8</v>
          </cell>
        </row>
        <row r="608">
          <cell r="AM608">
            <v>11</v>
          </cell>
        </row>
        <row r="619">
          <cell r="AM619">
            <v>8.1999999999999993</v>
          </cell>
        </row>
        <row r="630">
          <cell r="AM630">
            <v>8.1</v>
          </cell>
        </row>
        <row r="648">
          <cell r="AM648">
            <v>9.3000000000000007</v>
          </cell>
        </row>
        <row r="657">
          <cell r="AM657">
            <v>9.4</v>
          </cell>
        </row>
        <row r="673">
          <cell r="AM673">
            <v>8.6</v>
          </cell>
        </row>
        <row r="696">
          <cell r="AM696">
            <v>9.8000000000000007</v>
          </cell>
        </row>
        <row r="707">
          <cell r="AM707">
            <v>9.1999999999999993</v>
          </cell>
        </row>
        <row r="718">
          <cell r="AM718">
            <v>9.8000000000000007</v>
          </cell>
        </row>
        <row r="729">
          <cell r="AM729">
            <v>11.1</v>
          </cell>
        </row>
        <row r="738">
          <cell r="AM738">
            <v>9.6</v>
          </cell>
        </row>
        <row r="748">
          <cell r="AM748">
            <v>10.199999999999999</v>
          </cell>
        </row>
        <row r="758">
          <cell r="AM758">
            <v>8.6999999999999993</v>
          </cell>
        </row>
        <row r="768">
          <cell r="AM768">
            <v>8.6999999999999993</v>
          </cell>
        </row>
        <row r="778">
          <cell r="AM778">
            <v>9.3000000000000007</v>
          </cell>
        </row>
        <row r="788">
          <cell r="AM788">
            <v>8.6</v>
          </cell>
        </row>
        <row r="799">
          <cell r="AM799">
            <v>7.3</v>
          </cell>
        </row>
        <row r="808">
          <cell r="AM808">
            <v>8</v>
          </cell>
        </row>
        <row r="818">
          <cell r="AM818">
            <v>7.5</v>
          </cell>
        </row>
        <row r="828">
          <cell r="AM828">
            <v>18.8</v>
          </cell>
        </row>
        <row r="923">
          <cell r="AM923">
            <v>16.600000000000001</v>
          </cell>
        </row>
        <row r="933">
          <cell r="AM933">
            <v>15.7</v>
          </cell>
        </row>
        <row r="953">
          <cell r="AM953">
            <v>19.100000000000001</v>
          </cell>
        </row>
        <row r="963">
          <cell r="AM963">
            <v>11.6</v>
          </cell>
        </row>
        <row r="973">
          <cell r="AM973">
            <v>16.2</v>
          </cell>
        </row>
        <row r="983">
          <cell r="AM983">
            <v>13.1</v>
          </cell>
        </row>
        <row r="993">
          <cell r="AM993">
            <v>11.1</v>
          </cell>
        </row>
        <row r="1003">
          <cell r="AM1003">
            <v>13.3</v>
          </cell>
        </row>
        <row r="1013">
          <cell r="AM1013">
            <v>11.4</v>
          </cell>
        </row>
        <row r="1023">
          <cell r="AM1023">
            <v>13.7</v>
          </cell>
        </row>
        <row r="1033">
          <cell r="AM1033">
            <v>13.3</v>
          </cell>
        </row>
        <row r="1043">
          <cell r="AM1043">
            <v>11.6</v>
          </cell>
        </row>
        <row r="1053">
          <cell r="AM1053">
            <v>14.6</v>
          </cell>
        </row>
        <row r="1063">
          <cell r="AM1063">
            <v>10.9</v>
          </cell>
        </row>
        <row r="1133">
          <cell r="AM1133">
            <v>15.5</v>
          </cell>
        </row>
        <row r="1142">
          <cell r="AM1142">
            <v>11.2</v>
          </cell>
        </row>
        <row r="1153">
          <cell r="AM1153">
            <v>10.8</v>
          </cell>
        </row>
        <row r="1163">
          <cell r="AM1163">
            <v>14.7</v>
          </cell>
        </row>
        <row r="1173">
          <cell r="AM1173">
            <v>10.8</v>
          </cell>
        </row>
        <row r="1183">
          <cell r="AM1183">
            <v>11.6</v>
          </cell>
        </row>
        <row r="1196">
          <cell r="AM1196">
            <v>12.7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9"/>
  <sheetViews>
    <sheetView zoomScaleNormal="55" workbookViewId="0">
      <pane ySplit="2" topLeftCell="A3" activePane="bottomLeft" state="frozen"/>
      <selection pane="bottomLeft" activeCell="AC30" sqref="AC30"/>
    </sheetView>
  </sheetViews>
  <sheetFormatPr defaultRowHeight="12.75"/>
  <cols>
    <col min="1" max="8" width="9.140625" style="1"/>
    <col min="9" max="9" width="6.7109375" style="2" customWidth="1"/>
    <col min="10" max="17" width="6.7109375" style="1" customWidth="1"/>
    <col min="18" max="18" width="13.42578125" style="1" customWidth="1"/>
    <col min="19" max="19" width="14.42578125" style="1" customWidth="1"/>
    <col min="20" max="21" width="7.7109375" style="1" customWidth="1"/>
    <col min="22" max="22" width="8.85546875" style="1" customWidth="1"/>
    <col min="23" max="23" width="6.7109375" style="1" customWidth="1"/>
    <col min="24" max="24" width="18.28515625" style="1" customWidth="1"/>
    <col min="25" max="25" width="7.5703125" style="1" customWidth="1"/>
    <col min="26" max="27" width="7.42578125" style="1" customWidth="1"/>
    <col min="28" max="16384" width="9.140625" style="1"/>
  </cols>
  <sheetData>
    <row r="1" spans="1:36" ht="18" customHeight="1">
      <c r="B1" s="3">
        <v>0</v>
      </c>
      <c r="C1" s="4">
        <v>200</v>
      </c>
      <c r="D1" s="4">
        <v>300</v>
      </c>
      <c r="E1" s="4">
        <v>450</v>
      </c>
      <c r="F1" s="4">
        <v>600</v>
      </c>
      <c r="G1" s="4">
        <v>900</v>
      </c>
      <c r="H1" s="4">
        <v>1200</v>
      </c>
      <c r="I1" s="14">
        <v>0</v>
      </c>
      <c r="J1" s="7">
        <f t="shared" ref="J1:O1" si="0">LOG10(C1)</f>
        <v>2.3010299956639813</v>
      </c>
      <c r="K1" s="7">
        <f t="shared" si="0"/>
        <v>2.4771212547196626</v>
      </c>
      <c r="L1" s="7">
        <f t="shared" si="0"/>
        <v>2.6532125137753435</v>
      </c>
      <c r="M1" s="7">
        <f t="shared" si="0"/>
        <v>2.7781512503836434</v>
      </c>
      <c r="N1" s="7">
        <f t="shared" si="0"/>
        <v>2.9542425094393248</v>
      </c>
      <c r="O1" s="7">
        <f t="shared" si="0"/>
        <v>3.0791812460476247</v>
      </c>
      <c r="P1" s="4"/>
      <c r="Q1" s="4"/>
      <c r="R1" s="4"/>
      <c r="S1" s="4"/>
    </row>
    <row r="2" spans="1:36" ht="17.25" customHeight="1">
      <c r="B2" s="17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7" t="s">
        <v>0</v>
      </c>
      <c r="J2" s="16" t="s">
        <v>1</v>
      </c>
      <c r="K2" s="16" t="s">
        <v>2</v>
      </c>
      <c r="L2" s="16" t="s">
        <v>3</v>
      </c>
      <c r="M2" s="16" t="s">
        <v>4</v>
      </c>
      <c r="N2" s="16" t="s">
        <v>5</v>
      </c>
      <c r="O2" s="16" t="s">
        <v>6</v>
      </c>
      <c r="P2" s="10" t="s">
        <v>9</v>
      </c>
      <c r="Q2" s="10" t="s">
        <v>8</v>
      </c>
      <c r="R2" s="10" t="s">
        <v>10</v>
      </c>
      <c r="S2" s="10" t="s">
        <v>15</v>
      </c>
      <c r="T2" s="10" t="s">
        <v>7</v>
      </c>
      <c r="U2" s="10" t="s">
        <v>12</v>
      </c>
      <c r="V2" s="10" t="s">
        <v>11</v>
      </c>
      <c r="W2" s="10" t="s">
        <v>13</v>
      </c>
      <c r="X2" s="10"/>
      <c r="Y2" s="10" t="s">
        <v>14</v>
      </c>
      <c r="Z2" s="10" t="s">
        <v>16</v>
      </c>
      <c r="AA2" s="10" t="s">
        <v>17</v>
      </c>
      <c r="AC2" s="17" t="s">
        <v>0</v>
      </c>
      <c r="AD2" s="16" t="s">
        <v>1</v>
      </c>
      <c r="AE2" s="16" t="s">
        <v>2</v>
      </c>
      <c r="AF2" s="16" t="s">
        <v>3</v>
      </c>
      <c r="AG2" s="16" t="s">
        <v>4</v>
      </c>
      <c r="AH2" s="16" t="s">
        <v>5</v>
      </c>
      <c r="AI2" s="16" t="s">
        <v>6</v>
      </c>
    </row>
    <row r="3" spans="1:36" ht="17.25" customHeight="1">
      <c r="B3" s="3">
        <v>0</v>
      </c>
      <c r="C3" s="4">
        <v>200</v>
      </c>
      <c r="D3" s="4">
        <v>300</v>
      </c>
      <c r="E3" s="4">
        <v>450</v>
      </c>
      <c r="F3" s="4">
        <v>600</v>
      </c>
      <c r="G3" s="4">
        <v>900</v>
      </c>
      <c r="H3" s="4">
        <v>1200</v>
      </c>
      <c r="I3" s="20"/>
      <c r="J3" s="21"/>
      <c r="K3" s="21"/>
      <c r="L3" s="21"/>
      <c r="M3" s="21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C3" s="19">
        <v>0</v>
      </c>
      <c r="AD3" s="19">
        <v>200</v>
      </c>
      <c r="AE3" s="19">
        <v>300</v>
      </c>
      <c r="AF3" s="19">
        <v>450</v>
      </c>
      <c r="AG3" s="19">
        <v>600</v>
      </c>
      <c r="AH3" s="19">
        <v>900</v>
      </c>
      <c r="AI3" s="19">
        <v>1200</v>
      </c>
    </row>
    <row r="4" spans="1:36" ht="12.75" customHeight="1">
      <c r="A4" s="25">
        <v>378</v>
      </c>
      <c r="B4" s="6">
        <v>213.8</v>
      </c>
      <c r="C4" s="5">
        <v>186.4</v>
      </c>
      <c r="D4" s="5">
        <v>167.8</v>
      </c>
      <c r="E4" s="5">
        <v>136.19999999999999</v>
      </c>
      <c r="F4" s="5">
        <v>115.7</v>
      </c>
      <c r="G4" s="5">
        <v>72.7</v>
      </c>
      <c r="H4" s="5">
        <v>45.2</v>
      </c>
      <c r="I4" s="9">
        <f t="shared" ref="I4:I15" si="1">B4/1000</f>
        <v>0.21380000000000002</v>
      </c>
      <c r="J4" s="8">
        <f t="shared" ref="J4:J15" si="2">LOG10((((3*150*150)*B4)/C4)-((3*150*150)))</f>
        <v>3.9966084276334506</v>
      </c>
      <c r="K4" s="8">
        <f t="shared" ref="K4:K15" si="3">LOG10((((3*150*150)*B4)/D4)-((3*150*150)))</f>
        <v>4.2672696480199175</v>
      </c>
      <c r="L4" s="8">
        <f t="shared" ref="L4:L15" si="4">LOG10((((3*150*150)*B4)/E4)-((3*150*150)))</f>
        <v>4.584988386512447</v>
      </c>
      <c r="M4" s="8">
        <f t="shared" ref="M4:M15" si="5">LOG10((((3*150*150)*B4)/F4)-((3*150*150)))</f>
        <v>4.7576394212592241</v>
      </c>
      <c r="N4" s="8">
        <f t="shared" ref="N4:N15" si="6">LOG10((((3*150*150)*B4)/G4)-((3*150*150)))</f>
        <v>5.117296375726335</v>
      </c>
      <c r="O4" s="8">
        <f t="shared" ref="O4:O15" si="7">LOG10((((3*150*150)*B4)/H4)-((3*150*150)))</f>
        <v>5.4010229083083665</v>
      </c>
      <c r="P4" s="11">
        <f t="shared" ref="P4:P15" si="8">10^(INTERCEPT(J4:O4,$J$1:$O$1))</f>
        <v>0.71307303852645509</v>
      </c>
      <c r="Q4" s="11">
        <f t="shared" ref="Q4:Q15" si="9">LINEST(J4:O4,$J$1:$O$1)</f>
        <v>1.7857618921239324</v>
      </c>
      <c r="R4" s="11">
        <f>ROUND(10^((SUM(J4:N4)-2*SUM($J$1:$N$1))/5),3)</f>
        <v>0.19</v>
      </c>
      <c r="S4" s="12">
        <f t="shared" ref="S4:S15" si="10">ROUND(-1.5*((150^2)/(R4*I4))/1000,0)</f>
        <v>-831</v>
      </c>
      <c r="T4" s="12">
        <f t="shared" ref="T4:T15" si="11">-4*S4</f>
        <v>3324</v>
      </c>
      <c r="U4" s="12">
        <f t="shared" ref="U4:U15" si="12">ROUND(150/(R4^0.5),0)</f>
        <v>344</v>
      </c>
      <c r="V4" s="13">
        <f t="shared" ref="V4:V15" si="13">ROUND(150*I4*ATAN((1800*SQRT(3*R4))/(3*150))*SQRT(3/(R4)),0)</f>
        <v>159</v>
      </c>
      <c r="W4" s="15">
        <f t="shared" ref="W4:W15" si="14">ROUND(1/SQRT(R4),3)</f>
        <v>2.294</v>
      </c>
      <c r="X4" s="35"/>
      <c r="Y4" s="18">
        <f t="shared" ref="Y4:Y15" si="15">ROUND(B4-D4,3)</f>
        <v>46</v>
      </c>
      <c r="Z4" s="18">
        <f t="shared" ref="Z4:Z15" si="16">ROUND(D4-F4,3)</f>
        <v>52.1</v>
      </c>
      <c r="AA4" s="18">
        <f t="shared" ref="AA4:AA15" si="17">ROUND(F4-G4,3)</f>
        <v>43</v>
      </c>
      <c r="AC4" s="23">
        <f t="shared" ref="AC4:AC15" si="18">((B4)*3*150^2)/(R4*$AC$3^2+3*150^2)</f>
        <v>213.80000000000004</v>
      </c>
      <c r="AD4" s="23">
        <f t="shared" ref="AD4:AD15" si="19">((B4)*3*150^2)/(R4*$AD$3^2+3*150^2)</f>
        <v>192.1637816245007</v>
      </c>
      <c r="AE4" s="23">
        <f t="shared" ref="AE4:AE15" si="20">((B4)*3*150^2)/(R4*$AE$3^2+3*150^2)</f>
        <v>170.58510638297875</v>
      </c>
      <c r="AF4" s="23">
        <f t="shared" ref="AF4:AF15" si="21">((B4)*3*150^2)/(R4*$AF$3^2+3*150^2)</f>
        <v>136.1783439490446</v>
      </c>
      <c r="AG4" s="23">
        <f t="shared" ref="AG4:AG15" si="22">((B4)*3*150^2)/(R4*$AG$3^2+3*150^2)</f>
        <v>106.19205298013246</v>
      </c>
      <c r="AH4" s="23">
        <f t="shared" ref="AH4:AH15" si="23">((B4)*3*150^2)/(R4*$AH$3^2+3*150^2)</f>
        <v>65.182926829268297</v>
      </c>
      <c r="AI4" s="23">
        <f t="shared" ref="AI4:AI15" si="24">((B4)*3*150^2)/(R4*$AI$3^2+3*150^2)</f>
        <v>42.30870712401056</v>
      </c>
      <c r="AJ4" s="18">
        <f t="shared" ref="AJ4:AJ15" si="25">ROUND((-0.07/(2*S4))*1000000,0)</f>
        <v>42</v>
      </c>
    </row>
    <row r="5" spans="1:36">
      <c r="A5" s="25">
        <v>380</v>
      </c>
      <c r="B5" s="6">
        <v>201.6</v>
      </c>
      <c r="C5" s="5">
        <v>175.2</v>
      </c>
      <c r="D5" s="5">
        <v>156.69999999999999</v>
      </c>
      <c r="E5" s="5">
        <v>127.5</v>
      </c>
      <c r="F5" s="5">
        <v>108.1</v>
      </c>
      <c r="G5" s="5">
        <v>68.099999999999994</v>
      </c>
      <c r="H5" s="5">
        <v>41.6</v>
      </c>
      <c r="I5" s="9">
        <f t="shared" si="1"/>
        <v>0.2016</v>
      </c>
      <c r="J5" s="8">
        <f t="shared" si="2"/>
        <v>4.0073735978687948</v>
      </c>
      <c r="K5" s="8">
        <f t="shared" si="3"/>
        <v>4.2864811173657582</v>
      </c>
      <c r="L5" s="8">
        <f t="shared" si="4"/>
        <v>4.5936117960403795</v>
      </c>
      <c r="M5" s="8">
        <f t="shared" si="5"/>
        <v>4.7662896897502325</v>
      </c>
      <c r="N5" s="8">
        <f t="shared" si="6"/>
        <v>5.1216379266188339</v>
      </c>
      <c r="O5" s="8">
        <f t="shared" si="7"/>
        <v>5.4143304248602071</v>
      </c>
      <c r="P5" s="11">
        <f t="shared" si="8"/>
        <v>0.75966552696007827</v>
      </c>
      <c r="Q5" s="11">
        <f t="shared" si="9"/>
        <v>1.7796034602086466</v>
      </c>
      <c r="R5" s="11">
        <f t="shared" ref="R5:R15" si="26">ROUND(10^((SUM(J5:N5)-2*SUM($J$1:$N$1))/5),3)</f>
        <v>0.19500000000000001</v>
      </c>
      <c r="S5" s="12">
        <f t="shared" si="10"/>
        <v>-859</v>
      </c>
      <c r="T5" s="12">
        <f t="shared" si="11"/>
        <v>3436</v>
      </c>
      <c r="U5" s="12">
        <f t="shared" si="12"/>
        <v>340</v>
      </c>
      <c r="V5" s="13">
        <f t="shared" si="13"/>
        <v>149</v>
      </c>
      <c r="W5" s="15">
        <f t="shared" si="14"/>
        <v>2.2650000000000001</v>
      </c>
      <c r="X5" s="35"/>
      <c r="Y5" s="18">
        <f t="shared" si="15"/>
        <v>44.9</v>
      </c>
      <c r="Z5" s="18">
        <f t="shared" si="16"/>
        <v>48.6</v>
      </c>
      <c r="AA5" s="18">
        <f t="shared" si="17"/>
        <v>40</v>
      </c>
      <c r="AC5" s="23">
        <f t="shared" si="18"/>
        <v>201.59999999999997</v>
      </c>
      <c r="AD5" s="23">
        <f t="shared" si="19"/>
        <v>180.71713147410355</v>
      </c>
      <c r="AE5" s="23">
        <f t="shared" si="20"/>
        <v>159.99999999999997</v>
      </c>
      <c r="AF5" s="23">
        <f t="shared" si="21"/>
        <v>127.192429022082</v>
      </c>
      <c r="AG5" s="23">
        <f t="shared" si="22"/>
        <v>98.823529411764696</v>
      </c>
      <c r="AH5" s="23">
        <f t="shared" si="23"/>
        <v>60.359281437125738</v>
      </c>
      <c r="AI5" s="23">
        <f t="shared" si="24"/>
        <v>39.069767441860456</v>
      </c>
      <c r="AJ5" s="18">
        <f t="shared" si="25"/>
        <v>41</v>
      </c>
    </row>
    <row r="6" spans="1:36">
      <c r="A6" s="25">
        <v>383</v>
      </c>
      <c r="B6" s="6">
        <v>199.6</v>
      </c>
      <c r="C6" s="5">
        <v>173.1</v>
      </c>
      <c r="D6" s="5">
        <v>155</v>
      </c>
      <c r="E6" s="5">
        <v>125.7</v>
      </c>
      <c r="F6" s="5">
        <v>107.1</v>
      </c>
      <c r="G6" s="5">
        <v>67.099999999999994</v>
      </c>
      <c r="H6" s="5">
        <v>40.799999999999997</v>
      </c>
      <c r="I6" s="9">
        <f t="shared" si="1"/>
        <v>0.1996</v>
      </c>
      <c r="J6" s="8">
        <f t="shared" si="2"/>
        <v>4.0142525788924388</v>
      </c>
      <c r="K6" s="8">
        <f t="shared" si="3"/>
        <v>4.2883069333728754</v>
      </c>
      <c r="L6" s="8">
        <f t="shared" si="4"/>
        <v>4.5986129335398926</v>
      </c>
      <c r="M6" s="8">
        <f t="shared" si="5"/>
        <v>4.7656560347382015</v>
      </c>
      <c r="N6" s="8">
        <f t="shared" si="6"/>
        <v>5.1247971309348594</v>
      </c>
      <c r="O6" s="8">
        <f t="shared" si="7"/>
        <v>5.4194941078322225</v>
      </c>
      <c r="P6" s="11">
        <f t="shared" si="8"/>
        <v>0.77526859631086409</v>
      </c>
      <c r="Q6" s="11">
        <f t="shared" si="9"/>
        <v>1.7776590168549327</v>
      </c>
      <c r="R6" s="11">
        <f t="shared" si="26"/>
        <v>0.19600000000000001</v>
      </c>
      <c r="S6" s="12">
        <f t="shared" si="10"/>
        <v>-863</v>
      </c>
      <c r="T6" s="12">
        <f t="shared" si="11"/>
        <v>3452</v>
      </c>
      <c r="U6" s="12">
        <f t="shared" si="12"/>
        <v>339</v>
      </c>
      <c r="V6" s="13">
        <f t="shared" si="13"/>
        <v>147</v>
      </c>
      <c r="W6" s="15">
        <f t="shared" si="14"/>
        <v>2.2589999999999999</v>
      </c>
      <c r="X6" s="35"/>
      <c r="Y6" s="18">
        <f t="shared" si="15"/>
        <v>44.6</v>
      </c>
      <c r="Z6" s="18">
        <f t="shared" si="16"/>
        <v>47.9</v>
      </c>
      <c r="AA6" s="18">
        <f t="shared" si="17"/>
        <v>40</v>
      </c>
      <c r="AC6" s="23">
        <f t="shared" si="18"/>
        <v>199.59999999999997</v>
      </c>
      <c r="AD6" s="23">
        <f t="shared" si="19"/>
        <v>178.82930714096096</v>
      </c>
      <c r="AE6" s="23">
        <f t="shared" si="20"/>
        <v>158.24524312896403</v>
      </c>
      <c r="AF6" s="23">
        <f t="shared" si="21"/>
        <v>125.69269521410578</v>
      </c>
      <c r="AG6" s="23">
        <f t="shared" si="22"/>
        <v>97.588005215123843</v>
      </c>
      <c r="AH6" s="23">
        <f t="shared" si="23"/>
        <v>59.546539379474929</v>
      </c>
      <c r="AI6" s="23">
        <f t="shared" si="24"/>
        <v>38.5229027277406</v>
      </c>
      <c r="AJ6" s="18">
        <f t="shared" si="25"/>
        <v>41</v>
      </c>
    </row>
    <row r="7" spans="1:36">
      <c r="A7" s="25">
        <v>383</v>
      </c>
      <c r="B7" s="6">
        <v>197.5</v>
      </c>
      <c r="C7" s="5">
        <v>171.5</v>
      </c>
      <c r="D7" s="5">
        <v>153.69999999999999</v>
      </c>
      <c r="E7" s="5">
        <v>125</v>
      </c>
      <c r="F7" s="5">
        <v>106.7</v>
      </c>
      <c r="G7" s="5">
        <v>67</v>
      </c>
      <c r="H7" s="5">
        <v>40.799999999999997</v>
      </c>
      <c r="I7" s="9">
        <f t="shared" si="1"/>
        <v>0.19750000000000001</v>
      </c>
      <c r="J7" s="8">
        <f t="shared" si="2"/>
        <v>4.010012996423054</v>
      </c>
      <c r="K7" s="8">
        <f t="shared" si="3"/>
        <v>4.2841040158353794</v>
      </c>
      <c r="L7" s="8">
        <f t="shared" si="4"/>
        <v>4.5927317663939622</v>
      </c>
      <c r="M7" s="8">
        <f t="shared" si="5"/>
        <v>4.7592252019276398</v>
      </c>
      <c r="N7" s="8">
        <f t="shared" si="6"/>
        <v>5.118839481804498</v>
      </c>
      <c r="O7" s="8">
        <f t="shared" si="7"/>
        <v>5.4137126062097352</v>
      </c>
      <c r="P7" s="11">
        <f t="shared" si="8"/>
        <v>0.77780539811272742</v>
      </c>
      <c r="Q7" s="11">
        <f t="shared" si="9"/>
        <v>1.7751344605424608</v>
      </c>
      <c r="R7" s="11">
        <f t="shared" si="26"/>
        <v>0.19400000000000001</v>
      </c>
      <c r="S7" s="12">
        <f t="shared" si="10"/>
        <v>-881</v>
      </c>
      <c r="T7" s="12">
        <f t="shared" si="11"/>
        <v>3524</v>
      </c>
      <c r="U7" s="12">
        <f t="shared" si="12"/>
        <v>341</v>
      </c>
      <c r="V7" s="13">
        <f t="shared" si="13"/>
        <v>146</v>
      </c>
      <c r="W7" s="15">
        <f t="shared" si="14"/>
        <v>2.27</v>
      </c>
      <c r="X7" s="35"/>
      <c r="Y7" s="18">
        <f t="shared" si="15"/>
        <v>43.8</v>
      </c>
      <c r="Z7" s="18">
        <f t="shared" si="16"/>
        <v>47</v>
      </c>
      <c r="AA7" s="18">
        <f t="shared" si="17"/>
        <v>39.700000000000003</v>
      </c>
      <c r="AC7" s="23">
        <f t="shared" si="18"/>
        <v>197.5</v>
      </c>
      <c r="AD7" s="23">
        <f t="shared" si="19"/>
        <v>177.13592878022854</v>
      </c>
      <c r="AE7" s="23">
        <f t="shared" si="20"/>
        <v>156.91207627118644</v>
      </c>
      <c r="AF7" s="23">
        <f t="shared" si="21"/>
        <v>124.84197218710493</v>
      </c>
      <c r="AG7" s="23">
        <f t="shared" si="22"/>
        <v>97.067496723460025</v>
      </c>
      <c r="AH7" s="23">
        <f t="shared" si="23"/>
        <v>59.34495192307692</v>
      </c>
      <c r="AI7" s="23">
        <f t="shared" si="24"/>
        <v>38.434094447327453</v>
      </c>
      <c r="AJ7" s="18">
        <f t="shared" si="25"/>
        <v>40</v>
      </c>
    </row>
    <row r="8" spans="1:36">
      <c r="A8" s="25">
        <v>724</v>
      </c>
      <c r="B8" s="6">
        <v>363</v>
      </c>
      <c r="C8" s="5">
        <v>319.2</v>
      </c>
      <c r="D8" s="5">
        <v>287</v>
      </c>
      <c r="E8" s="5">
        <v>240.5</v>
      </c>
      <c r="F8" s="5">
        <v>200.4</v>
      </c>
      <c r="G8" s="5">
        <v>134.5</v>
      </c>
      <c r="H8" s="5">
        <v>87.7</v>
      </c>
      <c r="I8" s="9">
        <f t="shared" si="1"/>
        <v>0.36299999999999999</v>
      </c>
      <c r="J8" s="8">
        <f t="shared" si="2"/>
        <v>3.9667150006564325</v>
      </c>
      <c r="K8" s="8">
        <f t="shared" si="3"/>
        <v>4.2522354683778243</v>
      </c>
      <c r="L8" s="8">
        <f t="shared" si="4"/>
        <v>4.536324780821726</v>
      </c>
      <c r="M8" s="8">
        <f t="shared" si="5"/>
        <v>4.7385265968938661</v>
      </c>
      <c r="N8" s="8">
        <f t="shared" si="6"/>
        <v>5.0594676928984672</v>
      </c>
      <c r="O8" s="8">
        <f t="shared" si="7"/>
        <v>5.3261103908583145</v>
      </c>
      <c r="P8" s="11">
        <f t="shared" si="8"/>
        <v>0.94021168720078974</v>
      </c>
      <c r="Q8" s="11">
        <f t="shared" si="9"/>
        <v>1.7262902024985147</v>
      </c>
      <c r="R8" s="11">
        <f t="shared" si="26"/>
        <v>0.17599999999999999</v>
      </c>
      <c r="S8" s="12">
        <f t="shared" si="10"/>
        <v>-528</v>
      </c>
      <c r="T8" s="12">
        <f t="shared" si="11"/>
        <v>2112</v>
      </c>
      <c r="U8" s="12">
        <f t="shared" si="12"/>
        <v>358</v>
      </c>
      <c r="V8" s="13">
        <f t="shared" si="13"/>
        <v>279</v>
      </c>
      <c r="W8" s="15">
        <f t="shared" si="14"/>
        <v>2.3839999999999999</v>
      </c>
      <c r="X8" s="35"/>
      <c r="Y8" s="18">
        <f t="shared" si="15"/>
        <v>76</v>
      </c>
      <c r="Z8" s="18">
        <f t="shared" si="16"/>
        <v>86.6</v>
      </c>
      <c r="AA8" s="18">
        <f t="shared" si="17"/>
        <v>65.900000000000006</v>
      </c>
      <c r="AC8" s="23">
        <f t="shared" si="18"/>
        <v>363</v>
      </c>
      <c r="AD8" s="23">
        <f t="shared" si="19"/>
        <v>328.71612557016368</v>
      </c>
      <c r="AE8" s="23">
        <f t="shared" si="20"/>
        <v>294.00647948164146</v>
      </c>
      <c r="AF8" s="23">
        <f t="shared" si="21"/>
        <v>237.565445026178</v>
      </c>
      <c r="AG8" s="23">
        <f t="shared" si="22"/>
        <v>187.24209078404402</v>
      </c>
      <c r="AH8" s="23">
        <f t="shared" si="23"/>
        <v>116.64524421593831</v>
      </c>
      <c r="AI8" s="23">
        <f t="shared" si="24"/>
        <v>76.346045989904653</v>
      </c>
      <c r="AJ8" s="18">
        <f t="shared" si="25"/>
        <v>66</v>
      </c>
    </row>
    <row r="9" spans="1:36">
      <c r="A9" s="25">
        <v>715</v>
      </c>
      <c r="B9" s="6">
        <v>350.2</v>
      </c>
      <c r="C9" s="5">
        <v>308</v>
      </c>
      <c r="D9" s="5">
        <v>276.60000000000002</v>
      </c>
      <c r="E9" s="5">
        <v>231.3</v>
      </c>
      <c r="F9" s="5">
        <v>194</v>
      </c>
      <c r="G9" s="5">
        <v>129.69999999999999</v>
      </c>
      <c r="H9" s="5">
        <v>84.6</v>
      </c>
      <c r="I9" s="9">
        <f t="shared" si="1"/>
        <v>0.35020000000000001</v>
      </c>
      <c r="J9" s="8">
        <f t="shared" si="2"/>
        <v>3.9660655072922544</v>
      </c>
      <c r="K9" s="8">
        <f t="shared" si="3"/>
        <v>4.2543294113952319</v>
      </c>
      <c r="L9" s="8">
        <f t="shared" si="4"/>
        <v>4.540309994679097</v>
      </c>
      <c r="M9" s="8">
        <f t="shared" si="5"/>
        <v>4.73518307244208</v>
      </c>
      <c r="N9" s="8">
        <f t="shared" si="6"/>
        <v>5.0597723905508021</v>
      </c>
      <c r="O9" s="8">
        <f t="shared" si="7"/>
        <v>5.3261614804879809</v>
      </c>
      <c r="P9" s="11">
        <f t="shared" si="8"/>
        <v>0.94907197476215854</v>
      </c>
      <c r="Q9" s="11">
        <f t="shared" si="9"/>
        <v>1.724935823372594</v>
      </c>
      <c r="R9" s="11">
        <f t="shared" si="26"/>
        <v>0.17599999999999999</v>
      </c>
      <c r="S9" s="12">
        <f t="shared" si="10"/>
        <v>-548</v>
      </c>
      <c r="T9" s="12">
        <f t="shared" si="11"/>
        <v>2192</v>
      </c>
      <c r="U9" s="12">
        <f t="shared" si="12"/>
        <v>358</v>
      </c>
      <c r="V9" s="13">
        <f t="shared" si="13"/>
        <v>269</v>
      </c>
      <c r="W9" s="15">
        <f t="shared" si="14"/>
        <v>2.3839999999999999</v>
      </c>
      <c r="X9" s="35"/>
      <c r="Y9" s="18">
        <f t="shared" si="15"/>
        <v>73.599999999999994</v>
      </c>
      <c r="Z9" s="18">
        <f t="shared" si="16"/>
        <v>82.6</v>
      </c>
      <c r="AA9" s="18">
        <f t="shared" si="17"/>
        <v>64.3</v>
      </c>
      <c r="AC9" s="23">
        <f t="shared" si="18"/>
        <v>350.19999999999993</v>
      </c>
      <c r="AD9" s="23">
        <f t="shared" si="19"/>
        <v>317.12503353903941</v>
      </c>
      <c r="AE9" s="23">
        <f t="shared" si="20"/>
        <v>283.63930885529152</v>
      </c>
      <c r="AF9" s="23">
        <f t="shared" si="21"/>
        <v>229.18848167539264</v>
      </c>
      <c r="AG9" s="23">
        <f t="shared" si="22"/>
        <v>180.63961485557081</v>
      </c>
      <c r="AH9" s="23">
        <f t="shared" si="23"/>
        <v>112.53213367609253</v>
      </c>
      <c r="AI9" s="23">
        <f t="shared" si="24"/>
        <v>73.653954010095333</v>
      </c>
      <c r="AJ9" s="18">
        <f t="shared" si="25"/>
        <v>64</v>
      </c>
    </row>
    <row r="10" spans="1:36">
      <c r="A10" s="25">
        <v>712</v>
      </c>
      <c r="B10" s="6">
        <v>347.3</v>
      </c>
      <c r="C10" s="5">
        <v>305.60000000000002</v>
      </c>
      <c r="D10" s="5">
        <v>274.60000000000002</v>
      </c>
      <c r="E10" s="5">
        <v>229.3</v>
      </c>
      <c r="F10" s="5">
        <v>193.1</v>
      </c>
      <c r="G10" s="5">
        <v>128.9</v>
      </c>
      <c r="H10" s="5">
        <v>84.6</v>
      </c>
      <c r="I10" s="9">
        <f t="shared" si="1"/>
        <v>0.3473</v>
      </c>
      <c r="J10" s="8">
        <f t="shared" si="2"/>
        <v>3.9642864779011302</v>
      </c>
      <c r="K10" s="8">
        <f t="shared" si="3"/>
        <v>4.2521376507893267</v>
      </c>
      <c r="L10" s="8">
        <f t="shared" si="4"/>
        <v>4.5407817254072116</v>
      </c>
      <c r="M10" s="8">
        <f t="shared" si="5"/>
        <v>4.7316058727665684</v>
      </c>
      <c r="N10" s="8">
        <f t="shared" si="6"/>
        <v>5.0583034895103216</v>
      </c>
      <c r="O10" s="8">
        <f t="shared" si="7"/>
        <v>5.3213934825780713</v>
      </c>
      <c r="P10" s="11">
        <f t="shared" si="8"/>
        <v>0.96084285957241633</v>
      </c>
      <c r="Q10" s="11">
        <f t="shared" si="9"/>
        <v>1.7221387639643788</v>
      </c>
      <c r="R10" s="11">
        <f t="shared" si="26"/>
        <v>0.17499999999999999</v>
      </c>
      <c r="S10" s="12">
        <f t="shared" si="10"/>
        <v>-555</v>
      </c>
      <c r="T10" s="12">
        <f t="shared" si="11"/>
        <v>2220</v>
      </c>
      <c r="U10" s="12">
        <f t="shared" si="12"/>
        <v>359</v>
      </c>
      <c r="V10" s="13">
        <f t="shared" si="13"/>
        <v>267</v>
      </c>
      <c r="W10" s="15">
        <f t="shared" si="14"/>
        <v>2.39</v>
      </c>
      <c r="X10" s="35"/>
      <c r="Y10" s="18">
        <f t="shared" si="15"/>
        <v>72.7</v>
      </c>
      <c r="Z10" s="18">
        <f t="shared" si="16"/>
        <v>81.5</v>
      </c>
      <c r="AA10" s="18">
        <f t="shared" si="17"/>
        <v>64.2</v>
      </c>
      <c r="AC10" s="23">
        <f t="shared" si="18"/>
        <v>347.30000000000007</v>
      </c>
      <c r="AD10" s="23">
        <f t="shared" si="19"/>
        <v>314.66778523489938</v>
      </c>
      <c r="AE10" s="23">
        <f t="shared" si="20"/>
        <v>281.59459459459464</v>
      </c>
      <c r="AF10" s="23">
        <f t="shared" si="21"/>
        <v>227.73770491803282</v>
      </c>
      <c r="AG10" s="23">
        <f t="shared" si="22"/>
        <v>179.63793103448279</v>
      </c>
      <c r="AH10" s="23">
        <f t="shared" si="23"/>
        <v>112.03225806451614</v>
      </c>
      <c r="AI10" s="23">
        <f t="shared" si="24"/>
        <v>73.373239436619727</v>
      </c>
      <c r="AJ10" s="18">
        <f t="shared" si="25"/>
        <v>63</v>
      </c>
    </row>
    <row r="11" spans="1:36">
      <c r="A11" s="25">
        <v>710</v>
      </c>
      <c r="B11" s="6">
        <v>345.8</v>
      </c>
      <c r="C11" s="5">
        <v>304.2</v>
      </c>
      <c r="D11" s="5">
        <v>273</v>
      </c>
      <c r="E11" s="5">
        <v>227.4</v>
      </c>
      <c r="F11" s="5">
        <v>192.9</v>
      </c>
      <c r="G11" s="5">
        <v>127.8</v>
      </c>
      <c r="H11" s="5">
        <v>83.9</v>
      </c>
      <c r="I11" s="9">
        <f t="shared" si="1"/>
        <v>0.3458</v>
      </c>
      <c r="J11" s="8">
        <f t="shared" si="2"/>
        <v>3.9652378937407882</v>
      </c>
      <c r="K11" s="8">
        <f t="shared" si="3"/>
        <v>4.2552725051033065</v>
      </c>
      <c r="L11" s="8">
        <f t="shared" si="4"/>
        <v>4.5458650148662096</v>
      </c>
      <c r="M11" s="8">
        <f t="shared" si="5"/>
        <v>4.7283790305994602</v>
      </c>
      <c r="N11" s="8">
        <f t="shared" si="6"/>
        <v>5.0612294126132484</v>
      </c>
      <c r="O11" s="8">
        <f t="shared" si="7"/>
        <v>5.3236773104275565</v>
      </c>
      <c r="P11" s="11">
        <f t="shared" si="8"/>
        <v>0.96550487212777947</v>
      </c>
      <c r="Q11" s="11">
        <f t="shared" si="9"/>
        <v>1.722048869692373</v>
      </c>
      <c r="R11" s="11">
        <f t="shared" si="26"/>
        <v>0.17599999999999999</v>
      </c>
      <c r="S11" s="12">
        <f t="shared" si="10"/>
        <v>-555</v>
      </c>
      <c r="T11" s="12">
        <f t="shared" si="11"/>
        <v>2220</v>
      </c>
      <c r="U11" s="12">
        <f t="shared" si="12"/>
        <v>358</v>
      </c>
      <c r="V11" s="13">
        <f t="shared" si="13"/>
        <v>265</v>
      </c>
      <c r="W11" s="15">
        <f t="shared" si="14"/>
        <v>2.3839999999999999</v>
      </c>
      <c r="X11" s="35"/>
      <c r="Y11" s="18">
        <f t="shared" si="15"/>
        <v>72.8</v>
      </c>
      <c r="Z11" s="18">
        <f t="shared" si="16"/>
        <v>80.099999999999994</v>
      </c>
      <c r="AA11" s="18">
        <f t="shared" si="17"/>
        <v>65.099999999999994</v>
      </c>
      <c r="AC11" s="23">
        <f t="shared" si="18"/>
        <v>345.80000000000007</v>
      </c>
      <c r="AD11" s="23">
        <f t="shared" si="19"/>
        <v>313.14059565334054</v>
      </c>
      <c r="AE11" s="23">
        <f t="shared" si="20"/>
        <v>280.07559395248387</v>
      </c>
      <c r="AF11" s="23">
        <f t="shared" si="21"/>
        <v>226.30890052356025</v>
      </c>
      <c r="AG11" s="23">
        <f t="shared" si="22"/>
        <v>178.37001375515823</v>
      </c>
      <c r="AH11" s="23">
        <f t="shared" si="23"/>
        <v>111.11825192802058</v>
      </c>
      <c r="AI11" s="23">
        <f t="shared" si="24"/>
        <v>72.728547392035907</v>
      </c>
      <c r="AJ11" s="18">
        <f t="shared" si="25"/>
        <v>63</v>
      </c>
    </row>
    <row r="12" spans="1:36">
      <c r="A12" s="25">
        <v>1372</v>
      </c>
      <c r="B12" s="6">
        <v>584</v>
      </c>
      <c r="C12" s="5">
        <v>515.70000000000005</v>
      </c>
      <c r="D12" s="5">
        <v>464.1</v>
      </c>
      <c r="E12" s="5">
        <v>390.3</v>
      </c>
      <c r="F12" s="5">
        <v>330.2</v>
      </c>
      <c r="G12" s="5">
        <v>223.2</v>
      </c>
      <c r="H12" s="5">
        <v>149.4</v>
      </c>
      <c r="I12" s="9">
        <f t="shared" si="1"/>
        <v>0.58399999999999996</v>
      </c>
      <c r="J12" s="8">
        <f t="shared" si="2"/>
        <v>3.9513273451058422</v>
      </c>
      <c r="K12" s="8">
        <f t="shared" si="3"/>
        <v>4.2415113875108439</v>
      </c>
      <c r="L12" s="8">
        <f t="shared" si="4"/>
        <v>4.5250348422688873</v>
      </c>
      <c r="M12" s="8">
        <f t="shared" si="5"/>
        <v>4.715018321662936</v>
      </c>
      <c r="N12" s="8">
        <f t="shared" si="6"/>
        <v>5.0378761114353878</v>
      </c>
      <c r="O12" s="8">
        <f t="shared" si="7"/>
        <v>5.293042897336151</v>
      </c>
      <c r="P12" s="11">
        <f t="shared" si="8"/>
        <v>1.0411171846430707</v>
      </c>
      <c r="Q12" s="11">
        <f t="shared" si="9"/>
        <v>1.7028207522668508</v>
      </c>
      <c r="R12" s="11">
        <f t="shared" si="26"/>
        <v>0.16900000000000001</v>
      </c>
      <c r="S12" s="12">
        <f t="shared" si="10"/>
        <v>-342</v>
      </c>
      <c r="T12" s="12">
        <f t="shared" si="11"/>
        <v>1368</v>
      </c>
      <c r="U12" s="12">
        <f t="shared" si="12"/>
        <v>365</v>
      </c>
      <c r="V12" s="13">
        <f t="shared" si="13"/>
        <v>455</v>
      </c>
      <c r="W12" s="15">
        <f t="shared" si="14"/>
        <v>2.4329999999999998</v>
      </c>
      <c r="X12" s="35"/>
      <c r="Y12" s="18">
        <f t="shared" si="15"/>
        <v>119.9</v>
      </c>
      <c r="Z12" s="18">
        <f t="shared" si="16"/>
        <v>133.9</v>
      </c>
      <c r="AA12" s="18">
        <f t="shared" si="17"/>
        <v>107</v>
      </c>
      <c r="AC12" s="23">
        <f t="shared" si="18"/>
        <v>584</v>
      </c>
      <c r="AD12" s="23">
        <f t="shared" si="19"/>
        <v>530.83759762994885</v>
      </c>
      <c r="AE12" s="23">
        <f t="shared" si="20"/>
        <v>476.6050054406964</v>
      </c>
      <c r="AF12" s="23">
        <f t="shared" si="21"/>
        <v>387.52488387524886</v>
      </c>
      <c r="AG12" s="23">
        <f t="shared" si="22"/>
        <v>307.15287517531556</v>
      </c>
      <c r="AH12" s="23">
        <f t="shared" si="23"/>
        <v>192.86657859973579</v>
      </c>
      <c r="AI12" s="23">
        <f t="shared" si="24"/>
        <v>126.80949623624782</v>
      </c>
      <c r="AJ12" s="18">
        <f t="shared" si="25"/>
        <v>102</v>
      </c>
    </row>
    <row r="13" spans="1:36">
      <c r="A13" s="25">
        <v>1407</v>
      </c>
      <c r="B13" s="6">
        <v>580.29999999999995</v>
      </c>
      <c r="C13" s="5">
        <v>512.70000000000005</v>
      </c>
      <c r="D13" s="5">
        <v>459.6</v>
      </c>
      <c r="E13" s="5">
        <v>387.3</v>
      </c>
      <c r="F13" s="5">
        <v>329.9</v>
      </c>
      <c r="G13" s="5">
        <v>223</v>
      </c>
      <c r="H13" s="5">
        <v>148.69999999999999</v>
      </c>
      <c r="I13" s="9">
        <f t="shared" si="1"/>
        <v>0.58029999999999993</v>
      </c>
      <c r="J13" s="8">
        <f t="shared" si="2"/>
        <v>3.9493871513322611</v>
      </c>
      <c r="K13" s="8">
        <f t="shared" si="3"/>
        <v>4.2486310229121269</v>
      </c>
      <c r="L13" s="8">
        <f t="shared" si="4"/>
        <v>4.5268135848527162</v>
      </c>
      <c r="M13" s="8">
        <f t="shared" si="5"/>
        <v>4.709555781824073</v>
      </c>
      <c r="N13" s="8">
        <f t="shared" si="6"/>
        <v>5.0340319259853041</v>
      </c>
      <c r="O13" s="8">
        <f t="shared" si="7"/>
        <v>5.2920742403199439</v>
      </c>
      <c r="P13" s="11">
        <f t="shared" si="8"/>
        <v>1.0808782080846286</v>
      </c>
      <c r="Q13" s="11">
        <f t="shared" si="9"/>
        <v>1.6966038924035598</v>
      </c>
      <c r="R13" s="11">
        <f t="shared" si="26"/>
        <v>0.16900000000000001</v>
      </c>
      <c r="S13" s="12">
        <f t="shared" si="10"/>
        <v>-344</v>
      </c>
      <c r="T13" s="12">
        <f t="shared" si="11"/>
        <v>1376</v>
      </c>
      <c r="U13" s="12">
        <f t="shared" si="12"/>
        <v>365</v>
      </c>
      <c r="V13" s="13">
        <f t="shared" si="13"/>
        <v>452</v>
      </c>
      <c r="W13" s="15">
        <f t="shared" si="14"/>
        <v>2.4329999999999998</v>
      </c>
      <c r="X13" s="35"/>
      <c r="Y13" s="18">
        <f t="shared" si="15"/>
        <v>120.7</v>
      </c>
      <c r="Z13" s="18">
        <f t="shared" si="16"/>
        <v>129.69999999999999</v>
      </c>
      <c r="AA13" s="18">
        <f t="shared" si="17"/>
        <v>106.9</v>
      </c>
      <c r="AC13" s="23">
        <f t="shared" si="18"/>
        <v>580.29999999999995</v>
      </c>
      <c r="AD13" s="23">
        <f t="shared" si="19"/>
        <v>527.47441422030704</v>
      </c>
      <c r="AE13" s="23">
        <f t="shared" si="20"/>
        <v>473.58541893362349</v>
      </c>
      <c r="AF13" s="23">
        <f t="shared" si="21"/>
        <v>385.06967485069674</v>
      </c>
      <c r="AG13" s="23">
        <f t="shared" si="22"/>
        <v>305.20687237026647</v>
      </c>
      <c r="AH13" s="23">
        <f t="shared" si="23"/>
        <v>191.64464993394981</v>
      </c>
      <c r="AI13" s="23">
        <f t="shared" si="24"/>
        <v>126.00607990735379</v>
      </c>
      <c r="AJ13" s="18">
        <f t="shared" si="25"/>
        <v>102</v>
      </c>
    </row>
    <row r="14" spans="1:36">
      <c r="A14" s="25">
        <v>1404</v>
      </c>
      <c r="B14" s="6">
        <v>577.4</v>
      </c>
      <c r="C14" s="5">
        <v>509.5</v>
      </c>
      <c r="D14" s="5">
        <v>459</v>
      </c>
      <c r="E14" s="5">
        <v>385.3</v>
      </c>
      <c r="F14" s="5">
        <v>328</v>
      </c>
      <c r="G14" s="5">
        <v>221.7</v>
      </c>
      <c r="H14" s="5">
        <v>147.80000000000001</v>
      </c>
      <c r="I14" s="9">
        <f t="shared" si="1"/>
        <v>0.57740000000000002</v>
      </c>
      <c r="J14" s="8">
        <f t="shared" si="2"/>
        <v>3.9540293587690813</v>
      </c>
      <c r="K14" s="8">
        <f t="shared" si="3"/>
        <v>4.2408427896806646</v>
      </c>
      <c r="L14" s="8">
        <f t="shared" si="4"/>
        <v>4.5270321286797177</v>
      </c>
      <c r="M14" s="8">
        <f t="shared" si="5"/>
        <v>4.7103263782618701</v>
      </c>
      <c r="N14" s="8">
        <f t="shared" si="6"/>
        <v>5.0346219449023168</v>
      </c>
      <c r="O14" s="8">
        <f t="shared" si="7"/>
        <v>5.2926936114637169</v>
      </c>
      <c r="P14" s="11">
        <f t="shared" si="8"/>
        <v>1.0753443768609563</v>
      </c>
      <c r="Q14" s="11">
        <f t="shared" si="9"/>
        <v>1.6973690039325318</v>
      </c>
      <c r="R14" s="11">
        <f t="shared" si="26"/>
        <v>0.16900000000000001</v>
      </c>
      <c r="S14" s="12">
        <f t="shared" si="10"/>
        <v>-346</v>
      </c>
      <c r="T14" s="12">
        <f t="shared" si="11"/>
        <v>1384</v>
      </c>
      <c r="U14" s="12">
        <f t="shared" si="12"/>
        <v>365</v>
      </c>
      <c r="V14" s="13">
        <f t="shared" si="13"/>
        <v>450</v>
      </c>
      <c r="W14" s="15">
        <f t="shared" si="14"/>
        <v>2.4329999999999998</v>
      </c>
      <c r="X14" s="35"/>
      <c r="Y14" s="18">
        <f t="shared" si="15"/>
        <v>118.4</v>
      </c>
      <c r="Z14" s="18">
        <f t="shared" si="16"/>
        <v>131</v>
      </c>
      <c r="AA14" s="18">
        <f t="shared" si="17"/>
        <v>106.3</v>
      </c>
      <c r="AC14" s="23">
        <f t="shared" si="18"/>
        <v>577.39999999999986</v>
      </c>
      <c r="AD14" s="23">
        <f t="shared" si="19"/>
        <v>524.83840560193903</v>
      </c>
      <c r="AE14" s="23">
        <f t="shared" si="20"/>
        <v>471.21871599564736</v>
      </c>
      <c r="AF14" s="23">
        <f t="shared" si="21"/>
        <v>383.14532183145315</v>
      </c>
      <c r="AG14" s="23">
        <f t="shared" si="22"/>
        <v>303.68162692847119</v>
      </c>
      <c r="AH14" s="23">
        <f t="shared" si="23"/>
        <v>190.68692206076614</v>
      </c>
      <c r="AI14" s="23">
        <f t="shared" si="24"/>
        <v>125.37637521713953</v>
      </c>
      <c r="AJ14" s="18">
        <f t="shared" si="25"/>
        <v>101</v>
      </c>
    </row>
    <row r="15" spans="1:36">
      <c r="A15" s="25">
        <v>1396</v>
      </c>
      <c r="B15" s="6">
        <v>578.29999999999995</v>
      </c>
      <c r="C15" s="5">
        <v>510.5</v>
      </c>
      <c r="D15" s="5">
        <v>460.9</v>
      </c>
      <c r="E15" s="5">
        <v>386.9</v>
      </c>
      <c r="F15" s="5">
        <v>328.4</v>
      </c>
      <c r="G15" s="5">
        <v>223.2</v>
      </c>
      <c r="H15" s="5">
        <v>149</v>
      </c>
      <c r="I15" s="9">
        <f t="shared" si="1"/>
        <v>0.57829999999999993</v>
      </c>
      <c r="J15" s="8">
        <f t="shared" si="2"/>
        <v>3.952537720275159</v>
      </c>
      <c r="K15" s="8">
        <f t="shared" si="3"/>
        <v>4.2353651616181001</v>
      </c>
      <c r="L15" s="8">
        <f t="shared" si="4"/>
        <v>4.5236469765506051</v>
      </c>
      <c r="M15" s="8">
        <f t="shared" si="5"/>
        <v>4.7106668805100718</v>
      </c>
      <c r="N15" s="8">
        <f t="shared" si="6"/>
        <v>5.0309602548670993</v>
      </c>
      <c r="O15" s="8">
        <f t="shared" si="7"/>
        <v>5.28887839289819</v>
      </c>
      <c r="P15" s="11">
        <f t="shared" si="8"/>
        <v>1.0720952164090021</v>
      </c>
      <c r="Q15" s="11">
        <f t="shared" si="9"/>
        <v>1.6967776353480433</v>
      </c>
      <c r="R15" s="11">
        <f t="shared" si="26"/>
        <v>0.16800000000000001</v>
      </c>
      <c r="S15" s="12">
        <f t="shared" si="10"/>
        <v>-347</v>
      </c>
      <c r="T15" s="12">
        <f t="shared" si="11"/>
        <v>1388</v>
      </c>
      <c r="U15" s="12">
        <f t="shared" si="12"/>
        <v>366</v>
      </c>
      <c r="V15" s="13">
        <f t="shared" si="13"/>
        <v>452</v>
      </c>
      <c r="W15" s="15">
        <f t="shared" si="14"/>
        <v>2.44</v>
      </c>
      <c r="X15" s="35"/>
      <c r="Y15" s="18">
        <f t="shared" si="15"/>
        <v>117.4</v>
      </c>
      <c r="Z15" s="18">
        <f t="shared" si="16"/>
        <v>132.5</v>
      </c>
      <c r="AA15" s="18">
        <f t="shared" si="17"/>
        <v>105.2</v>
      </c>
      <c r="AC15" s="23">
        <f t="shared" si="18"/>
        <v>578.29999999999995</v>
      </c>
      <c r="AD15" s="23">
        <f t="shared" si="19"/>
        <v>525.93977364591751</v>
      </c>
      <c r="AE15" s="23">
        <f t="shared" si="20"/>
        <v>472.46732026143792</v>
      </c>
      <c r="AF15" s="23">
        <f t="shared" si="21"/>
        <v>384.50797872340428</v>
      </c>
      <c r="AG15" s="23">
        <f t="shared" si="22"/>
        <v>305.01054852320675</v>
      </c>
      <c r="AH15" s="23">
        <f t="shared" si="23"/>
        <v>191.74403183023873</v>
      </c>
      <c r="AI15" s="23">
        <f t="shared" si="24"/>
        <v>126.15619546247818</v>
      </c>
      <c r="AJ15" s="18">
        <f t="shared" si="25"/>
        <v>101</v>
      </c>
    </row>
    <row r="16" spans="1:36">
      <c r="A16" s="24">
        <f>AVERAGE(A4:A7)</f>
        <v>381</v>
      </c>
      <c r="B16" s="24">
        <f>AVERAGE(B4:B7)</f>
        <v>203.125</v>
      </c>
      <c r="C16" s="24">
        <f t="shared" ref="C16:AI16" si="27">AVERAGE(C4:C7)</f>
        <v>176.55</v>
      </c>
      <c r="D16" s="24">
        <f t="shared" si="27"/>
        <v>158.30000000000001</v>
      </c>
      <c r="E16" s="24">
        <f t="shared" si="27"/>
        <v>128.6</v>
      </c>
      <c r="F16" s="24">
        <f t="shared" si="27"/>
        <v>109.39999999999999</v>
      </c>
      <c r="G16" s="24">
        <f t="shared" si="27"/>
        <v>68.724999999999994</v>
      </c>
      <c r="H16" s="24">
        <f t="shared" si="27"/>
        <v>42.1</v>
      </c>
      <c r="I16" s="24">
        <f t="shared" si="27"/>
        <v>0.203125</v>
      </c>
      <c r="J16" s="24">
        <f t="shared" si="27"/>
        <v>4.0070619002044348</v>
      </c>
      <c r="K16" s="24">
        <f t="shared" si="27"/>
        <v>4.2815404286484826</v>
      </c>
      <c r="L16" s="24">
        <f t="shared" si="27"/>
        <v>4.5924862206216712</v>
      </c>
      <c r="M16" s="24">
        <f t="shared" si="27"/>
        <v>4.7622025869188249</v>
      </c>
      <c r="N16" s="24">
        <f t="shared" si="27"/>
        <v>5.1206427287711307</v>
      </c>
      <c r="O16" s="24">
        <f t="shared" si="27"/>
        <v>5.4121400118026326</v>
      </c>
      <c r="P16" s="24">
        <f t="shared" si="27"/>
        <v>0.75645313997753116</v>
      </c>
      <c r="Q16" s="24">
        <f t="shared" si="27"/>
        <v>1.779539707432493</v>
      </c>
      <c r="R16" s="24">
        <f t="shared" si="27"/>
        <v>0.19374999999999998</v>
      </c>
      <c r="S16" s="24">
        <f t="shared" si="27"/>
        <v>-858.5</v>
      </c>
      <c r="T16" s="24">
        <f t="shared" si="27"/>
        <v>3434</v>
      </c>
      <c r="U16" s="24">
        <f t="shared" si="27"/>
        <v>341</v>
      </c>
      <c r="V16" s="24">
        <f t="shared" si="27"/>
        <v>150.25</v>
      </c>
      <c r="W16" s="24">
        <f t="shared" si="27"/>
        <v>2.2719999999999998</v>
      </c>
      <c r="X16" s="24"/>
      <c r="Y16" s="24">
        <f t="shared" si="27"/>
        <v>44.825000000000003</v>
      </c>
      <c r="Z16" s="24">
        <f t="shared" si="27"/>
        <v>48.9</v>
      </c>
      <c r="AA16" s="24">
        <f t="shared" si="27"/>
        <v>40.674999999999997</v>
      </c>
      <c r="AB16"/>
      <c r="AC16" s="24">
        <f t="shared" si="27"/>
        <v>203.125</v>
      </c>
      <c r="AD16" s="24">
        <f t="shared" si="27"/>
        <v>182.21153725494844</v>
      </c>
      <c r="AE16" s="24">
        <f t="shared" si="27"/>
        <v>161.4356064457823</v>
      </c>
      <c r="AF16" s="24">
        <f t="shared" si="27"/>
        <v>128.47636009308434</v>
      </c>
      <c r="AG16" s="24">
        <f t="shared" si="27"/>
        <v>99.917771082620263</v>
      </c>
      <c r="AH16" s="24">
        <f t="shared" si="27"/>
        <v>61.108424892236471</v>
      </c>
      <c r="AI16" s="24">
        <f t="shared" si="27"/>
        <v>39.583867935234764</v>
      </c>
    </row>
    <row r="17" spans="1:36">
      <c r="A17" s="24">
        <f>AVERAGE(A8:A11)</f>
        <v>715.25</v>
      </c>
      <c r="B17" s="24">
        <f>AVERAGE(B8:B11)</f>
        <v>351.57499999999999</v>
      </c>
      <c r="C17" s="24">
        <f t="shared" ref="C17:AI17" si="28">AVERAGE(C8:C11)</f>
        <v>309.25</v>
      </c>
      <c r="D17" s="24">
        <f t="shared" si="28"/>
        <v>277.8</v>
      </c>
      <c r="E17" s="24">
        <f t="shared" si="28"/>
        <v>232.125</v>
      </c>
      <c r="F17" s="24">
        <f t="shared" si="28"/>
        <v>195.1</v>
      </c>
      <c r="G17" s="24">
        <f t="shared" si="28"/>
        <v>130.22499999999999</v>
      </c>
      <c r="H17" s="24">
        <f t="shared" si="28"/>
        <v>85.199999999999989</v>
      </c>
      <c r="I17" s="24">
        <f t="shared" si="28"/>
        <v>0.35157499999999997</v>
      </c>
      <c r="J17" s="24">
        <f t="shared" si="28"/>
        <v>3.9655762198976512</v>
      </c>
      <c r="K17" s="24">
        <f t="shared" si="28"/>
        <v>4.2534937589164219</v>
      </c>
      <c r="L17" s="24">
        <f t="shared" si="28"/>
        <v>4.5408203789435611</v>
      </c>
      <c r="M17" s="24">
        <f t="shared" si="28"/>
        <v>4.7334236431754935</v>
      </c>
      <c r="N17" s="24">
        <f t="shared" si="28"/>
        <v>5.0596932463932101</v>
      </c>
      <c r="O17" s="24">
        <f t="shared" si="28"/>
        <v>5.3243356660879808</v>
      </c>
      <c r="P17" s="24">
        <f t="shared" si="28"/>
        <v>0.95390784841578602</v>
      </c>
      <c r="Q17" s="24">
        <f t="shared" si="28"/>
        <v>1.7238534148819653</v>
      </c>
      <c r="R17" s="24">
        <f t="shared" si="28"/>
        <v>0.17574999999999996</v>
      </c>
      <c r="S17" s="24">
        <f t="shared" si="28"/>
        <v>-546.5</v>
      </c>
      <c r="T17" s="24">
        <f t="shared" si="28"/>
        <v>2186</v>
      </c>
      <c r="U17" s="24">
        <f t="shared" si="28"/>
        <v>358.25</v>
      </c>
      <c r="V17" s="24">
        <f t="shared" si="28"/>
        <v>270</v>
      </c>
      <c r="W17" s="24">
        <f t="shared" si="28"/>
        <v>2.3855</v>
      </c>
      <c r="X17" s="24"/>
      <c r="Y17" s="24">
        <f t="shared" si="28"/>
        <v>73.775000000000006</v>
      </c>
      <c r="Z17" s="24">
        <f t="shared" si="28"/>
        <v>82.699999999999989</v>
      </c>
      <c r="AA17" s="24">
        <f t="shared" si="28"/>
        <v>64.875</v>
      </c>
      <c r="AB17" s="24">
        <f>AC17/AC16</f>
        <v>1.7308307692307694</v>
      </c>
      <c r="AC17" s="24">
        <f t="shared" si="28"/>
        <v>351.57500000000005</v>
      </c>
      <c r="AD17" s="24">
        <f t="shared" si="28"/>
        <v>318.41238499936077</v>
      </c>
      <c r="AE17" s="24">
        <f t="shared" si="28"/>
        <v>284.82899422100286</v>
      </c>
      <c r="AF17" s="24">
        <f t="shared" si="28"/>
        <v>230.20013303579094</v>
      </c>
      <c r="AG17" s="24">
        <f t="shared" si="28"/>
        <v>181.47241260731397</v>
      </c>
      <c r="AH17" s="24">
        <f t="shared" si="28"/>
        <v>113.0819719711419</v>
      </c>
      <c r="AI17" s="24">
        <f t="shared" si="28"/>
        <v>74.025446707163908</v>
      </c>
      <c r="AJ17" s="1">
        <f>AI17/AI16</f>
        <v>1.8700912914392502</v>
      </c>
    </row>
    <row r="18" spans="1:36">
      <c r="A18" s="24">
        <f>AVERAGE(A12:A15)</f>
        <v>1394.75</v>
      </c>
      <c r="B18" s="24">
        <f>AVERAGE(B12:B15)</f>
        <v>580</v>
      </c>
      <c r="C18" s="24">
        <f t="shared" ref="C18:AI18" si="29">AVERAGE(C12:C15)</f>
        <v>512.1</v>
      </c>
      <c r="D18" s="24">
        <f t="shared" si="29"/>
        <v>460.9</v>
      </c>
      <c r="E18" s="24">
        <f t="shared" si="29"/>
        <v>387.45000000000005</v>
      </c>
      <c r="F18" s="24">
        <f t="shared" si="29"/>
        <v>329.125</v>
      </c>
      <c r="G18" s="24">
        <f t="shared" si="29"/>
        <v>222.77499999999998</v>
      </c>
      <c r="H18" s="24">
        <f t="shared" si="29"/>
        <v>148.72500000000002</v>
      </c>
      <c r="I18" s="24">
        <f t="shared" si="29"/>
        <v>0.57999999999999996</v>
      </c>
      <c r="J18" s="24">
        <f t="shared" si="29"/>
        <v>3.9518203938705865</v>
      </c>
      <c r="K18" s="24">
        <f t="shared" si="29"/>
        <v>4.2415875904304343</v>
      </c>
      <c r="L18" s="24">
        <f t="shared" si="29"/>
        <v>4.525631883087982</v>
      </c>
      <c r="M18" s="24">
        <f t="shared" si="29"/>
        <v>4.7113918405647377</v>
      </c>
      <c r="N18" s="24">
        <f t="shared" si="29"/>
        <v>5.0343725592975268</v>
      </c>
      <c r="O18" s="24">
        <f t="shared" si="29"/>
        <v>5.2916722855045002</v>
      </c>
      <c r="P18" s="24">
        <f t="shared" si="29"/>
        <v>1.0673587464994143</v>
      </c>
      <c r="Q18" s="24">
        <f t="shared" si="29"/>
        <v>1.6983928209877464</v>
      </c>
      <c r="R18" s="24">
        <f t="shared" si="29"/>
        <v>0.16875000000000001</v>
      </c>
      <c r="S18" s="24">
        <f t="shared" si="29"/>
        <v>-344.75</v>
      </c>
      <c r="T18" s="24">
        <f t="shared" si="29"/>
        <v>1379</v>
      </c>
      <c r="U18" s="24">
        <f t="shared" si="29"/>
        <v>365.25</v>
      </c>
      <c r="V18" s="24">
        <f t="shared" si="29"/>
        <v>452.25</v>
      </c>
      <c r="W18" s="24">
        <f t="shared" si="29"/>
        <v>2.4347499999999997</v>
      </c>
      <c r="X18" s="24"/>
      <c r="Y18" s="24">
        <f t="shared" si="29"/>
        <v>119.1</v>
      </c>
      <c r="Z18" s="24">
        <f t="shared" si="29"/>
        <v>131.77500000000001</v>
      </c>
      <c r="AA18" s="24">
        <f t="shared" si="29"/>
        <v>106.35</v>
      </c>
      <c r="AB18" s="24">
        <f>AC18/AC16</f>
        <v>2.8553846153846152</v>
      </c>
      <c r="AC18" s="24">
        <f t="shared" si="29"/>
        <v>580</v>
      </c>
      <c r="AD18" s="24">
        <f t="shared" si="29"/>
        <v>527.27254777452811</v>
      </c>
      <c r="AE18" s="24">
        <f t="shared" si="29"/>
        <v>473.46911515785126</v>
      </c>
      <c r="AF18" s="24">
        <f t="shared" si="29"/>
        <v>385.06196482020073</v>
      </c>
      <c r="AG18" s="24">
        <f t="shared" si="29"/>
        <v>305.26298074931498</v>
      </c>
      <c r="AH18" s="24">
        <f t="shared" si="29"/>
        <v>191.73554560617259</v>
      </c>
      <c r="AI18" s="24">
        <f t="shared" si="29"/>
        <v>126.08703670580483</v>
      </c>
      <c r="AJ18" s="1">
        <f>AI18/AI16</f>
        <v>3.1853136967843172</v>
      </c>
    </row>
    <row r="19" spans="1:36" ht="13.5" thickBot="1"/>
    <row r="20" spans="1:36">
      <c r="A20" s="26">
        <v>378</v>
      </c>
      <c r="B20" s="27">
        <v>393.5</v>
      </c>
      <c r="C20" s="27">
        <v>359.4</v>
      </c>
      <c r="D20" s="27">
        <v>312.2</v>
      </c>
      <c r="E20" s="27">
        <v>241.5</v>
      </c>
      <c r="F20" s="27">
        <v>182.5</v>
      </c>
      <c r="G20" s="27">
        <v>96.9</v>
      </c>
      <c r="H20" s="28">
        <v>53.9</v>
      </c>
      <c r="I20" s="9">
        <f>B20/1000</f>
        <v>0.39350000000000002</v>
      </c>
      <c r="J20" s="8">
        <f>LOG10((((3*150*150)*B20)/C20)-((3*150*150)))</f>
        <v>3.8064800790505675</v>
      </c>
      <c r="K20" s="8">
        <f>LOG10((((3*150*150)*B20)/D20)-((3*150*150)))</f>
        <v>4.2449614196986944</v>
      </c>
      <c r="L20" s="8">
        <f>LOG10((((3*150*150)*B20)/E20)-((3*150*150)))</f>
        <v>4.6282302256882666</v>
      </c>
      <c r="M20" s="8">
        <f>LOG10((((3*150*150)*B20)/F20)-((3*150*150)))</f>
        <v>4.8923233593362241</v>
      </c>
      <c r="N20" s="8">
        <f>LOG10((((3*150*150)*B20)/G20)-((3*150*150)))</f>
        <v>5.3151511424726223</v>
      </c>
      <c r="O20" s="8">
        <f>LOG10((((3*150*150)*B20)/H20)-((3*150*150)))</f>
        <v>5.628682689216201</v>
      </c>
      <c r="P20" s="11">
        <f>10^(INTERCEPT(J20:O20,$J$1:$O$1))</f>
        <v>3.1455147209080589E-2</v>
      </c>
      <c r="Q20" s="11">
        <f>LINEST(J20:O20,$J$1:$O$1)</f>
        <v>2.3105226901827467</v>
      </c>
      <c r="R20" s="11">
        <f>ROUND(10^((SUM(J20:N20)-2*SUM($J$1:$N$1))/5),3)</f>
        <v>0.20499999999999999</v>
      </c>
      <c r="S20" s="12">
        <f>ROUND(-1.5*((150^2)/(R20*I20))/1000,0)</f>
        <v>-418</v>
      </c>
      <c r="T20" s="12">
        <f t="shared" ref="T20:T98" si="30">-4*S20</f>
        <v>1672</v>
      </c>
      <c r="U20" s="12">
        <f>ROUND(150/(R20^0.5),0)</f>
        <v>331</v>
      </c>
      <c r="V20" s="13">
        <f>ROUND(150*I20*ATAN((1800*SQRT(3*R20))/(3*150))*SQRT(3/(R20)),0)</f>
        <v>285</v>
      </c>
      <c r="W20" s="15">
        <f>ROUND(1/SQRT(R20),3)</f>
        <v>2.2090000000000001</v>
      </c>
      <c r="X20" s="35"/>
      <c r="Y20" s="18">
        <f>ROUND(B20-D20,3)</f>
        <v>81.3</v>
      </c>
      <c r="Z20" s="18">
        <f>ROUND(D20-F20,3)</f>
        <v>129.69999999999999</v>
      </c>
      <c r="AA20" s="18">
        <f>ROUND(F20-G20,3)</f>
        <v>85.6</v>
      </c>
      <c r="AC20" s="23">
        <f>((B20)*3*150^2)/(R20*$AC$3^2+3*150^2)</f>
        <v>393.5</v>
      </c>
      <c r="AD20" s="23">
        <f>((B20)*3*150^2)/(R20*$AD$3^2+3*150^2)</f>
        <v>350.87516512549536</v>
      </c>
      <c r="AE20" s="23">
        <f>((B20)*3*150^2)/(R20*$AE$3^2+3*150^2)</f>
        <v>309.03141361256547</v>
      </c>
      <c r="AF20" s="23">
        <f>((B20)*3*150^2)/(R20*$AF$3^2+3*150^2)</f>
        <v>243.65325077399382</v>
      </c>
      <c r="AG20" s="23">
        <f>((B20)*3*150^2)/(R20*$AG$3^2+3*150^2)</f>
        <v>187.97770700636943</v>
      </c>
      <c r="AH20" s="23">
        <f>((B20)*3*150^2)/(R20*$AH$3^2+3*150^2)</f>
        <v>113.72832369942196</v>
      </c>
      <c r="AI20" s="23">
        <f>((B20)*3*150^2)/(R20*$AI$3^2+3*150^2)</f>
        <v>73.232009925558316</v>
      </c>
    </row>
    <row r="21" spans="1:36">
      <c r="A21" s="29">
        <v>380</v>
      </c>
      <c r="B21" s="30">
        <v>370.2</v>
      </c>
      <c r="C21" s="30">
        <v>335.5</v>
      </c>
      <c r="D21" s="30">
        <v>290.3</v>
      </c>
      <c r="E21" s="30">
        <v>224.5</v>
      </c>
      <c r="F21" s="30">
        <v>171</v>
      </c>
      <c r="G21" s="30">
        <v>93.8</v>
      </c>
      <c r="H21" s="31">
        <v>55</v>
      </c>
      <c r="I21" s="9">
        <f t="shared" ref="I21:I99" si="31">B21/1000</f>
        <v>0.37019999999999997</v>
      </c>
      <c r="J21" s="8">
        <f t="shared" ref="J21:J99" si="32">LOG10((((3*150*150)*B21)/C21)-((3*150*150)))</f>
        <v>3.8439407231168876</v>
      </c>
      <c r="K21" s="8">
        <f t="shared" ref="K21:K99" si="33">LOG10((((3*150*150)*B21)/D21)-((3*150*150)))</f>
        <v>4.2690035163133428</v>
      </c>
      <c r="L21" s="8">
        <f t="shared" ref="L21:L99" si="34">LOG10((((3*150*150)*B21)/E21)-((3*150*150)))</f>
        <v>4.6415469792616735</v>
      </c>
      <c r="M21" s="8">
        <f t="shared" ref="M21:M99" si="35">LOG10((((3*150*150)*B21)/F21)-((3*150*150)))</f>
        <v>4.8955969965265513</v>
      </c>
      <c r="N21" s="8">
        <f t="shared" ref="N21:N99" si="36">LOG10((((3*150*150)*B21)/G21)-((3*150*150)))</f>
        <v>5.2986389731541212</v>
      </c>
      <c r="O21" s="8">
        <f t="shared" ref="O21:O99" si="37">LOG10((((3*150*150)*B21)/H21)-((3*150*150)))</f>
        <v>5.5875272921542987</v>
      </c>
      <c r="P21" s="11">
        <f t="shared" ref="P21:P99" si="38">10^(INTERCEPT(J21:O21,$J$1:$O$1))</f>
        <v>5.7502286593439284E-2</v>
      </c>
      <c r="Q21" s="11">
        <f t="shared" ref="Q21:Q99" si="39">LINEST(J21:O21,$J$1:$O$1)</f>
        <v>2.2150021188107036</v>
      </c>
      <c r="R21" s="11">
        <f t="shared" ref="R21:R99" si="40">ROUND(10^((SUM(J21:N21)-2*SUM($J$1:$N$1))/5),3)</f>
        <v>0.21099999999999999</v>
      </c>
      <c r="S21" s="12">
        <f t="shared" ref="S21:S99" si="41">ROUND(-1.5*((150^2)/(R21*I21))/1000,0)</f>
        <v>-432</v>
      </c>
      <c r="T21" s="12">
        <f t="shared" si="30"/>
        <v>1728</v>
      </c>
      <c r="U21" s="12">
        <f t="shared" ref="U21:U99" si="42">ROUND(150/(R21^0.5),0)</f>
        <v>327</v>
      </c>
      <c r="V21" s="13">
        <f t="shared" ref="V21:V99" si="43">ROUND(150*I21*ATAN((1800*SQRT(3*R21))/(3*150))*SQRT(3/(R21)),0)</f>
        <v>265</v>
      </c>
      <c r="W21" s="15">
        <f t="shared" ref="W21:W99" si="44">ROUND(1/SQRT(R21),3)</f>
        <v>2.177</v>
      </c>
      <c r="X21" s="35"/>
      <c r="Y21" s="18">
        <f t="shared" ref="Y21:Y99" si="45">ROUND(B21-D21,3)</f>
        <v>79.900000000000006</v>
      </c>
      <c r="Z21" s="18">
        <f t="shared" ref="Z21:Z99" si="46">ROUND(D21-F21,3)</f>
        <v>119.3</v>
      </c>
      <c r="AA21" s="18">
        <f t="shared" ref="AA21:AA99" si="47">ROUND(F21-G21,3)</f>
        <v>77.2</v>
      </c>
      <c r="AC21" s="23">
        <f t="shared" ref="AC21:AC99" si="48">((B21)*3*150^2)/(R21*$AC$3^2+3*150^2)</f>
        <v>370.19999999999993</v>
      </c>
      <c r="AD21" s="23">
        <f t="shared" ref="AD21:AD99" si="49">((B21)*3*150^2)/(R21*$AD$3^2+3*150^2)</f>
        <v>329.05583355280481</v>
      </c>
      <c r="AE21" s="23">
        <f t="shared" ref="AE21:AE99" si="50">((B21)*3*150^2)/(R21*$AE$3^2+3*150^2)</f>
        <v>288.91779396462016</v>
      </c>
      <c r="AF21" s="23">
        <f t="shared" ref="AF21:AF99" si="51">((B21)*3*150^2)/(R21*$AF$3^2+3*150^2)</f>
        <v>226.69932639314143</v>
      </c>
      <c r="AG21" s="23">
        <f t="shared" ref="AG21:AG99" si="52">((B21)*3*150^2)/(R21*$AG$3^2+3*150^2)</f>
        <v>174.18444165621077</v>
      </c>
      <c r="AH21" s="23">
        <f t="shared" ref="AH21:AH99" si="53">((B21)*3*150^2)/(R21*$AH$3^2+3*150^2)</f>
        <v>104.81313703284256</v>
      </c>
      <c r="AI21" s="23">
        <f t="shared" ref="AI21:AI99" si="54">((B21)*3*150^2)/(R21*$AI$3^2+3*150^2)</f>
        <v>67.292777508482786</v>
      </c>
    </row>
    <row r="22" spans="1:36">
      <c r="A22" s="29">
        <v>383</v>
      </c>
      <c r="B22" s="30">
        <v>365</v>
      </c>
      <c r="C22" s="30">
        <v>332.2</v>
      </c>
      <c r="D22" s="30">
        <v>287</v>
      </c>
      <c r="E22" s="30">
        <v>223</v>
      </c>
      <c r="F22" s="30">
        <v>170.3</v>
      </c>
      <c r="G22" s="30">
        <v>94.7</v>
      </c>
      <c r="H22" s="31">
        <v>55.8</v>
      </c>
      <c r="I22" s="9">
        <f t="shared" si="31"/>
        <v>0.36499999999999999</v>
      </c>
      <c r="J22" s="8">
        <f t="shared" si="32"/>
        <v>3.8237779884273282</v>
      </c>
      <c r="K22" s="8">
        <f t="shared" si="33"/>
        <v>4.2635164787875128</v>
      </c>
      <c r="L22" s="8">
        <f t="shared" si="34"/>
        <v>4.6332872541659205</v>
      </c>
      <c r="M22" s="8">
        <f t="shared" si="35"/>
        <v>4.8874550763884557</v>
      </c>
      <c r="N22" s="8">
        <f t="shared" si="36"/>
        <v>5.2847998395264772</v>
      </c>
      <c r="O22" s="8">
        <f t="shared" si="37"/>
        <v>5.5729090591397332</v>
      </c>
      <c r="P22" s="11">
        <f t="shared" si="38"/>
        <v>5.5590653827528431E-2</v>
      </c>
      <c r="Q22" s="11">
        <f t="shared" si="39"/>
        <v>2.2160851256057668</v>
      </c>
      <c r="R22" s="11">
        <f t="shared" si="40"/>
        <v>0.20599999999999999</v>
      </c>
      <c r="S22" s="12">
        <f t="shared" si="41"/>
        <v>-449</v>
      </c>
      <c r="T22" s="12">
        <f t="shared" si="30"/>
        <v>1796</v>
      </c>
      <c r="U22" s="12">
        <f t="shared" si="42"/>
        <v>330</v>
      </c>
      <c r="V22" s="13">
        <f t="shared" si="43"/>
        <v>264</v>
      </c>
      <c r="W22" s="15">
        <f t="shared" si="44"/>
        <v>2.2029999999999998</v>
      </c>
      <c r="X22" s="35"/>
      <c r="Y22" s="18">
        <f t="shared" si="45"/>
        <v>78</v>
      </c>
      <c r="Z22" s="18">
        <f t="shared" si="46"/>
        <v>116.7</v>
      </c>
      <c r="AA22" s="18">
        <f t="shared" si="47"/>
        <v>75.599999999999994</v>
      </c>
      <c r="AC22" s="23">
        <f t="shared" si="48"/>
        <v>365</v>
      </c>
      <c r="AD22" s="23">
        <f t="shared" si="49"/>
        <v>325.29046738843414</v>
      </c>
      <c r="AE22" s="23">
        <f t="shared" si="50"/>
        <v>286.34937238493723</v>
      </c>
      <c r="AF22" s="23">
        <f t="shared" si="51"/>
        <v>225.58714462299136</v>
      </c>
      <c r="AG22" s="23">
        <f t="shared" si="52"/>
        <v>173.91994917407877</v>
      </c>
      <c r="AH22" s="23">
        <f t="shared" si="53"/>
        <v>105.12672811059907</v>
      </c>
      <c r="AI22" s="23">
        <f t="shared" si="54"/>
        <v>67.65941670785962</v>
      </c>
    </row>
    <row r="23" spans="1:36">
      <c r="A23" s="29">
        <v>383</v>
      </c>
      <c r="B23" s="30">
        <v>363</v>
      </c>
      <c r="C23" s="30">
        <v>329.9</v>
      </c>
      <c r="D23" s="30">
        <v>285</v>
      </c>
      <c r="E23" s="30">
        <v>221.7</v>
      </c>
      <c r="F23" s="30">
        <v>169.7</v>
      </c>
      <c r="G23" s="30">
        <v>94.8</v>
      </c>
      <c r="H23" s="31">
        <v>56</v>
      </c>
      <c r="I23" s="9">
        <f t="shared" si="31"/>
        <v>0.36299999999999999</v>
      </c>
      <c r="J23" s="8">
        <f t="shared" si="32"/>
        <v>3.8307494510614006</v>
      </c>
      <c r="K23" s="8">
        <f t="shared" si="33"/>
        <v>4.266553515512995</v>
      </c>
      <c r="L23" s="8">
        <f t="shared" si="34"/>
        <v>4.6336802415650951</v>
      </c>
      <c r="M23" s="8">
        <f t="shared" si="35"/>
        <v>4.8858537845419026</v>
      </c>
      <c r="N23" s="8">
        <f t="shared" si="36"/>
        <v>5.2809542090085388</v>
      </c>
      <c r="O23" s="8">
        <f t="shared" si="37"/>
        <v>5.5682541213020107</v>
      </c>
      <c r="P23" s="11">
        <f t="shared" si="38"/>
        <v>6.1017518185282497E-2</v>
      </c>
      <c r="Q23" s="11">
        <f t="shared" si="39"/>
        <v>2.201160676258032</v>
      </c>
      <c r="R23" s="11">
        <f t="shared" si="40"/>
        <v>0.20599999999999999</v>
      </c>
      <c r="S23" s="12">
        <f t="shared" si="41"/>
        <v>-451</v>
      </c>
      <c r="T23" s="12">
        <f t="shared" si="30"/>
        <v>1804</v>
      </c>
      <c r="U23" s="12">
        <f t="shared" si="42"/>
        <v>330</v>
      </c>
      <c r="V23" s="13">
        <f t="shared" si="43"/>
        <v>262</v>
      </c>
      <c r="W23" s="15">
        <f t="shared" si="44"/>
        <v>2.2029999999999998</v>
      </c>
      <c r="X23" s="35"/>
      <c r="Y23" s="18">
        <f t="shared" si="45"/>
        <v>78</v>
      </c>
      <c r="Z23" s="18">
        <f t="shared" si="46"/>
        <v>115.3</v>
      </c>
      <c r="AA23" s="18">
        <f t="shared" si="47"/>
        <v>74.900000000000006</v>
      </c>
      <c r="AC23" s="23">
        <f t="shared" si="48"/>
        <v>363</v>
      </c>
      <c r="AD23" s="23">
        <f t="shared" si="49"/>
        <v>323.50805386849748</v>
      </c>
      <c r="AE23" s="23">
        <f t="shared" si="50"/>
        <v>284.78033472803349</v>
      </c>
      <c r="AF23" s="23">
        <f t="shared" si="51"/>
        <v>224.35105067985168</v>
      </c>
      <c r="AG23" s="23">
        <f t="shared" si="52"/>
        <v>172.96696315120712</v>
      </c>
      <c r="AH23" s="23">
        <f t="shared" si="53"/>
        <v>104.55069124423963</v>
      </c>
      <c r="AI23" s="23">
        <f t="shared" si="54"/>
        <v>67.288680177953538</v>
      </c>
    </row>
    <row r="24" spans="1:36">
      <c r="A24" s="29">
        <v>724</v>
      </c>
      <c r="B24" s="30">
        <v>640.79999999999995</v>
      </c>
      <c r="C24" s="30">
        <v>587.1</v>
      </c>
      <c r="D24" s="30">
        <v>510.9</v>
      </c>
      <c r="E24" s="30">
        <v>402.6</v>
      </c>
      <c r="F24" s="30">
        <v>311.5</v>
      </c>
      <c r="G24" s="30">
        <v>178.2</v>
      </c>
      <c r="H24" s="31">
        <v>105</v>
      </c>
      <c r="I24" s="9">
        <f t="shared" si="31"/>
        <v>0.64079999999999993</v>
      </c>
      <c r="J24" s="8">
        <f t="shared" si="32"/>
        <v>3.7905659781529173</v>
      </c>
      <c r="K24" s="8">
        <f t="shared" si="33"/>
        <v>4.2345770212217895</v>
      </c>
      <c r="L24" s="8">
        <f t="shared" si="34"/>
        <v>4.601371759425148</v>
      </c>
      <c r="M24" s="8">
        <f t="shared" si="35"/>
        <v>4.8534374525477446</v>
      </c>
      <c r="N24" s="8">
        <f t="shared" si="36"/>
        <v>5.2436017015647698</v>
      </c>
      <c r="O24" s="8">
        <f t="shared" si="37"/>
        <v>5.5371171830332768</v>
      </c>
      <c r="P24" s="11">
        <f t="shared" si="38"/>
        <v>5.4520527679511863E-2</v>
      </c>
      <c r="Q24" s="11">
        <f t="shared" si="39"/>
        <v>2.2065779659861464</v>
      </c>
      <c r="R24" s="11">
        <f t="shared" si="40"/>
        <v>0.19</v>
      </c>
      <c r="S24" s="12">
        <f t="shared" si="41"/>
        <v>-277</v>
      </c>
      <c r="T24" s="12">
        <f t="shared" si="30"/>
        <v>1108</v>
      </c>
      <c r="U24" s="12">
        <f t="shared" si="42"/>
        <v>344</v>
      </c>
      <c r="V24" s="13">
        <f t="shared" si="43"/>
        <v>478</v>
      </c>
      <c r="W24" s="15">
        <f t="shared" si="44"/>
        <v>2.294</v>
      </c>
      <c r="X24" s="35"/>
      <c r="Y24" s="18">
        <f t="shared" si="45"/>
        <v>129.9</v>
      </c>
      <c r="Z24" s="18">
        <f t="shared" si="46"/>
        <v>199.4</v>
      </c>
      <c r="AA24" s="18">
        <f t="shared" si="47"/>
        <v>133.30000000000001</v>
      </c>
      <c r="AC24" s="23">
        <f t="shared" si="48"/>
        <v>640.79999999999995</v>
      </c>
      <c r="AD24" s="23">
        <f t="shared" si="49"/>
        <v>575.9520639147803</v>
      </c>
      <c r="AE24" s="23">
        <f t="shared" si="50"/>
        <v>511.27659574468083</v>
      </c>
      <c r="AF24" s="23">
        <f t="shared" si="51"/>
        <v>408.15286624203821</v>
      </c>
      <c r="AG24" s="23">
        <f t="shared" si="52"/>
        <v>318.27814569536423</v>
      </c>
      <c r="AH24" s="23">
        <f t="shared" si="53"/>
        <v>195.36585365853659</v>
      </c>
      <c r="AI24" s="23">
        <f t="shared" si="54"/>
        <v>126.80738786279683</v>
      </c>
    </row>
    <row r="25" spans="1:36">
      <c r="A25" s="29">
        <v>715</v>
      </c>
      <c r="B25" s="30">
        <v>618.5</v>
      </c>
      <c r="C25" s="30">
        <v>565</v>
      </c>
      <c r="D25" s="30">
        <v>493.5</v>
      </c>
      <c r="E25" s="30">
        <v>389.9</v>
      </c>
      <c r="F25" s="30">
        <v>302.5</v>
      </c>
      <c r="G25" s="30">
        <v>175</v>
      </c>
      <c r="H25" s="31">
        <v>104.2</v>
      </c>
      <c r="I25" s="9">
        <f t="shared" si="31"/>
        <v>0.61850000000000005</v>
      </c>
      <c r="J25" s="8">
        <f t="shared" si="32"/>
        <v>3.8056091070328151</v>
      </c>
      <c r="K25" s="8">
        <f t="shared" si="33"/>
        <v>4.2329266288334262</v>
      </c>
      <c r="L25" s="8">
        <f t="shared" si="34"/>
        <v>4.5974267637023019</v>
      </c>
      <c r="M25" s="8">
        <f t="shared" si="35"/>
        <v>4.8482654764609414</v>
      </c>
      <c r="N25" s="8">
        <f t="shared" si="36"/>
        <v>5.2331593483124754</v>
      </c>
      <c r="O25" s="8">
        <f t="shared" si="37"/>
        <v>5.5226525781886089</v>
      </c>
      <c r="P25" s="11">
        <f t="shared" si="38"/>
        <v>6.6261386330143293E-2</v>
      </c>
      <c r="Q25" s="11">
        <f t="shared" si="39"/>
        <v>2.1740201877517134</v>
      </c>
      <c r="R25" s="11">
        <f t="shared" si="40"/>
        <v>0.19</v>
      </c>
      <c r="S25" s="12">
        <f t="shared" si="41"/>
        <v>-287</v>
      </c>
      <c r="T25" s="12">
        <f t="shared" si="30"/>
        <v>1148</v>
      </c>
      <c r="U25" s="12">
        <f t="shared" si="42"/>
        <v>344</v>
      </c>
      <c r="V25" s="13">
        <f t="shared" si="43"/>
        <v>461</v>
      </c>
      <c r="W25" s="15">
        <f t="shared" si="44"/>
        <v>2.294</v>
      </c>
      <c r="X25" s="35"/>
      <c r="Y25" s="18">
        <f t="shared" si="45"/>
        <v>125</v>
      </c>
      <c r="Z25" s="18">
        <f t="shared" si="46"/>
        <v>191</v>
      </c>
      <c r="AA25" s="18">
        <f t="shared" si="47"/>
        <v>127.5</v>
      </c>
      <c r="AC25" s="23">
        <f t="shared" si="48"/>
        <v>618.5</v>
      </c>
      <c r="AD25" s="23">
        <f t="shared" si="49"/>
        <v>555.90878828229029</v>
      </c>
      <c r="AE25" s="23">
        <f t="shared" si="50"/>
        <v>493.4840425531915</v>
      </c>
      <c r="AF25" s="23">
        <f t="shared" si="51"/>
        <v>393.94904458598728</v>
      </c>
      <c r="AG25" s="23">
        <f t="shared" si="52"/>
        <v>307.20198675496687</v>
      </c>
      <c r="AH25" s="23">
        <f t="shared" si="53"/>
        <v>188.5670731707317</v>
      </c>
      <c r="AI25" s="23">
        <f t="shared" si="54"/>
        <v>122.39445910290237</v>
      </c>
    </row>
    <row r="26" spans="1:36">
      <c r="A26" s="29">
        <v>712</v>
      </c>
      <c r="B26" s="30">
        <v>611.20000000000005</v>
      </c>
      <c r="C26" s="30">
        <v>555.6</v>
      </c>
      <c r="D26" s="30">
        <v>486.1</v>
      </c>
      <c r="E26" s="30">
        <v>385.4</v>
      </c>
      <c r="F26" s="30">
        <v>299</v>
      </c>
      <c r="G26" s="30">
        <v>173.8</v>
      </c>
      <c r="H26" s="31">
        <v>103.9</v>
      </c>
      <c r="I26" s="9">
        <f t="shared" si="31"/>
        <v>0.61120000000000008</v>
      </c>
      <c r="J26" s="8">
        <f t="shared" si="32"/>
        <v>3.8296163273475039</v>
      </c>
      <c r="K26" s="8">
        <f t="shared" si="33"/>
        <v>4.2398354614499025</v>
      </c>
      <c r="L26" s="8">
        <f t="shared" si="34"/>
        <v>4.5971160001005398</v>
      </c>
      <c r="M26" s="8">
        <f t="shared" si="35"/>
        <v>4.8480654832329941</v>
      </c>
      <c r="N26" s="8">
        <f t="shared" si="36"/>
        <v>5.2301327794199954</v>
      </c>
      <c r="O26" s="8">
        <f t="shared" si="37"/>
        <v>5.5179530875912519</v>
      </c>
      <c r="P26" s="11">
        <f t="shared" si="38"/>
        <v>8.1865096040506111E-2</v>
      </c>
      <c r="Q26" s="11">
        <f t="shared" si="39"/>
        <v>2.1414921879404538</v>
      </c>
      <c r="R26" s="11">
        <f t="shared" si="40"/>
        <v>0.192</v>
      </c>
      <c r="S26" s="12">
        <f t="shared" si="41"/>
        <v>-288</v>
      </c>
      <c r="T26" s="12">
        <f t="shared" si="30"/>
        <v>1152</v>
      </c>
      <c r="U26" s="12">
        <f t="shared" si="42"/>
        <v>342</v>
      </c>
      <c r="V26" s="13">
        <f t="shared" si="43"/>
        <v>454</v>
      </c>
      <c r="W26" s="15">
        <f t="shared" si="44"/>
        <v>2.282</v>
      </c>
      <c r="X26" s="35"/>
      <c r="Y26" s="18">
        <f t="shared" si="45"/>
        <v>125.1</v>
      </c>
      <c r="Z26" s="18">
        <f t="shared" si="46"/>
        <v>187.1</v>
      </c>
      <c r="AA26" s="18">
        <f t="shared" si="47"/>
        <v>125.2</v>
      </c>
      <c r="AC26" s="23">
        <f t="shared" si="48"/>
        <v>611.20000000000005</v>
      </c>
      <c r="AD26" s="23">
        <f t="shared" si="49"/>
        <v>548.76296887470073</v>
      </c>
      <c r="AE26" s="23">
        <f t="shared" si="50"/>
        <v>486.62420382165607</v>
      </c>
      <c r="AF26" s="23">
        <f t="shared" si="51"/>
        <v>387.81725888324871</v>
      </c>
      <c r="AG26" s="23">
        <f t="shared" si="52"/>
        <v>301.97628458498025</v>
      </c>
      <c r="AH26" s="23">
        <f t="shared" si="53"/>
        <v>184.98789346246974</v>
      </c>
      <c r="AI26" s="23">
        <f t="shared" si="54"/>
        <v>119.93720565149137</v>
      </c>
    </row>
    <row r="27" spans="1:36">
      <c r="A27" s="29">
        <v>710</v>
      </c>
      <c r="B27" s="30">
        <v>607.20000000000005</v>
      </c>
      <c r="C27" s="30">
        <v>550.4</v>
      </c>
      <c r="D27" s="30">
        <v>481.8</v>
      </c>
      <c r="E27" s="30">
        <v>383.1</v>
      </c>
      <c r="F27" s="30">
        <v>297.10000000000002</v>
      </c>
      <c r="G27" s="30">
        <v>172.9</v>
      </c>
      <c r="H27" s="31">
        <v>103.5</v>
      </c>
      <c r="I27" s="9">
        <f t="shared" si="31"/>
        <v>0.60720000000000007</v>
      </c>
      <c r="J27" s="8">
        <f t="shared" si="32"/>
        <v>3.8429736833145891</v>
      </c>
      <c r="K27" s="8">
        <f t="shared" si="33"/>
        <v>4.2447345136633974</v>
      </c>
      <c r="L27" s="8">
        <f t="shared" si="34"/>
        <v>4.596433477383008</v>
      </c>
      <c r="M27" s="8">
        <f t="shared" si="35"/>
        <v>4.847902887264687</v>
      </c>
      <c r="N27" s="8">
        <f t="shared" si="36"/>
        <v>5.2292986089193318</v>
      </c>
      <c r="O27" s="8">
        <f t="shared" si="37"/>
        <v>5.5165353738957998</v>
      </c>
      <c r="P27" s="11">
        <f t="shared" si="38"/>
        <v>9.1588664004510198E-2</v>
      </c>
      <c r="Q27" s="11">
        <f t="shared" si="39"/>
        <v>2.1244202597012456</v>
      </c>
      <c r="R27" s="11">
        <f t="shared" si="40"/>
        <v>0.19400000000000001</v>
      </c>
      <c r="S27" s="12">
        <f t="shared" si="41"/>
        <v>-287</v>
      </c>
      <c r="T27" s="12">
        <f t="shared" si="30"/>
        <v>1148</v>
      </c>
      <c r="U27" s="12">
        <f t="shared" si="42"/>
        <v>341</v>
      </c>
      <c r="V27" s="13">
        <f t="shared" si="43"/>
        <v>449</v>
      </c>
      <c r="W27" s="15">
        <f t="shared" si="44"/>
        <v>2.27</v>
      </c>
      <c r="X27" s="35"/>
      <c r="Y27" s="18">
        <f t="shared" si="45"/>
        <v>125.4</v>
      </c>
      <c r="Z27" s="18">
        <f t="shared" si="46"/>
        <v>184.7</v>
      </c>
      <c r="AA27" s="18">
        <f t="shared" si="47"/>
        <v>124.2</v>
      </c>
      <c r="AC27" s="23">
        <f t="shared" si="48"/>
        <v>607.20000000000005</v>
      </c>
      <c r="AD27" s="23">
        <f t="shared" si="49"/>
        <v>544.5920807866064</v>
      </c>
      <c r="AE27" s="23">
        <f t="shared" si="50"/>
        <v>482.41525423728814</v>
      </c>
      <c r="AF27" s="23">
        <f t="shared" si="51"/>
        <v>383.81795195954487</v>
      </c>
      <c r="AG27" s="23">
        <f t="shared" si="52"/>
        <v>298.42726081258189</v>
      </c>
      <c r="AH27" s="23">
        <f t="shared" si="53"/>
        <v>182.45192307692307</v>
      </c>
      <c r="AI27" s="23">
        <f t="shared" si="54"/>
        <v>118.16294758692268</v>
      </c>
    </row>
    <row r="28" spans="1:36">
      <c r="A28" s="29">
        <v>1372</v>
      </c>
      <c r="B28" s="30">
        <v>1012</v>
      </c>
      <c r="C28" s="30">
        <v>951.3</v>
      </c>
      <c r="D28" s="30">
        <v>816.3</v>
      </c>
      <c r="E28" s="30">
        <v>660</v>
      </c>
      <c r="F28" s="30">
        <v>517.6</v>
      </c>
      <c r="G28" s="30">
        <v>309.10000000000002</v>
      </c>
      <c r="H28" s="31">
        <v>188.9</v>
      </c>
      <c r="I28" s="9">
        <f t="shared" si="31"/>
        <v>1.012</v>
      </c>
      <c r="J28" s="8">
        <f t="shared" si="32"/>
        <v>3.6341749671595314</v>
      </c>
      <c r="K28" s="8">
        <f t="shared" si="33"/>
        <v>4.2090448019896058</v>
      </c>
      <c r="L28" s="8">
        <f t="shared" si="34"/>
        <v>4.5563025007672868</v>
      </c>
      <c r="M28" s="8">
        <f t="shared" si="35"/>
        <v>4.8093879672511406</v>
      </c>
      <c r="N28" s="8">
        <f t="shared" si="36"/>
        <v>5.1860983110843453</v>
      </c>
      <c r="O28" s="8">
        <f t="shared" si="37"/>
        <v>5.4685244165976696</v>
      </c>
      <c r="P28" s="11">
        <f t="shared" si="38"/>
        <v>3.0618248658313672E-2</v>
      </c>
      <c r="Q28" s="11">
        <f t="shared" si="39"/>
        <v>2.2746900307578093</v>
      </c>
      <c r="R28" s="11">
        <f t="shared" si="40"/>
        <v>0.16300000000000001</v>
      </c>
      <c r="S28" s="12">
        <f t="shared" si="41"/>
        <v>-205</v>
      </c>
      <c r="T28" s="12">
        <f t="shared" si="30"/>
        <v>820</v>
      </c>
      <c r="U28" s="12">
        <f t="shared" si="42"/>
        <v>372</v>
      </c>
      <c r="V28" s="13">
        <f t="shared" si="43"/>
        <v>799</v>
      </c>
      <c r="W28" s="15">
        <f t="shared" si="44"/>
        <v>2.4769999999999999</v>
      </c>
      <c r="X28" s="35"/>
      <c r="Y28" s="18">
        <f t="shared" si="45"/>
        <v>195.7</v>
      </c>
      <c r="Z28" s="18">
        <f t="shared" si="46"/>
        <v>298.7</v>
      </c>
      <c r="AA28" s="18">
        <f t="shared" si="47"/>
        <v>208.5</v>
      </c>
      <c r="AC28" s="23">
        <f t="shared" si="48"/>
        <v>1012</v>
      </c>
      <c r="AD28" s="23">
        <f t="shared" si="49"/>
        <v>922.85868684139427</v>
      </c>
      <c r="AE28" s="23">
        <f t="shared" si="50"/>
        <v>831.32530120481931</v>
      </c>
      <c r="AF28" s="23">
        <f t="shared" si="51"/>
        <v>679.65077233042314</v>
      </c>
      <c r="AG28" s="23">
        <f t="shared" si="52"/>
        <v>541.36947218259627</v>
      </c>
      <c r="AH28" s="23">
        <f t="shared" si="53"/>
        <v>342.35453315290931</v>
      </c>
      <c r="AI28" s="23">
        <f t="shared" si="54"/>
        <v>226.02739726027397</v>
      </c>
    </row>
    <row r="29" spans="1:36">
      <c r="A29" s="29">
        <v>1407</v>
      </c>
      <c r="B29" s="30">
        <v>1025.4000000000001</v>
      </c>
      <c r="C29" s="30">
        <v>955.7</v>
      </c>
      <c r="D29" s="30">
        <v>826.2</v>
      </c>
      <c r="E29" s="30">
        <v>674.8</v>
      </c>
      <c r="F29" s="30">
        <v>528.5</v>
      </c>
      <c r="G29" s="30">
        <v>319.10000000000002</v>
      </c>
      <c r="H29" s="31">
        <v>197.5</v>
      </c>
      <c r="I29" s="9">
        <f t="shared" si="31"/>
        <v>1.0254000000000001</v>
      </c>
      <c r="J29" s="8">
        <f t="shared" si="32"/>
        <v>3.6922149649202778</v>
      </c>
      <c r="K29" s="8">
        <f t="shared" si="33"/>
        <v>4.2115079162781379</v>
      </c>
      <c r="L29" s="8">
        <f t="shared" si="34"/>
        <v>4.5449406106717136</v>
      </c>
      <c r="M29" s="8">
        <f t="shared" si="35"/>
        <v>4.802527777933113</v>
      </c>
      <c r="N29" s="8">
        <f t="shared" si="36"/>
        <v>5.1743661748886822</v>
      </c>
      <c r="O29" s="8">
        <f t="shared" si="37"/>
        <v>5.4517145554614546</v>
      </c>
      <c r="P29" s="11">
        <f t="shared" si="38"/>
        <v>5.0048868649016399E-2</v>
      </c>
      <c r="Q29" s="11">
        <f t="shared" si="39"/>
        <v>2.1967026359540345</v>
      </c>
      <c r="R29" s="11">
        <f t="shared" si="40"/>
        <v>0.16600000000000001</v>
      </c>
      <c r="S29" s="12">
        <f t="shared" si="41"/>
        <v>-198</v>
      </c>
      <c r="T29" s="12">
        <f t="shared" si="30"/>
        <v>792</v>
      </c>
      <c r="U29" s="12">
        <f t="shared" si="42"/>
        <v>368</v>
      </c>
      <c r="V29" s="13">
        <f t="shared" si="43"/>
        <v>804</v>
      </c>
      <c r="W29" s="15">
        <f t="shared" si="44"/>
        <v>2.4540000000000002</v>
      </c>
      <c r="X29" s="35"/>
      <c r="Y29" s="18">
        <f t="shared" si="45"/>
        <v>199.2</v>
      </c>
      <c r="Z29" s="18">
        <f t="shared" si="46"/>
        <v>297.7</v>
      </c>
      <c r="AA29" s="18">
        <f t="shared" si="47"/>
        <v>209.4</v>
      </c>
      <c r="AC29" s="23">
        <f t="shared" si="48"/>
        <v>1025.4000000000001</v>
      </c>
      <c r="AD29" s="23">
        <f t="shared" si="49"/>
        <v>933.56487725923932</v>
      </c>
      <c r="AE29" s="23">
        <f t="shared" si="50"/>
        <v>839.5742358078603</v>
      </c>
      <c r="AF29" s="23">
        <f t="shared" si="51"/>
        <v>684.51268357810409</v>
      </c>
      <c r="AG29" s="23">
        <f t="shared" si="52"/>
        <v>543.88260254596889</v>
      </c>
      <c r="AH29" s="23">
        <f t="shared" si="53"/>
        <v>342.71390374331548</v>
      </c>
      <c r="AI29" s="23">
        <f t="shared" si="54"/>
        <v>225.79271873165004</v>
      </c>
    </row>
    <row r="30" spans="1:36">
      <c r="A30" s="29">
        <v>1404</v>
      </c>
      <c r="B30" s="30">
        <v>1020.2</v>
      </c>
      <c r="C30" s="30">
        <v>950</v>
      </c>
      <c r="D30" s="30">
        <v>826.7</v>
      </c>
      <c r="E30" s="30">
        <v>674.8</v>
      </c>
      <c r="F30" s="30">
        <v>528.9</v>
      </c>
      <c r="G30" s="30">
        <v>319.39999999999998</v>
      </c>
      <c r="H30" s="31">
        <v>198.1</v>
      </c>
      <c r="I30" s="9">
        <f t="shared" si="31"/>
        <v>1.0202</v>
      </c>
      <c r="J30" s="8">
        <f t="shared" si="32"/>
        <v>3.6979172796719824</v>
      </c>
      <c r="K30" s="8">
        <f t="shared" si="33"/>
        <v>4.1986368045581832</v>
      </c>
      <c r="L30" s="8">
        <f t="shared" si="34"/>
        <v>4.5384510321453773</v>
      </c>
      <c r="M30" s="8">
        <f t="shared" si="35"/>
        <v>4.7972769699468625</v>
      </c>
      <c r="N30" s="8">
        <f t="shared" si="36"/>
        <v>5.1705629541885854</v>
      </c>
      <c r="O30" s="8">
        <f t="shared" si="37"/>
        <v>5.447343945497626</v>
      </c>
      <c r="P30" s="11">
        <f t="shared" si="38"/>
        <v>5.0962682346343664E-2</v>
      </c>
      <c r="Q30" s="11">
        <f t="shared" si="39"/>
        <v>2.1921325826457236</v>
      </c>
      <c r="R30" s="11">
        <f t="shared" si="40"/>
        <v>0.16400000000000001</v>
      </c>
      <c r="S30" s="12">
        <f t="shared" si="41"/>
        <v>-202</v>
      </c>
      <c r="T30" s="12">
        <f t="shared" si="30"/>
        <v>808</v>
      </c>
      <c r="U30" s="12">
        <f t="shared" si="42"/>
        <v>370</v>
      </c>
      <c r="V30" s="13">
        <f t="shared" si="43"/>
        <v>804</v>
      </c>
      <c r="W30" s="15">
        <f t="shared" si="44"/>
        <v>2.4689999999999999</v>
      </c>
      <c r="X30" s="35"/>
      <c r="Y30" s="18">
        <f t="shared" si="45"/>
        <v>193.5</v>
      </c>
      <c r="Z30" s="18">
        <f t="shared" si="46"/>
        <v>297.8</v>
      </c>
      <c r="AA30" s="18">
        <f t="shared" si="47"/>
        <v>209.5</v>
      </c>
      <c r="AC30" s="23">
        <f t="shared" si="48"/>
        <v>1020.2000000000003</v>
      </c>
      <c r="AD30" s="23">
        <f t="shared" si="49"/>
        <v>929.83391844450466</v>
      </c>
      <c r="AE30" s="23">
        <f t="shared" si="50"/>
        <v>837.14442013129121</v>
      </c>
      <c r="AF30" s="23">
        <f t="shared" si="51"/>
        <v>683.78016085790898</v>
      </c>
      <c r="AG30" s="23">
        <f t="shared" si="52"/>
        <v>544.20341394025616</v>
      </c>
      <c r="AH30" s="23">
        <f t="shared" si="53"/>
        <v>343.73315363881409</v>
      </c>
      <c r="AI30" s="23">
        <f t="shared" si="54"/>
        <v>226.77830468286905</v>
      </c>
    </row>
    <row r="31" spans="1:36" ht="13.5" thickBot="1">
      <c r="A31" s="32">
        <v>1396</v>
      </c>
      <c r="B31" s="33">
        <v>1016.7</v>
      </c>
      <c r="C31" s="33">
        <v>944.5</v>
      </c>
      <c r="D31" s="33">
        <v>822.7</v>
      </c>
      <c r="E31" s="33">
        <v>672.9</v>
      </c>
      <c r="F31" s="33">
        <v>528.29999999999995</v>
      </c>
      <c r="G31" s="33">
        <v>318.8</v>
      </c>
      <c r="H31" s="34">
        <v>198.2</v>
      </c>
      <c r="I31" s="9">
        <f t="shared" si="31"/>
        <v>1.0166999999999999</v>
      </c>
      <c r="J31" s="8">
        <f t="shared" si="32"/>
        <v>3.712639008142812</v>
      </c>
      <c r="K31" s="8">
        <f t="shared" si="33"/>
        <v>4.2018640054550564</v>
      </c>
      <c r="L31" s="8">
        <f t="shared" si="34"/>
        <v>4.5376591168794285</v>
      </c>
      <c r="M31" s="8">
        <f t="shared" si="35"/>
        <v>4.7951988174169307</v>
      </c>
      <c r="N31" s="8">
        <f t="shared" si="36"/>
        <v>5.1695786584328625</v>
      </c>
      <c r="O31" s="8">
        <f t="shared" si="37"/>
        <v>5.4452188064297289</v>
      </c>
      <c r="P31" s="11">
        <f t="shared" si="38"/>
        <v>5.7448990877223501E-2</v>
      </c>
      <c r="Q31" s="11">
        <f t="shared" si="39"/>
        <v>2.1736500079078778</v>
      </c>
      <c r="R31" s="11">
        <f t="shared" si="40"/>
        <v>0.16500000000000001</v>
      </c>
      <c r="S31" s="12">
        <f t="shared" si="41"/>
        <v>-201</v>
      </c>
      <c r="T31" s="12">
        <f t="shared" si="30"/>
        <v>804</v>
      </c>
      <c r="U31" s="12">
        <f t="shared" si="42"/>
        <v>369</v>
      </c>
      <c r="V31" s="13">
        <f t="shared" si="43"/>
        <v>799</v>
      </c>
      <c r="W31" s="15">
        <f t="shared" si="44"/>
        <v>2.4620000000000002</v>
      </c>
      <c r="X31" s="35"/>
      <c r="Y31" s="18">
        <f t="shared" si="45"/>
        <v>194</v>
      </c>
      <c r="Z31" s="18">
        <f t="shared" si="46"/>
        <v>294.39999999999998</v>
      </c>
      <c r="AA31" s="18">
        <f t="shared" si="47"/>
        <v>209.5</v>
      </c>
      <c r="AC31" s="23">
        <f t="shared" si="48"/>
        <v>1016.7000000000003</v>
      </c>
      <c r="AD31" s="23">
        <f t="shared" si="49"/>
        <v>926.14372469635646</v>
      </c>
      <c r="AE31" s="23">
        <f t="shared" si="50"/>
        <v>833.36065573770509</v>
      </c>
      <c r="AF31" s="23">
        <f t="shared" si="51"/>
        <v>680.06688963210718</v>
      </c>
      <c r="AG31" s="23">
        <f t="shared" si="52"/>
        <v>540.79787234042567</v>
      </c>
      <c r="AH31" s="23">
        <f t="shared" si="53"/>
        <v>341.1744966442954</v>
      </c>
      <c r="AI31" s="23">
        <f t="shared" si="54"/>
        <v>224.93362831858411</v>
      </c>
    </row>
    <row r="32" spans="1:36">
      <c r="A32" s="24">
        <f>AVERAGE(A20:A23)</f>
        <v>381</v>
      </c>
      <c r="B32" s="24">
        <f>AVERAGE(B20:B23)</f>
        <v>372.92500000000001</v>
      </c>
      <c r="C32" s="24">
        <f t="shared" ref="C32:AA32" si="55">AVERAGE(C20:C23)</f>
        <v>339.25</v>
      </c>
      <c r="D32" s="24">
        <f t="shared" si="55"/>
        <v>293.625</v>
      </c>
      <c r="E32" s="24">
        <f t="shared" si="55"/>
        <v>227.67500000000001</v>
      </c>
      <c r="F32" s="24">
        <f t="shared" si="55"/>
        <v>173.375</v>
      </c>
      <c r="G32" s="24">
        <f t="shared" si="55"/>
        <v>95.05</v>
      </c>
      <c r="H32" s="24">
        <f t="shared" si="55"/>
        <v>55.174999999999997</v>
      </c>
      <c r="I32" s="24">
        <f t="shared" si="55"/>
        <v>0.37292500000000001</v>
      </c>
      <c r="J32" s="24">
        <f t="shared" si="55"/>
        <v>3.8262370604140461</v>
      </c>
      <c r="K32" s="24">
        <f t="shared" si="55"/>
        <v>4.2610087325781363</v>
      </c>
      <c r="L32" s="24">
        <f t="shared" si="55"/>
        <v>4.6341861751702389</v>
      </c>
      <c r="M32" s="24">
        <f t="shared" si="55"/>
        <v>4.8903073041982834</v>
      </c>
      <c r="N32" s="24">
        <f t="shared" si="55"/>
        <v>5.2948860410404395</v>
      </c>
      <c r="O32" s="24">
        <f t="shared" si="55"/>
        <v>5.5893432904530611</v>
      </c>
      <c r="P32" s="24">
        <f t="shared" si="55"/>
        <v>5.1391401453832704E-2</v>
      </c>
      <c r="Q32" s="24">
        <f t="shared" si="55"/>
        <v>2.2356926527143126</v>
      </c>
      <c r="R32" s="24">
        <f t="shared" si="55"/>
        <v>0.20699999999999999</v>
      </c>
      <c r="S32" s="24">
        <f t="shared" si="55"/>
        <v>-437.5</v>
      </c>
      <c r="T32" s="24">
        <f t="shared" si="55"/>
        <v>1750</v>
      </c>
      <c r="U32" s="24">
        <f t="shared" si="55"/>
        <v>329.5</v>
      </c>
      <c r="V32" s="24">
        <f t="shared" si="55"/>
        <v>269</v>
      </c>
      <c r="W32" s="24">
        <f t="shared" si="55"/>
        <v>2.198</v>
      </c>
      <c r="X32" s="36">
        <f>SLOPE(W32:W34,A32:A34)</f>
        <v>2.6413033150991035E-4</v>
      </c>
      <c r="Y32" s="24">
        <f t="shared" si="55"/>
        <v>79.3</v>
      </c>
      <c r="Z32" s="24">
        <f t="shared" si="55"/>
        <v>120.25</v>
      </c>
      <c r="AA32" s="24">
        <f t="shared" si="55"/>
        <v>78.325000000000003</v>
      </c>
      <c r="AB32"/>
      <c r="AC32" s="24">
        <f t="shared" ref="AC32:AI32" si="56">AVERAGE(AC20:AC23)</f>
        <v>372.92499999999995</v>
      </c>
      <c r="AD32" s="24">
        <f t="shared" si="56"/>
        <v>332.18237998380795</v>
      </c>
      <c r="AE32" s="24">
        <f t="shared" si="56"/>
        <v>292.26972867253909</v>
      </c>
      <c r="AF32" s="24">
        <f t="shared" si="56"/>
        <v>230.07269311749457</v>
      </c>
      <c r="AG32" s="24">
        <f t="shared" si="56"/>
        <v>177.26226524696651</v>
      </c>
      <c r="AH32" s="24">
        <f t="shared" si="56"/>
        <v>107.05472002177581</v>
      </c>
      <c r="AI32" s="24">
        <f t="shared" si="56"/>
        <v>68.868221079963575</v>
      </c>
    </row>
    <row r="33" spans="1:36">
      <c r="A33" s="24">
        <f>AVERAGE(A24:A27)</f>
        <v>715.25</v>
      </c>
      <c r="B33" s="24">
        <f>AVERAGE(B24:B27)</f>
        <v>619.42499999999995</v>
      </c>
      <c r="C33" s="24">
        <f t="shared" ref="C33:AA33" si="57">AVERAGE(C24:C27)</f>
        <v>564.52499999999998</v>
      </c>
      <c r="D33" s="24">
        <f t="shared" si="57"/>
        <v>493.07499999999999</v>
      </c>
      <c r="E33" s="24">
        <f t="shared" si="57"/>
        <v>390.25</v>
      </c>
      <c r="F33" s="24">
        <f t="shared" si="57"/>
        <v>302.52499999999998</v>
      </c>
      <c r="G33" s="24">
        <f t="shared" si="57"/>
        <v>174.97499999999999</v>
      </c>
      <c r="H33" s="24">
        <f t="shared" si="57"/>
        <v>104.15</v>
      </c>
      <c r="I33" s="24">
        <f t="shared" si="57"/>
        <v>0.61942500000000011</v>
      </c>
      <c r="J33" s="24">
        <f t="shared" si="57"/>
        <v>3.8171912739619565</v>
      </c>
      <c r="K33" s="24">
        <f t="shared" si="57"/>
        <v>4.2380184062921291</v>
      </c>
      <c r="L33" s="24">
        <f t="shared" si="57"/>
        <v>4.5980870001527494</v>
      </c>
      <c r="M33" s="24">
        <f t="shared" si="57"/>
        <v>4.8494178248765918</v>
      </c>
      <c r="N33" s="24">
        <f t="shared" si="57"/>
        <v>5.2340481095541431</v>
      </c>
      <c r="O33" s="24">
        <f t="shared" si="57"/>
        <v>5.5235645556772344</v>
      </c>
      <c r="P33" s="24">
        <f t="shared" si="57"/>
        <v>7.3558918513667873E-2</v>
      </c>
      <c r="Q33" s="24">
        <f t="shared" si="57"/>
        <v>2.1616276503448897</v>
      </c>
      <c r="R33" s="24">
        <f t="shared" si="57"/>
        <v>0.1915</v>
      </c>
      <c r="S33" s="24">
        <f t="shared" si="57"/>
        <v>-284.75</v>
      </c>
      <c r="T33" s="24">
        <f t="shared" si="57"/>
        <v>1139</v>
      </c>
      <c r="U33" s="24">
        <f t="shared" si="57"/>
        <v>342.75</v>
      </c>
      <c r="V33" s="24">
        <f t="shared" si="57"/>
        <v>460.5</v>
      </c>
      <c r="W33" s="24">
        <f t="shared" si="57"/>
        <v>2.2850000000000001</v>
      </c>
      <c r="X33" s="24"/>
      <c r="Y33" s="24">
        <f t="shared" si="57"/>
        <v>126.35</v>
      </c>
      <c r="Z33" s="24">
        <f t="shared" si="57"/>
        <v>190.55</v>
      </c>
      <c r="AA33" s="24">
        <f t="shared" si="57"/>
        <v>127.55</v>
      </c>
      <c r="AB33" s="24">
        <f>AC33/AC32</f>
        <v>1.6609908158476907</v>
      </c>
      <c r="AC33" s="24">
        <f t="shared" ref="AC33:AI33" si="58">AVERAGE(AC24:AC27)</f>
        <v>619.42499999999995</v>
      </c>
      <c r="AD33" s="24">
        <f t="shared" si="58"/>
        <v>556.30397546459437</v>
      </c>
      <c r="AE33" s="24">
        <f t="shared" si="58"/>
        <v>493.45002408920413</v>
      </c>
      <c r="AF33" s="24">
        <f t="shared" si="58"/>
        <v>393.43428041770477</v>
      </c>
      <c r="AG33" s="24">
        <f t="shared" si="58"/>
        <v>306.47091946197332</v>
      </c>
      <c r="AH33" s="24">
        <f t="shared" si="58"/>
        <v>187.84318584216527</v>
      </c>
      <c r="AI33" s="24">
        <f t="shared" si="58"/>
        <v>121.82550005102831</v>
      </c>
      <c r="AJ33" s="1">
        <f>AI33/AI32</f>
        <v>1.7689653971107446</v>
      </c>
    </row>
    <row r="34" spans="1:36" ht="13.5" thickBot="1">
      <c r="A34" s="24">
        <f>AVERAGE(A28:A31)</f>
        <v>1394.75</v>
      </c>
      <c r="B34" s="24">
        <f>AVERAGE(B28:B31)</f>
        <v>1018.575</v>
      </c>
      <c r="C34" s="24">
        <f t="shared" ref="C34:AA34" si="59">AVERAGE(C28:C31)</f>
        <v>950.375</v>
      </c>
      <c r="D34" s="24">
        <f t="shared" si="59"/>
        <v>822.97499999999991</v>
      </c>
      <c r="E34" s="24">
        <f t="shared" si="59"/>
        <v>670.625</v>
      </c>
      <c r="F34" s="24">
        <f t="shared" si="59"/>
        <v>525.82500000000005</v>
      </c>
      <c r="G34" s="24">
        <f t="shared" si="59"/>
        <v>316.60000000000002</v>
      </c>
      <c r="H34" s="24">
        <f t="shared" si="59"/>
        <v>195.67500000000001</v>
      </c>
      <c r="I34" s="24">
        <f t="shared" si="59"/>
        <v>1.018575</v>
      </c>
      <c r="J34" s="24">
        <f t="shared" si="59"/>
        <v>3.6842365549736509</v>
      </c>
      <c r="K34" s="24">
        <f t="shared" si="59"/>
        <v>4.2052633820702461</v>
      </c>
      <c r="L34" s="24">
        <f t="shared" si="59"/>
        <v>4.5443383151159518</v>
      </c>
      <c r="M34" s="24">
        <f t="shared" si="59"/>
        <v>4.8010978831370119</v>
      </c>
      <c r="N34" s="24">
        <f t="shared" si="59"/>
        <v>5.1751515246486184</v>
      </c>
      <c r="O34" s="24">
        <f t="shared" si="59"/>
        <v>5.4532004309966196</v>
      </c>
      <c r="P34" s="24">
        <f t="shared" si="59"/>
        <v>4.726969763272431E-2</v>
      </c>
      <c r="Q34" s="24">
        <f t="shared" si="59"/>
        <v>2.2092938143163612</v>
      </c>
      <c r="R34" s="24">
        <f t="shared" si="59"/>
        <v>0.16450000000000001</v>
      </c>
      <c r="S34" s="24">
        <f t="shared" si="59"/>
        <v>-201.5</v>
      </c>
      <c r="T34" s="24">
        <f t="shared" si="59"/>
        <v>806</v>
      </c>
      <c r="U34" s="24">
        <f t="shared" si="59"/>
        <v>369.75</v>
      </c>
      <c r="V34" s="24">
        <f t="shared" si="59"/>
        <v>801.5</v>
      </c>
      <c r="W34" s="24">
        <f t="shared" si="59"/>
        <v>2.4655</v>
      </c>
      <c r="X34" s="24"/>
      <c r="Y34" s="24">
        <f t="shared" si="59"/>
        <v>195.6</v>
      </c>
      <c r="Z34" s="24">
        <f t="shared" si="59"/>
        <v>297.14999999999998</v>
      </c>
      <c r="AA34" s="24">
        <f t="shared" si="59"/>
        <v>209.22499999999999</v>
      </c>
      <c r="AB34" s="24">
        <f>AC34/AC32</f>
        <v>2.7313132667426432</v>
      </c>
      <c r="AC34" s="24">
        <f t="shared" ref="AC34:AI34" si="60">AVERAGE(AC28:AC31)</f>
        <v>1018.5750000000002</v>
      </c>
      <c r="AD34" s="24">
        <f t="shared" si="60"/>
        <v>928.10030181037371</v>
      </c>
      <c r="AE34" s="24">
        <f t="shared" si="60"/>
        <v>835.35115322041895</v>
      </c>
      <c r="AF34" s="24">
        <f t="shared" si="60"/>
        <v>682.00262659963585</v>
      </c>
      <c r="AG34" s="24">
        <f t="shared" si="60"/>
        <v>542.56334025231183</v>
      </c>
      <c r="AH34" s="24">
        <f t="shared" si="60"/>
        <v>342.4940217948336</v>
      </c>
      <c r="AI34" s="24">
        <f t="shared" si="60"/>
        <v>225.8830122483443</v>
      </c>
      <c r="AJ34" s="1">
        <f>AI34/AI32</f>
        <v>3.2799309856729026</v>
      </c>
    </row>
    <row r="35" spans="1:36">
      <c r="A35" s="26">
        <v>370</v>
      </c>
      <c r="B35" s="27">
        <v>371.1</v>
      </c>
      <c r="C35" s="27">
        <v>348.3</v>
      </c>
      <c r="D35" s="27">
        <v>306.7</v>
      </c>
      <c r="E35" s="27">
        <v>238.6</v>
      </c>
      <c r="F35" s="27">
        <v>181</v>
      </c>
      <c r="G35" s="27">
        <v>100.3</v>
      </c>
      <c r="H35" s="28">
        <v>56.5</v>
      </c>
      <c r="I35" s="9">
        <f t="shared" si="31"/>
        <v>0.37110000000000004</v>
      </c>
      <c r="J35" s="8">
        <f t="shared" si="32"/>
        <v>3.6452851453732427</v>
      </c>
      <c r="K35" s="8">
        <f t="shared" si="33"/>
        <v>4.1514758642083516</v>
      </c>
      <c r="L35" s="8">
        <f t="shared" si="34"/>
        <v>4.5738492117695282</v>
      </c>
      <c r="M35" s="8">
        <f t="shared" si="35"/>
        <v>4.8506073148272835</v>
      </c>
      <c r="N35" s="8">
        <f t="shared" si="36"/>
        <v>5.2606514998237133</v>
      </c>
      <c r="O35" s="8">
        <f t="shared" si="37"/>
        <v>5.5750140432988546</v>
      </c>
      <c r="P35" s="11">
        <f t="shared" si="38"/>
        <v>1.2038156208164287E-2</v>
      </c>
      <c r="Q35" s="11">
        <f t="shared" si="39"/>
        <v>2.4363524232147666</v>
      </c>
      <c r="R35" s="11">
        <f t="shared" si="40"/>
        <v>0.17</v>
      </c>
      <c r="S35" s="12">
        <f t="shared" si="41"/>
        <v>-535</v>
      </c>
      <c r="T35" s="12">
        <f t="shared" si="30"/>
        <v>2140</v>
      </c>
      <c r="U35" s="12">
        <f t="shared" si="42"/>
        <v>364</v>
      </c>
      <c r="V35" s="13">
        <f t="shared" si="43"/>
        <v>289</v>
      </c>
      <c r="W35" s="15">
        <f t="shared" si="44"/>
        <v>2.4249999999999998</v>
      </c>
      <c r="X35" s="35"/>
      <c r="Y35" s="18">
        <f t="shared" si="45"/>
        <v>64.400000000000006</v>
      </c>
      <c r="Z35" s="18">
        <f t="shared" si="46"/>
        <v>125.7</v>
      </c>
      <c r="AA35" s="18">
        <f t="shared" si="47"/>
        <v>80.7</v>
      </c>
      <c r="AC35" s="23">
        <f t="shared" si="48"/>
        <v>371.10000000000008</v>
      </c>
      <c r="AD35" s="23">
        <f t="shared" si="49"/>
        <v>337.13660834454919</v>
      </c>
      <c r="AE35" s="23">
        <f t="shared" si="50"/>
        <v>302.5271739130435</v>
      </c>
      <c r="AF35" s="23">
        <f t="shared" si="51"/>
        <v>245.76158940397355</v>
      </c>
      <c r="AG35" s="23">
        <f t="shared" si="52"/>
        <v>194.63286713286718</v>
      </c>
      <c r="AH35" s="23">
        <f t="shared" si="53"/>
        <v>122.07236842105264</v>
      </c>
      <c r="AI35" s="23">
        <f t="shared" si="54"/>
        <v>80.208933717579256</v>
      </c>
    </row>
    <row r="36" spans="1:36">
      <c r="A36" s="29">
        <v>359</v>
      </c>
      <c r="B36" s="30">
        <v>353.3</v>
      </c>
      <c r="C36" s="30">
        <v>329.9</v>
      </c>
      <c r="D36" s="30">
        <v>291</v>
      </c>
      <c r="E36" s="30">
        <v>226.6</v>
      </c>
      <c r="F36" s="30">
        <v>174.3</v>
      </c>
      <c r="G36" s="30">
        <v>98.2</v>
      </c>
      <c r="H36" s="31">
        <v>56.5</v>
      </c>
      <c r="I36" s="9">
        <f t="shared" si="31"/>
        <v>0.3533</v>
      </c>
      <c r="J36" s="8">
        <f t="shared" si="32"/>
        <v>3.6801373146958247</v>
      </c>
      <c r="K36" s="8">
        <f t="shared" si="33"/>
        <v>4.1598988305042868</v>
      </c>
      <c r="L36" s="8">
        <f t="shared" si="34"/>
        <v>4.5768204821870881</v>
      </c>
      <c r="M36" s="8">
        <f t="shared" si="35"/>
        <v>4.8408594167009253</v>
      </c>
      <c r="N36" s="8">
        <f t="shared" si="36"/>
        <v>5.243902743653865</v>
      </c>
      <c r="O36" s="8">
        <f t="shared" si="37"/>
        <v>5.5497192216185756</v>
      </c>
      <c r="P36" s="11">
        <f t="shared" si="38"/>
        <v>1.8782399092739131E-2</v>
      </c>
      <c r="Q36" s="11">
        <f t="shared" si="39"/>
        <v>2.3646479351655767</v>
      </c>
      <c r="R36" s="11">
        <f t="shared" si="40"/>
        <v>0.17199999999999999</v>
      </c>
      <c r="S36" s="12">
        <f t="shared" si="41"/>
        <v>-555</v>
      </c>
      <c r="T36" s="12">
        <f t="shared" si="30"/>
        <v>2220</v>
      </c>
      <c r="U36" s="12">
        <f t="shared" si="42"/>
        <v>362</v>
      </c>
      <c r="V36" s="13">
        <f t="shared" si="43"/>
        <v>274</v>
      </c>
      <c r="W36" s="15">
        <f t="shared" si="44"/>
        <v>2.411</v>
      </c>
      <c r="X36" s="35"/>
      <c r="Y36" s="18">
        <f t="shared" si="45"/>
        <v>62.3</v>
      </c>
      <c r="Z36" s="18">
        <f t="shared" si="46"/>
        <v>116.7</v>
      </c>
      <c r="AA36" s="18">
        <f t="shared" si="47"/>
        <v>76.099999999999994</v>
      </c>
      <c r="AC36" s="23">
        <f t="shared" si="48"/>
        <v>353.30000000000007</v>
      </c>
      <c r="AD36" s="23">
        <f t="shared" si="49"/>
        <v>320.62046248991669</v>
      </c>
      <c r="AE36" s="23">
        <f t="shared" si="50"/>
        <v>287.3915401301519</v>
      </c>
      <c r="AF36" s="23">
        <f t="shared" si="51"/>
        <v>233.04749340369398</v>
      </c>
      <c r="AG36" s="23">
        <f t="shared" si="52"/>
        <v>184.26634214186373</v>
      </c>
      <c r="AH36" s="23">
        <f t="shared" si="53"/>
        <v>115.30678851174936</v>
      </c>
      <c r="AI36" s="23">
        <f t="shared" si="54"/>
        <v>75.663906339234728</v>
      </c>
    </row>
    <row r="37" spans="1:36">
      <c r="A37" s="29">
        <v>360</v>
      </c>
      <c r="B37" s="30">
        <v>346.2</v>
      </c>
      <c r="C37" s="30">
        <v>323</v>
      </c>
      <c r="D37" s="30">
        <v>285.2</v>
      </c>
      <c r="E37" s="30">
        <v>222.7</v>
      </c>
      <c r="F37" s="30">
        <v>171.9</v>
      </c>
      <c r="G37" s="30">
        <v>97.3</v>
      </c>
      <c r="H37" s="31">
        <v>56.3</v>
      </c>
      <c r="I37" s="9">
        <f t="shared" si="31"/>
        <v>0.34620000000000001</v>
      </c>
      <c r="J37" s="8">
        <f t="shared" si="32"/>
        <v>3.6855892353908222</v>
      </c>
      <c r="K37" s="8">
        <f t="shared" si="33"/>
        <v>4.1594840866619638</v>
      </c>
      <c r="L37" s="8">
        <f t="shared" si="34"/>
        <v>4.5732505133926713</v>
      </c>
      <c r="M37" s="8">
        <f t="shared" si="35"/>
        <v>4.8353252832539653</v>
      </c>
      <c r="N37" s="8">
        <f t="shared" si="36"/>
        <v>5.2372158291712658</v>
      </c>
      <c r="O37" s="8">
        <f t="shared" si="37"/>
        <v>5.5410435933346758</v>
      </c>
      <c r="P37" s="11">
        <f t="shared" si="38"/>
        <v>2.0717632024612912E-2</v>
      </c>
      <c r="Q37" s="11">
        <f t="shared" si="39"/>
        <v>2.3477197316646685</v>
      </c>
      <c r="R37" s="11">
        <f t="shared" si="40"/>
        <v>0.17100000000000001</v>
      </c>
      <c r="S37" s="12">
        <f t="shared" si="41"/>
        <v>-570</v>
      </c>
      <c r="T37" s="12">
        <f t="shared" si="30"/>
        <v>2280</v>
      </c>
      <c r="U37" s="12">
        <f t="shared" si="42"/>
        <v>363</v>
      </c>
      <c r="V37" s="13">
        <f t="shared" si="43"/>
        <v>269</v>
      </c>
      <c r="W37" s="15">
        <f t="shared" si="44"/>
        <v>2.4180000000000001</v>
      </c>
      <c r="X37" s="35"/>
      <c r="Y37" s="18">
        <f t="shared" si="45"/>
        <v>61</v>
      </c>
      <c r="Z37" s="18">
        <f t="shared" si="46"/>
        <v>113.3</v>
      </c>
      <c r="AA37" s="18">
        <f t="shared" si="47"/>
        <v>74.599999999999994</v>
      </c>
      <c r="AC37" s="23">
        <f t="shared" si="48"/>
        <v>346.19999999999993</v>
      </c>
      <c r="AD37" s="23">
        <f t="shared" si="49"/>
        <v>314.34624697336557</v>
      </c>
      <c r="AE37" s="23">
        <f t="shared" si="50"/>
        <v>281.92182410423447</v>
      </c>
      <c r="AF37" s="23">
        <f t="shared" si="51"/>
        <v>228.81692002643751</v>
      </c>
      <c r="AG37" s="23">
        <f t="shared" si="52"/>
        <v>181.06694560669453</v>
      </c>
      <c r="AH37" s="23">
        <f t="shared" si="53"/>
        <v>113.43381389252947</v>
      </c>
      <c r="AI37" s="23">
        <f t="shared" si="54"/>
        <v>74.483648881239233</v>
      </c>
    </row>
    <row r="38" spans="1:36">
      <c r="A38" s="29">
        <v>363</v>
      </c>
      <c r="B38" s="30">
        <v>347.2</v>
      </c>
      <c r="C38" s="30">
        <v>322.60000000000002</v>
      </c>
      <c r="D38" s="30">
        <v>284.89999999999998</v>
      </c>
      <c r="E38" s="30">
        <v>222.7</v>
      </c>
      <c r="F38" s="30">
        <v>171.8</v>
      </c>
      <c r="G38" s="30">
        <v>97.6</v>
      </c>
      <c r="H38" s="31">
        <v>56.1</v>
      </c>
      <c r="I38" s="9">
        <f t="shared" si="31"/>
        <v>0.34720000000000001</v>
      </c>
      <c r="J38" s="8">
        <f t="shared" si="32"/>
        <v>3.7115745168814613</v>
      </c>
      <c r="K38" s="8">
        <f t="shared" si="33"/>
        <v>4.1690993702507182</v>
      </c>
      <c r="L38" s="8">
        <f t="shared" si="34"/>
        <v>4.5767529072287418</v>
      </c>
      <c r="M38" s="8">
        <f t="shared" si="35"/>
        <v>4.8383102023658235</v>
      </c>
      <c r="N38" s="8">
        <f t="shared" si="36"/>
        <v>5.2370985361747193</v>
      </c>
      <c r="O38" s="8">
        <f t="shared" si="37"/>
        <v>5.5443831170136741</v>
      </c>
      <c r="P38" s="11">
        <f t="shared" si="38"/>
        <v>2.4962199536233305E-2</v>
      </c>
      <c r="Q38" s="11">
        <f t="shared" si="39"/>
        <v>2.3206097173110876</v>
      </c>
      <c r="R38" s="11">
        <f t="shared" si="40"/>
        <v>0.17399999999999999</v>
      </c>
      <c r="S38" s="12">
        <f t="shared" si="41"/>
        <v>-559</v>
      </c>
      <c r="T38" s="12">
        <f t="shared" si="30"/>
        <v>2236</v>
      </c>
      <c r="U38" s="12">
        <f t="shared" si="42"/>
        <v>360</v>
      </c>
      <c r="V38" s="13">
        <f t="shared" si="43"/>
        <v>268</v>
      </c>
      <c r="W38" s="15">
        <f t="shared" si="44"/>
        <v>2.3969999999999998</v>
      </c>
      <c r="X38" s="35"/>
      <c r="Y38" s="18">
        <f t="shared" si="45"/>
        <v>62.3</v>
      </c>
      <c r="Z38" s="18">
        <f t="shared" si="46"/>
        <v>113.1</v>
      </c>
      <c r="AA38" s="18">
        <f t="shared" si="47"/>
        <v>74.2</v>
      </c>
      <c r="AC38" s="23">
        <f t="shared" si="48"/>
        <v>347.19999999999993</v>
      </c>
      <c r="AD38" s="23">
        <f t="shared" si="49"/>
        <v>314.74617244157935</v>
      </c>
      <c r="AE38" s="23">
        <f t="shared" si="50"/>
        <v>281.81818181818176</v>
      </c>
      <c r="AF38" s="23">
        <f t="shared" si="51"/>
        <v>228.12089356110377</v>
      </c>
      <c r="AG38" s="23">
        <f t="shared" si="52"/>
        <v>180.08298755186721</v>
      </c>
      <c r="AH38" s="23">
        <f t="shared" si="53"/>
        <v>112.43523316062175</v>
      </c>
      <c r="AI38" s="23">
        <f t="shared" si="54"/>
        <v>73.68421052631578</v>
      </c>
    </row>
    <row r="39" spans="1:36">
      <c r="A39" s="29">
        <v>692</v>
      </c>
      <c r="B39" s="30">
        <v>606.1</v>
      </c>
      <c r="C39" s="30">
        <v>565.6</v>
      </c>
      <c r="D39" s="30">
        <v>501.7</v>
      </c>
      <c r="E39" s="30">
        <v>397.7</v>
      </c>
      <c r="F39" s="30">
        <v>309.7</v>
      </c>
      <c r="G39" s="30">
        <v>182.2</v>
      </c>
      <c r="H39" s="31">
        <v>107.5</v>
      </c>
      <c r="I39" s="9">
        <f t="shared" si="31"/>
        <v>0.60609999999999997</v>
      </c>
      <c r="J39" s="8">
        <f t="shared" si="32"/>
        <v>3.6842493952568502</v>
      </c>
      <c r="K39" s="8">
        <f t="shared" si="33"/>
        <v>4.1475601704695171</v>
      </c>
      <c r="L39" s="8">
        <f t="shared" si="34"/>
        <v>4.5486458964725314</v>
      </c>
      <c r="M39" s="8">
        <f t="shared" si="35"/>
        <v>4.8102407667815292</v>
      </c>
      <c r="N39" s="8">
        <f t="shared" si="36"/>
        <v>5.1960188167622663</v>
      </c>
      <c r="O39" s="8">
        <f t="shared" si="37"/>
        <v>5.4956475827471554</v>
      </c>
      <c r="P39" s="11">
        <f t="shared" si="38"/>
        <v>2.7905394509700244E-2</v>
      </c>
      <c r="Q39" s="11">
        <f t="shared" si="39"/>
        <v>2.2907328627625554</v>
      </c>
      <c r="R39" s="11">
        <f t="shared" si="40"/>
        <v>0.16300000000000001</v>
      </c>
      <c r="S39" s="12">
        <f t="shared" si="41"/>
        <v>-342</v>
      </c>
      <c r="T39" s="12">
        <f t="shared" si="30"/>
        <v>1368</v>
      </c>
      <c r="U39" s="12">
        <f t="shared" si="42"/>
        <v>372</v>
      </c>
      <c r="V39" s="13">
        <f t="shared" si="43"/>
        <v>479</v>
      </c>
      <c r="W39" s="15">
        <f t="shared" si="44"/>
        <v>2.4769999999999999</v>
      </c>
      <c r="X39" s="35"/>
      <c r="Y39" s="18">
        <f t="shared" si="45"/>
        <v>104.4</v>
      </c>
      <c r="Z39" s="18">
        <f t="shared" si="46"/>
        <v>192</v>
      </c>
      <c r="AA39" s="18">
        <f t="shared" si="47"/>
        <v>127.5</v>
      </c>
      <c r="AC39" s="23">
        <f t="shared" si="48"/>
        <v>606.10000000000014</v>
      </c>
      <c r="AD39" s="23">
        <f t="shared" si="49"/>
        <v>552.71210483653078</v>
      </c>
      <c r="AE39" s="23">
        <f t="shared" si="50"/>
        <v>497.89156626506031</v>
      </c>
      <c r="AF39" s="23">
        <f t="shared" si="51"/>
        <v>407.05171255876434</v>
      </c>
      <c r="AG39" s="23">
        <f t="shared" si="52"/>
        <v>324.23323823109848</v>
      </c>
      <c r="AH39" s="23">
        <f t="shared" si="53"/>
        <v>205.04059539918813</v>
      </c>
      <c r="AI39" s="23">
        <f t="shared" si="54"/>
        <v>135.37075640262063</v>
      </c>
    </row>
    <row r="40" spans="1:36">
      <c r="A40" s="29">
        <v>719</v>
      </c>
      <c r="B40" s="30">
        <v>614.5</v>
      </c>
      <c r="C40" s="30">
        <v>572.5</v>
      </c>
      <c r="D40" s="30">
        <v>509</v>
      </c>
      <c r="E40" s="30">
        <v>405.1</v>
      </c>
      <c r="F40" s="30">
        <v>315.8</v>
      </c>
      <c r="G40" s="30">
        <v>187.3</v>
      </c>
      <c r="H40" s="31">
        <v>111</v>
      </c>
      <c r="I40" s="9">
        <f t="shared" si="31"/>
        <v>0.61450000000000005</v>
      </c>
      <c r="J40" s="8">
        <f t="shared" si="32"/>
        <v>3.6947775722169998</v>
      </c>
      <c r="K40" s="8">
        <f t="shared" si="33"/>
        <v>4.1458384501279779</v>
      </c>
      <c r="L40" s="8">
        <f t="shared" si="34"/>
        <v>4.5427182069902603</v>
      </c>
      <c r="M40" s="8">
        <f t="shared" si="35"/>
        <v>4.8051268697628773</v>
      </c>
      <c r="N40" s="8">
        <f t="shared" si="36"/>
        <v>5.1873972394762875</v>
      </c>
      <c r="O40" s="8">
        <f t="shared" si="37"/>
        <v>5.4859802689340045</v>
      </c>
      <c r="P40" s="11">
        <f t="shared" si="38"/>
        <v>3.1893113833216288E-2</v>
      </c>
      <c r="Q40" s="11">
        <f t="shared" si="39"/>
        <v>2.2680413680877196</v>
      </c>
      <c r="R40" s="11">
        <f t="shared" si="40"/>
        <v>0.16200000000000001</v>
      </c>
      <c r="S40" s="12">
        <f t="shared" si="41"/>
        <v>-339</v>
      </c>
      <c r="T40" s="12">
        <f t="shared" si="30"/>
        <v>1356</v>
      </c>
      <c r="U40" s="12">
        <f t="shared" si="42"/>
        <v>373</v>
      </c>
      <c r="V40" s="13">
        <f t="shared" si="43"/>
        <v>486</v>
      </c>
      <c r="W40" s="15">
        <f t="shared" si="44"/>
        <v>2.4849999999999999</v>
      </c>
      <c r="X40" s="35"/>
      <c r="Y40" s="18">
        <f t="shared" si="45"/>
        <v>105.5</v>
      </c>
      <c r="Z40" s="18">
        <f t="shared" si="46"/>
        <v>193.2</v>
      </c>
      <c r="AA40" s="18">
        <f t="shared" si="47"/>
        <v>128.5</v>
      </c>
      <c r="AC40" s="23">
        <f t="shared" si="48"/>
        <v>614.5</v>
      </c>
      <c r="AD40" s="23">
        <f t="shared" si="49"/>
        <v>560.67518248175179</v>
      </c>
      <c r="AE40" s="23">
        <f t="shared" si="50"/>
        <v>505.34539473684208</v>
      </c>
      <c r="AF40" s="23">
        <f t="shared" si="51"/>
        <v>413.52624495289365</v>
      </c>
      <c r="AG40" s="23">
        <f t="shared" si="52"/>
        <v>329.66738197424894</v>
      </c>
      <c r="AH40" s="23">
        <f t="shared" si="53"/>
        <v>208.7296195652174</v>
      </c>
      <c r="AI40" s="23">
        <f t="shared" si="54"/>
        <v>137.90394973070019</v>
      </c>
    </row>
    <row r="41" spans="1:36">
      <c r="A41" s="29">
        <v>711</v>
      </c>
      <c r="B41" s="30">
        <v>603.4</v>
      </c>
      <c r="C41" s="30">
        <v>562.29999999999995</v>
      </c>
      <c r="D41" s="30">
        <v>499.8</v>
      </c>
      <c r="E41" s="30">
        <v>398</v>
      </c>
      <c r="F41" s="30">
        <v>310.5</v>
      </c>
      <c r="G41" s="30">
        <v>184.1</v>
      </c>
      <c r="H41" s="31">
        <v>109.3</v>
      </c>
      <c r="I41" s="9">
        <f t="shared" si="31"/>
        <v>0.60339999999999994</v>
      </c>
      <c r="J41" s="8">
        <f t="shared" si="32"/>
        <v>3.6931775111976917</v>
      </c>
      <c r="K41" s="8">
        <f t="shared" si="33"/>
        <v>4.1458672764498079</v>
      </c>
      <c r="L41" s="8">
        <f t="shared" si="34"/>
        <v>4.5420211400185968</v>
      </c>
      <c r="M41" s="8">
        <f t="shared" si="35"/>
        <v>4.8039615400000244</v>
      </c>
      <c r="N41" s="8">
        <f t="shared" si="36"/>
        <v>5.1867748467305788</v>
      </c>
      <c r="O41" s="8">
        <f t="shared" si="37"/>
        <v>5.4844984647707387</v>
      </c>
      <c r="P41" s="11">
        <f t="shared" si="38"/>
        <v>3.1875353865554255E-2</v>
      </c>
      <c r="Q41" s="11">
        <f t="shared" si="39"/>
        <v>2.2677897892647905</v>
      </c>
      <c r="R41" s="11">
        <f t="shared" si="40"/>
        <v>0.16200000000000001</v>
      </c>
      <c r="S41" s="12">
        <f t="shared" si="41"/>
        <v>-345</v>
      </c>
      <c r="T41" s="12">
        <f t="shared" si="30"/>
        <v>1380</v>
      </c>
      <c r="U41" s="12">
        <f t="shared" si="42"/>
        <v>373</v>
      </c>
      <c r="V41" s="13">
        <f t="shared" si="43"/>
        <v>478</v>
      </c>
      <c r="W41" s="15">
        <f t="shared" si="44"/>
        <v>2.4849999999999999</v>
      </c>
      <c r="X41" s="35"/>
      <c r="Y41" s="18">
        <f t="shared" si="45"/>
        <v>103.6</v>
      </c>
      <c r="Z41" s="18">
        <f t="shared" si="46"/>
        <v>189.3</v>
      </c>
      <c r="AA41" s="18">
        <f t="shared" si="47"/>
        <v>126.4</v>
      </c>
      <c r="AC41" s="23">
        <f t="shared" si="48"/>
        <v>603.39999999999986</v>
      </c>
      <c r="AD41" s="23">
        <f t="shared" si="49"/>
        <v>550.54744525547437</v>
      </c>
      <c r="AE41" s="23">
        <f t="shared" si="50"/>
        <v>496.2171052631578</v>
      </c>
      <c r="AF41" s="23">
        <f t="shared" si="51"/>
        <v>406.05652759084785</v>
      </c>
      <c r="AG41" s="23">
        <f t="shared" si="52"/>
        <v>323.71244635193125</v>
      </c>
      <c r="AH41" s="23">
        <f t="shared" si="53"/>
        <v>204.95923913043475</v>
      </c>
      <c r="AI41" s="23">
        <f t="shared" si="54"/>
        <v>135.41292639138237</v>
      </c>
    </row>
    <row r="42" spans="1:36">
      <c r="A42" s="29">
        <v>712</v>
      </c>
      <c r="B42" s="30">
        <v>600.29999999999995</v>
      </c>
      <c r="C42" s="30">
        <v>558.79999999999995</v>
      </c>
      <c r="D42" s="30">
        <v>497.4</v>
      </c>
      <c r="E42" s="30">
        <v>396.2</v>
      </c>
      <c r="F42" s="30">
        <v>308.8</v>
      </c>
      <c r="G42" s="30">
        <v>183.3</v>
      </c>
      <c r="H42" s="31">
        <v>109.3</v>
      </c>
      <c r="I42" s="9">
        <f t="shared" si="31"/>
        <v>0.60029999999999994</v>
      </c>
      <c r="J42" s="8">
        <f t="shared" si="32"/>
        <v>3.7000954721009744</v>
      </c>
      <c r="K42" s="8">
        <f t="shared" si="33"/>
        <v>4.1450133666595406</v>
      </c>
      <c r="L42" s="8">
        <f t="shared" si="34"/>
        <v>4.5412323063445674</v>
      </c>
      <c r="M42" s="8">
        <f t="shared" si="35"/>
        <v>4.8042650402623588</v>
      </c>
      <c r="N42" s="8">
        <f t="shared" si="36"/>
        <v>5.1862773628425654</v>
      </c>
      <c r="O42" s="8">
        <f t="shared" si="37"/>
        <v>5.4817651030042907</v>
      </c>
      <c r="P42" s="11">
        <f t="shared" si="38"/>
        <v>3.3676666497901894E-2</v>
      </c>
      <c r="Q42" s="11">
        <f t="shared" si="39"/>
        <v>2.2591154589809768</v>
      </c>
      <c r="R42" s="11">
        <f t="shared" si="40"/>
        <v>0.16200000000000001</v>
      </c>
      <c r="S42" s="12">
        <f t="shared" si="41"/>
        <v>-347</v>
      </c>
      <c r="T42" s="12">
        <f t="shared" si="30"/>
        <v>1388</v>
      </c>
      <c r="U42" s="12">
        <f t="shared" si="42"/>
        <v>373</v>
      </c>
      <c r="V42" s="13">
        <f t="shared" si="43"/>
        <v>475</v>
      </c>
      <c r="W42" s="15">
        <f t="shared" si="44"/>
        <v>2.4849999999999999</v>
      </c>
      <c r="X42" s="35"/>
      <c r="Y42" s="18">
        <f t="shared" si="45"/>
        <v>102.9</v>
      </c>
      <c r="Z42" s="18">
        <f t="shared" si="46"/>
        <v>188.6</v>
      </c>
      <c r="AA42" s="18">
        <f t="shared" si="47"/>
        <v>125.5</v>
      </c>
      <c r="AC42" s="23">
        <f t="shared" si="48"/>
        <v>600.29999999999995</v>
      </c>
      <c r="AD42" s="23">
        <f t="shared" si="49"/>
        <v>547.71897810218979</v>
      </c>
      <c r="AE42" s="23">
        <f t="shared" si="50"/>
        <v>493.66776315789474</v>
      </c>
      <c r="AF42" s="23">
        <f t="shared" si="51"/>
        <v>403.97039030955585</v>
      </c>
      <c r="AG42" s="23">
        <f t="shared" si="52"/>
        <v>322.04935622317595</v>
      </c>
      <c r="AH42" s="23">
        <f t="shared" si="53"/>
        <v>203.90625</v>
      </c>
      <c r="AI42" s="23">
        <f t="shared" si="54"/>
        <v>134.71723518850987</v>
      </c>
    </row>
    <row r="43" spans="1:36">
      <c r="A43" s="29">
        <v>1377</v>
      </c>
      <c r="B43" s="30">
        <v>993.8</v>
      </c>
      <c r="C43" s="30">
        <v>948.3</v>
      </c>
      <c r="D43" s="30">
        <v>835.1</v>
      </c>
      <c r="E43" s="30">
        <v>668.4</v>
      </c>
      <c r="F43" s="30">
        <v>528.1</v>
      </c>
      <c r="G43" s="30">
        <v>324.7</v>
      </c>
      <c r="H43" s="31">
        <v>199.8</v>
      </c>
      <c r="I43" s="9">
        <f t="shared" si="31"/>
        <v>0.99379999999999991</v>
      </c>
      <c r="J43" s="8">
        <f t="shared" si="32"/>
        <v>3.5103694189288954</v>
      </c>
      <c r="K43" s="8">
        <f t="shared" si="33"/>
        <v>4.1081422159012746</v>
      </c>
      <c r="L43" s="8">
        <f t="shared" si="34"/>
        <v>4.5166848802105113</v>
      </c>
      <c r="M43" s="8">
        <f t="shared" si="35"/>
        <v>4.7746938432752613</v>
      </c>
      <c r="N43" s="8">
        <f t="shared" si="36"/>
        <v>5.143312514084454</v>
      </c>
      <c r="O43" s="8">
        <f t="shared" si="37"/>
        <v>5.4285287913681577</v>
      </c>
      <c r="P43" s="11">
        <f t="shared" si="38"/>
        <v>1.3140125228156888E-2</v>
      </c>
      <c r="Q43" s="11">
        <f t="shared" si="39"/>
        <v>2.3868916325866665</v>
      </c>
      <c r="R43" s="11">
        <f t="shared" si="40"/>
        <v>0.14000000000000001</v>
      </c>
      <c r="S43" s="12">
        <f t="shared" si="41"/>
        <v>-243</v>
      </c>
      <c r="T43" s="12">
        <f t="shared" si="30"/>
        <v>972</v>
      </c>
      <c r="U43" s="12">
        <f t="shared" si="42"/>
        <v>401</v>
      </c>
      <c r="V43" s="13">
        <f t="shared" si="43"/>
        <v>830</v>
      </c>
      <c r="W43" s="15">
        <f t="shared" si="44"/>
        <v>2.673</v>
      </c>
      <c r="X43" s="35"/>
      <c r="Y43" s="18">
        <f t="shared" si="45"/>
        <v>158.69999999999999</v>
      </c>
      <c r="Z43" s="18">
        <f t="shared" si="46"/>
        <v>307</v>
      </c>
      <c r="AA43" s="18">
        <f t="shared" si="47"/>
        <v>203.4</v>
      </c>
      <c r="AC43" s="23">
        <f t="shared" si="48"/>
        <v>993.79999999999984</v>
      </c>
      <c r="AD43" s="23">
        <f t="shared" si="49"/>
        <v>917.66757865937063</v>
      </c>
      <c r="AE43" s="23">
        <f t="shared" si="50"/>
        <v>837.47191011235941</v>
      </c>
      <c r="AF43" s="23">
        <f t="shared" si="51"/>
        <v>699.85915492957736</v>
      </c>
      <c r="AG43" s="23">
        <f t="shared" si="52"/>
        <v>568.96946564885491</v>
      </c>
      <c r="AH43" s="23">
        <f t="shared" si="53"/>
        <v>370.82089552238801</v>
      </c>
      <c r="AI43" s="23">
        <f t="shared" si="54"/>
        <v>249.28093645484947</v>
      </c>
    </row>
    <row r="44" spans="1:36">
      <c r="A44" s="29">
        <v>1398</v>
      </c>
      <c r="B44" s="30">
        <v>997.9</v>
      </c>
      <c r="C44" s="30">
        <v>942.4</v>
      </c>
      <c r="D44" s="30">
        <v>836.9</v>
      </c>
      <c r="E44" s="30">
        <v>670.5</v>
      </c>
      <c r="F44" s="30">
        <v>532.4</v>
      </c>
      <c r="G44" s="30">
        <v>327.2</v>
      </c>
      <c r="H44" s="31">
        <v>200.1</v>
      </c>
      <c r="I44" s="9">
        <f t="shared" si="31"/>
        <v>0.99790000000000001</v>
      </c>
      <c r="J44" s="8">
        <f t="shared" si="32"/>
        <v>3.5993614785106751</v>
      </c>
      <c r="K44" s="8">
        <f t="shared" si="33"/>
        <v>4.1134560810043208</v>
      </c>
      <c r="L44" s="8">
        <f t="shared" si="34"/>
        <v>4.5179836657193295</v>
      </c>
      <c r="M44" s="8">
        <f t="shared" si="35"/>
        <v>4.770985411345749</v>
      </c>
      <c r="N44" s="8">
        <f t="shared" si="36"/>
        <v>5.1410187841723909</v>
      </c>
      <c r="O44" s="8">
        <f t="shared" si="37"/>
        <v>5.4299507161686345</v>
      </c>
      <c r="P44" s="11">
        <f t="shared" si="38"/>
        <v>2.3658689274838128E-2</v>
      </c>
      <c r="Q44" s="11">
        <f t="shared" si="39"/>
        <v>2.2981562993547331</v>
      </c>
      <c r="R44" s="11">
        <f t="shared" si="40"/>
        <v>0.14599999999999999</v>
      </c>
      <c r="S44" s="12">
        <f t="shared" si="41"/>
        <v>-232</v>
      </c>
      <c r="T44" s="12">
        <f t="shared" si="30"/>
        <v>928</v>
      </c>
      <c r="U44" s="12">
        <f t="shared" si="42"/>
        <v>393</v>
      </c>
      <c r="V44" s="13">
        <f t="shared" si="43"/>
        <v>821</v>
      </c>
      <c r="W44" s="15">
        <f t="shared" si="44"/>
        <v>2.617</v>
      </c>
      <c r="X44" s="35"/>
      <c r="Y44" s="18">
        <f t="shared" si="45"/>
        <v>161</v>
      </c>
      <c r="Z44" s="18">
        <f t="shared" si="46"/>
        <v>304.5</v>
      </c>
      <c r="AA44" s="18">
        <f t="shared" si="47"/>
        <v>205.2</v>
      </c>
      <c r="AC44" s="23">
        <f t="shared" si="48"/>
        <v>997.9</v>
      </c>
      <c r="AD44" s="23">
        <f t="shared" si="49"/>
        <v>918.43809653667847</v>
      </c>
      <c r="AE44" s="23">
        <f t="shared" si="50"/>
        <v>835.29575892857144</v>
      </c>
      <c r="AF44" s="23">
        <f t="shared" si="51"/>
        <v>693.94993045897081</v>
      </c>
      <c r="AG44" s="23">
        <f t="shared" si="52"/>
        <v>561.03823088455772</v>
      </c>
      <c r="AH44" s="23">
        <f t="shared" si="53"/>
        <v>362.60901162790697</v>
      </c>
      <c r="AI44" s="23">
        <f t="shared" si="54"/>
        <v>242.52268308489954</v>
      </c>
    </row>
    <row r="45" spans="1:36">
      <c r="A45" s="29">
        <v>1391</v>
      </c>
      <c r="B45" s="30">
        <v>995.3</v>
      </c>
      <c r="C45" s="30">
        <v>937.9</v>
      </c>
      <c r="D45" s="30">
        <v>835.6</v>
      </c>
      <c r="E45" s="30">
        <v>670.1</v>
      </c>
      <c r="F45" s="30">
        <v>531.4</v>
      </c>
      <c r="G45" s="30">
        <v>327.5</v>
      </c>
      <c r="H45" s="31">
        <v>201.8</v>
      </c>
      <c r="I45" s="9">
        <f t="shared" si="31"/>
        <v>0.99529999999999996</v>
      </c>
      <c r="J45" s="8">
        <f t="shared" si="32"/>
        <v>3.6160591293695052</v>
      </c>
      <c r="K45" s="8">
        <f t="shared" si="33"/>
        <v>4.1106102576612367</v>
      </c>
      <c r="L45" s="8">
        <f t="shared" si="34"/>
        <v>4.5153146918171405</v>
      </c>
      <c r="M45" s="8">
        <f t="shared" si="35"/>
        <v>4.7703065952755255</v>
      </c>
      <c r="N45" s="8">
        <f t="shared" si="36"/>
        <v>5.138738883221575</v>
      </c>
      <c r="O45" s="8">
        <f t="shared" si="37"/>
        <v>5.4239295420209999</v>
      </c>
      <c r="P45" s="11">
        <f t="shared" si="38"/>
        <v>2.695231445851028E-2</v>
      </c>
      <c r="Q45" s="11">
        <f t="shared" si="39"/>
        <v>2.2773823895436776</v>
      </c>
      <c r="R45" s="11">
        <f t="shared" si="40"/>
        <v>0.14599999999999999</v>
      </c>
      <c r="S45" s="12">
        <f t="shared" si="41"/>
        <v>-232</v>
      </c>
      <c r="T45" s="12">
        <f t="shared" si="30"/>
        <v>928</v>
      </c>
      <c r="U45" s="12">
        <f t="shared" si="42"/>
        <v>393</v>
      </c>
      <c r="V45" s="13">
        <f t="shared" si="43"/>
        <v>819</v>
      </c>
      <c r="W45" s="15">
        <f t="shared" si="44"/>
        <v>2.617</v>
      </c>
      <c r="X45" s="35"/>
      <c r="Y45" s="18">
        <f t="shared" si="45"/>
        <v>159.69999999999999</v>
      </c>
      <c r="Z45" s="18">
        <f t="shared" si="46"/>
        <v>304.2</v>
      </c>
      <c r="AA45" s="18">
        <f t="shared" si="47"/>
        <v>203.9</v>
      </c>
      <c r="AC45" s="23">
        <f t="shared" si="48"/>
        <v>995.29999999999973</v>
      </c>
      <c r="AD45" s="23">
        <f t="shared" si="49"/>
        <v>916.04513226070333</v>
      </c>
      <c r="AE45" s="23">
        <f t="shared" si="50"/>
        <v>833.119419642857</v>
      </c>
      <c r="AF45" s="23">
        <f t="shared" si="51"/>
        <v>692.14186369958259</v>
      </c>
      <c r="AG45" s="23">
        <f t="shared" si="52"/>
        <v>559.57646176911533</v>
      </c>
      <c r="AH45" s="23">
        <f t="shared" si="53"/>
        <v>361.6642441860464</v>
      </c>
      <c r="AI45" s="23">
        <f t="shared" si="54"/>
        <v>241.89079714841213</v>
      </c>
    </row>
    <row r="46" spans="1:36" ht="13.5" thickBot="1">
      <c r="A46" s="32">
        <v>1388</v>
      </c>
      <c r="B46" s="33">
        <v>993.4</v>
      </c>
      <c r="C46" s="33">
        <v>933.2</v>
      </c>
      <c r="D46" s="33">
        <v>834.8</v>
      </c>
      <c r="E46" s="33">
        <v>669.5</v>
      </c>
      <c r="F46" s="33">
        <v>530.4</v>
      </c>
      <c r="G46" s="33">
        <v>326.89999999999998</v>
      </c>
      <c r="H46" s="34">
        <v>201.5</v>
      </c>
      <c r="I46" s="9">
        <f t="shared" si="31"/>
        <v>0.99339999999999995</v>
      </c>
      <c r="J46" s="8">
        <f t="shared" si="32"/>
        <v>3.6389255339671345</v>
      </c>
      <c r="K46" s="8">
        <f t="shared" si="33"/>
        <v>4.108024515419193</v>
      </c>
      <c r="L46" s="8">
        <f t="shared" si="34"/>
        <v>4.513964139493174</v>
      </c>
      <c r="M46" s="8">
        <f t="shared" si="35"/>
        <v>4.7702812484522612</v>
      </c>
      <c r="N46" s="8">
        <f t="shared" si="36"/>
        <v>5.1386890060005337</v>
      </c>
      <c r="O46" s="8">
        <f t="shared" si="37"/>
        <v>5.4236990653194264</v>
      </c>
      <c r="P46" s="11">
        <f t="shared" si="38"/>
        <v>3.084632804269655E-2</v>
      </c>
      <c r="Q46" s="11">
        <f t="shared" si="39"/>
        <v>2.2568799396686168</v>
      </c>
      <c r="R46" s="11">
        <f t="shared" si="40"/>
        <v>0.14699999999999999</v>
      </c>
      <c r="S46" s="12">
        <f t="shared" si="41"/>
        <v>-231</v>
      </c>
      <c r="T46" s="12">
        <f t="shared" si="30"/>
        <v>924</v>
      </c>
      <c r="U46" s="12">
        <f t="shared" si="42"/>
        <v>391</v>
      </c>
      <c r="V46" s="13">
        <f t="shared" si="43"/>
        <v>815</v>
      </c>
      <c r="W46" s="15">
        <f t="shared" si="44"/>
        <v>2.6080000000000001</v>
      </c>
      <c r="X46" s="35"/>
      <c r="Y46" s="18">
        <f t="shared" si="45"/>
        <v>158.6</v>
      </c>
      <c r="Z46" s="18">
        <f t="shared" si="46"/>
        <v>304.39999999999998</v>
      </c>
      <c r="AA46" s="18">
        <f t="shared" si="47"/>
        <v>203.5</v>
      </c>
      <c r="AC46" s="23">
        <f t="shared" si="48"/>
        <v>993.39999999999986</v>
      </c>
      <c r="AD46" s="23">
        <f t="shared" si="49"/>
        <v>913.7980376124284</v>
      </c>
      <c r="AE46" s="23">
        <f t="shared" si="50"/>
        <v>830.60200668896312</v>
      </c>
      <c r="AF46" s="23">
        <f t="shared" si="51"/>
        <v>689.38237335183896</v>
      </c>
      <c r="AG46" s="23">
        <f t="shared" si="52"/>
        <v>556.83856502242145</v>
      </c>
      <c r="AH46" s="23">
        <f t="shared" si="53"/>
        <v>359.40665701881329</v>
      </c>
      <c r="AI46" s="23">
        <f t="shared" si="54"/>
        <v>240.18375241779495</v>
      </c>
    </row>
    <row r="47" spans="1:36">
      <c r="A47" s="24">
        <f>AVERAGE(A35:A38)</f>
        <v>363</v>
      </c>
      <c r="B47" s="24">
        <f>AVERAGE(B35:B38)</f>
        <v>354.45000000000005</v>
      </c>
      <c r="C47" s="24">
        <f t="shared" ref="C47:AA47" si="61">AVERAGE(C35:C38)</f>
        <v>330.95000000000005</v>
      </c>
      <c r="D47" s="24">
        <f t="shared" si="61"/>
        <v>291.95000000000005</v>
      </c>
      <c r="E47" s="24">
        <f t="shared" si="61"/>
        <v>227.64999999999998</v>
      </c>
      <c r="F47" s="24">
        <f t="shared" si="61"/>
        <v>174.75</v>
      </c>
      <c r="G47" s="24">
        <f t="shared" si="61"/>
        <v>98.35</v>
      </c>
      <c r="H47" s="24">
        <f t="shared" si="61"/>
        <v>56.35</v>
      </c>
      <c r="I47" s="24">
        <f t="shared" si="61"/>
        <v>0.35444999999999999</v>
      </c>
      <c r="J47" s="24">
        <f t="shared" si="61"/>
        <v>3.6806465530853374</v>
      </c>
      <c r="K47" s="24">
        <f t="shared" si="61"/>
        <v>4.1599895379063305</v>
      </c>
      <c r="L47" s="24">
        <f t="shared" si="61"/>
        <v>4.5751682786445071</v>
      </c>
      <c r="M47" s="24">
        <f t="shared" si="61"/>
        <v>4.8412755542869998</v>
      </c>
      <c r="N47" s="24">
        <f t="shared" si="61"/>
        <v>5.2447171522058911</v>
      </c>
      <c r="O47" s="24">
        <f t="shared" si="61"/>
        <v>5.5525399938164455</v>
      </c>
      <c r="P47" s="24">
        <f t="shared" si="61"/>
        <v>1.9125096715437412E-2</v>
      </c>
      <c r="Q47" s="24">
        <f t="shared" si="61"/>
        <v>2.3673324518390251</v>
      </c>
      <c r="R47" s="24">
        <f t="shared" si="61"/>
        <v>0.17175000000000001</v>
      </c>
      <c r="S47" s="24">
        <f t="shared" si="61"/>
        <v>-554.75</v>
      </c>
      <c r="T47" s="24">
        <f t="shared" si="61"/>
        <v>2219</v>
      </c>
      <c r="U47" s="24">
        <f t="shared" si="61"/>
        <v>362.25</v>
      </c>
      <c r="V47" s="24">
        <f t="shared" si="61"/>
        <v>275</v>
      </c>
      <c r="W47" s="24">
        <f t="shared" si="61"/>
        <v>2.41275</v>
      </c>
      <c r="X47" s="36">
        <f>SLOPE(W47:W49,A47:A49)</f>
        <v>2.1114549192935954E-4</v>
      </c>
      <c r="Y47" s="24">
        <f t="shared" si="61"/>
        <v>62.5</v>
      </c>
      <c r="Z47" s="24">
        <f t="shared" si="61"/>
        <v>117.19999999999999</v>
      </c>
      <c r="AA47" s="24">
        <f t="shared" si="61"/>
        <v>76.400000000000006</v>
      </c>
      <c r="AB47"/>
      <c r="AC47" s="24">
        <f t="shared" ref="AC47:AI47" si="62">AVERAGE(AC35:AC38)</f>
        <v>354.44999999999993</v>
      </c>
      <c r="AD47" s="24">
        <f t="shared" si="62"/>
        <v>321.7123725623527</v>
      </c>
      <c r="AE47" s="24">
        <f t="shared" si="62"/>
        <v>288.41467999140292</v>
      </c>
      <c r="AF47" s="24">
        <f t="shared" si="62"/>
        <v>233.93672409880222</v>
      </c>
      <c r="AG47" s="24">
        <f t="shared" si="62"/>
        <v>185.01228560832314</v>
      </c>
      <c r="AH47" s="24">
        <f t="shared" si="62"/>
        <v>115.81205099648831</v>
      </c>
      <c r="AI47" s="24">
        <f t="shared" si="62"/>
        <v>76.010174866092242</v>
      </c>
    </row>
    <row r="48" spans="1:36">
      <c r="A48" s="24">
        <f>AVERAGE(A39:A42)</f>
        <v>708.5</v>
      </c>
      <c r="B48" s="24">
        <f>AVERAGE(B39:B42)</f>
        <v>606.07500000000005</v>
      </c>
      <c r="C48" s="24">
        <f t="shared" ref="C48:AA48" si="63">AVERAGE(C39:C42)</f>
        <v>564.79999999999995</v>
      </c>
      <c r="D48" s="24">
        <f t="shared" si="63"/>
        <v>501.97500000000002</v>
      </c>
      <c r="E48" s="24">
        <f t="shared" si="63"/>
        <v>399.25</v>
      </c>
      <c r="F48" s="24">
        <f t="shared" si="63"/>
        <v>311.2</v>
      </c>
      <c r="G48" s="24">
        <f t="shared" si="63"/>
        <v>184.22500000000002</v>
      </c>
      <c r="H48" s="24">
        <f t="shared" si="63"/>
        <v>109.27500000000001</v>
      </c>
      <c r="I48" s="24">
        <f t="shared" si="63"/>
        <v>0.60607500000000003</v>
      </c>
      <c r="J48" s="24">
        <f t="shared" si="63"/>
        <v>3.6930749876931288</v>
      </c>
      <c r="K48" s="24">
        <f t="shared" si="63"/>
        <v>4.1460698159267109</v>
      </c>
      <c r="L48" s="24">
        <f t="shared" si="63"/>
        <v>4.5436543874564892</v>
      </c>
      <c r="M48" s="24">
        <f t="shared" si="63"/>
        <v>4.805898554201697</v>
      </c>
      <c r="N48" s="24">
        <f t="shared" si="63"/>
        <v>5.1891170664529245</v>
      </c>
      <c r="O48" s="24">
        <f t="shared" si="63"/>
        <v>5.4869728548640477</v>
      </c>
      <c r="P48" s="24">
        <f t="shared" si="63"/>
        <v>3.1337632176593175E-2</v>
      </c>
      <c r="Q48" s="24">
        <f t="shared" si="63"/>
        <v>2.2714198697740109</v>
      </c>
      <c r="R48" s="24">
        <f t="shared" si="63"/>
        <v>0.16225000000000001</v>
      </c>
      <c r="S48" s="24">
        <f t="shared" si="63"/>
        <v>-343.25</v>
      </c>
      <c r="T48" s="24">
        <f t="shared" si="63"/>
        <v>1373</v>
      </c>
      <c r="U48" s="24">
        <f t="shared" si="63"/>
        <v>372.75</v>
      </c>
      <c r="V48" s="24">
        <f t="shared" si="63"/>
        <v>479.5</v>
      </c>
      <c r="W48" s="24">
        <f t="shared" si="63"/>
        <v>2.4829999999999997</v>
      </c>
      <c r="X48" s="24"/>
      <c r="Y48" s="24">
        <f t="shared" si="63"/>
        <v>104.1</v>
      </c>
      <c r="Z48" s="24">
        <f t="shared" si="63"/>
        <v>190.77500000000001</v>
      </c>
      <c r="AA48" s="24">
        <f t="shared" si="63"/>
        <v>126.97499999999999</v>
      </c>
      <c r="AB48" s="24">
        <f>AC48/AC47</f>
        <v>1.7099026661024126</v>
      </c>
      <c r="AC48" s="24">
        <f t="shared" ref="AC48:AI48" si="64">AVERAGE(AC39:AC42)</f>
        <v>606.07500000000005</v>
      </c>
      <c r="AD48" s="24">
        <f t="shared" si="64"/>
        <v>552.91342766898674</v>
      </c>
      <c r="AE48" s="24">
        <f t="shared" si="64"/>
        <v>498.28045735573875</v>
      </c>
      <c r="AF48" s="24">
        <f t="shared" si="64"/>
        <v>407.65121885301545</v>
      </c>
      <c r="AG48" s="24">
        <f t="shared" si="64"/>
        <v>324.91560569511364</v>
      </c>
      <c r="AH48" s="24">
        <f t="shared" si="64"/>
        <v>205.65892602371008</v>
      </c>
      <c r="AI48" s="24">
        <f t="shared" si="64"/>
        <v>135.85121692830327</v>
      </c>
      <c r="AJ48" s="1">
        <f>AI48/AI47</f>
        <v>1.7872767319327116</v>
      </c>
    </row>
    <row r="49" spans="1:36" ht="13.5" thickBot="1">
      <c r="A49" s="24">
        <f>AVERAGE(A43:A46)</f>
        <v>1388.5</v>
      </c>
      <c r="B49" s="24">
        <f>AVERAGE(B43:B46)</f>
        <v>995.1</v>
      </c>
      <c r="C49" s="24">
        <f t="shared" ref="C49:AA49" si="65">AVERAGE(C43:C46)</f>
        <v>940.45</v>
      </c>
      <c r="D49" s="24">
        <f t="shared" si="65"/>
        <v>835.59999999999991</v>
      </c>
      <c r="E49" s="24">
        <f t="shared" si="65"/>
        <v>669.625</v>
      </c>
      <c r="F49" s="24">
        <f t="shared" si="65"/>
        <v>530.57500000000005</v>
      </c>
      <c r="G49" s="24">
        <f t="shared" si="65"/>
        <v>326.57499999999999</v>
      </c>
      <c r="H49" s="24">
        <f t="shared" si="65"/>
        <v>200.8</v>
      </c>
      <c r="I49" s="24">
        <f t="shared" si="65"/>
        <v>0.99509999999999987</v>
      </c>
      <c r="J49" s="24">
        <f t="shared" si="65"/>
        <v>3.5911788901940525</v>
      </c>
      <c r="K49" s="24">
        <f t="shared" si="65"/>
        <v>4.1100582674965063</v>
      </c>
      <c r="L49" s="24">
        <f t="shared" si="65"/>
        <v>4.5159868443100386</v>
      </c>
      <c r="M49" s="24">
        <f t="shared" si="65"/>
        <v>4.7715667745871988</v>
      </c>
      <c r="N49" s="24">
        <f t="shared" si="65"/>
        <v>5.140439796869738</v>
      </c>
      <c r="O49" s="24">
        <f t="shared" si="65"/>
        <v>5.4265270287193044</v>
      </c>
      <c r="P49" s="24">
        <f t="shared" si="65"/>
        <v>2.3649364251050461E-2</v>
      </c>
      <c r="Q49" s="24">
        <f t="shared" si="65"/>
        <v>2.3048275652884236</v>
      </c>
      <c r="R49" s="24">
        <f t="shared" si="65"/>
        <v>0.14475000000000002</v>
      </c>
      <c r="S49" s="24">
        <f t="shared" si="65"/>
        <v>-234.5</v>
      </c>
      <c r="T49" s="24">
        <f t="shared" si="65"/>
        <v>938</v>
      </c>
      <c r="U49" s="24">
        <f t="shared" si="65"/>
        <v>394.5</v>
      </c>
      <c r="V49" s="24">
        <f t="shared" si="65"/>
        <v>821.25</v>
      </c>
      <c r="W49" s="24">
        <f t="shared" si="65"/>
        <v>2.6287500000000001</v>
      </c>
      <c r="X49" s="24"/>
      <c r="Y49" s="24">
        <f t="shared" si="65"/>
        <v>159.5</v>
      </c>
      <c r="Z49" s="24">
        <f t="shared" si="65"/>
        <v>305.02499999999998</v>
      </c>
      <c r="AA49" s="24">
        <f t="shared" si="65"/>
        <v>204</v>
      </c>
      <c r="AB49" s="24">
        <f>AC49/AC47</f>
        <v>2.8074481591197631</v>
      </c>
      <c r="AC49" s="24">
        <f t="shared" ref="AC49:AI49" si="66">AVERAGE(AC43:AC46)</f>
        <v>995.09999999999991</v>
      </c>
      <c r="AD49" s="24">
        <f t="shared" si="66"/>
        <v>916.48721126729515</v>
      </c>
      <c r="AE49" s="24">
        <f t="shared" si="66"/>
        <v>834.12227384318771</v>
      </c>
      <c r="AF49" s="24">
        <f t="shared" si="66"/>
        <v>693.83333060999246</v>
      </c>
      <c r="AG49" s="24">
        <f t="shared" si="66"/>
        <v>561.60568083123735</v>
      </c>
      <c r="AH49" s="24">
        <f t="shared" si="66"/>
        <v>363.62520208878868</v>
      </c>
      <c r="AI49" s="24">
        <f t="shared" si="66"/>
        <v>243.46954227648902</v>
      </c>
      <c r="AJ49" s="1">
        <f>AI49/AI47</f>
        <v>3.2031177760794702</v>
      </c>
    </row>
    <row r="50" spans="1:36">
      <c r="A50" s="26">
        <v>385</v>
      </c>
      <c r="B50" s="27">
        <v>450.6</v>
      </c>
      <c r="C50" s="27">
        <v>384.8</v>
      </c>
      <c r="D50" s="27">
        <v>321.3</v>
      </c>
      <c r="E50" s="27">
        <v>235.2</v>
      </c>
      <c r="F50" s="27">
        <v>172.2</v>
      </c>
      <c r="G50" s="27">
        <v>90</v>
      </c>
      <c r="H50" s="28">
        <v>48.1</v>
      </c>
      <c r="I50" s="9">
        <f t="shared" si="31"/>
        <v>0.4506</v>
      </c>
      <c r="J50" s="8">
        <f t="shared" si="32"/>
        <v>4.0622946030792049</v>
      </c>
      <c r="K50" s="8">
        <f t="shared" si="33"/>
        <v>4.4339915721599006</v>
      </c>
      <c r="L50" s="8">
        <f t="shared" si="34"/>
        <v>4.7911121543888866</v>
      </c>
      <c r="M50" s="8">
        <f t="shared" si="35"/>
        <v>5.0379398566519136</v>
      </c>
      <c r="N50" s="8">
        <f t="shared" si="36"/>
        <v>5.4320869857780831</v>
      </c>
      <c r="O50" s="8">
        <f t="shared" si="37"/>
        <v>5.7519245811610809</v>
      </c>
      <c r="P50" s="11">
        <f t="shared" si="38"/>
        <v>0.1305524155811619</v>
      </c>
      <c r="Q50" s="11">
        <f t="shared" si="39"/>
        <v>2.1433707763618872</v>
      </c>
      <c r="R50" s="11">
        <f t="shared" si="40"/>
        <v>0.30599999999999999</v>
      </c>
      <c r="S50" s="12">
        <f t="shared" si="41"/>
        <v>-245</v>
      </c>
      <c r="T50" s="12">
        <f t="shared" si="30"/>
        <v>980</v>
      </c>
      <c r="U50" s="12">
        <f t="shared" si="42"/>
        <v>271</v>
      </c>
      <c r="V50" s="13">
        <f t="shared" si="43"/>
        <v>278</v>
      </c>
      <c r="W50" s="15">
        <f t="shared" si="44"/>
        <v>1.8080000000000001</v>
      </c>
      <c r="X50" s="35"/>
      <c r="Y50" s="18">
        <f t="shared" si="45"/>
        <v>129.30000000000001</v>
      </c>
      <c r="Z50" s="18">
        <f t="shared" si="46"/>
        <v>149.1</v>
      </c>
      <c r="AA50" s="18">
        <f t="shared" si="47"/>
        <v>82.2</v>
      </c>
      <c r="AC50" s="23">
        <f t="shared" si="48"/>
        <v>450.60000000000008</v>
      </c>
      <c r="AD50" s="23">
        <f t="shared" si="49"/>
        <v>381.43340857787814</v>
      </c>
      <c r="AE50" s="23">
        <f t="shared" si="50"/>
        <v>320.02840909090912</v>
      </c>
      <c r="AF50" s="23">
        <f t="shared" si="51"/>
        <v>234.93222106360795</v>
      </c>
      <c r="AG50" s="23">
        <f t="shared" si="52"/>
        <v>171.20060790273558</v>
      </c>
      <c r="AH50" s="23">
        <f t="shared" si="53"/>
        <v>96.446917808219183</v>
      </c>
      <c r="AI50" s="23">
        <f t="shared" si="54"/>
        <v>59.85653560042509</v>
      </c>
    </row>
    <row r="51" spans="1:36">
      <c r="A51" s="29">
        <v>390</v>
      </c>
      <c r="B51" s="30">
        <v>422.2</v>
      </c>
      <c r="C51" s="30">
        <v>357.8</v>
      </c>
      <c r="D51" s="30">
        <v>298.10000000000002</v>
      </c>
      <c r="E51" s="30">
        <v>218.8</v>
      </c>
      <c r="F51" s="30">
        <v>162.1</v>
      </c>
      <c r="G51" s="30">
        <v>87.8</v>
      </c>
      <c r="H51" s="31">
        <v>49.2</v>
      </c>
      <c r="I51" s="9">
        <f t="shared" si="31"/>
        <v>0.42219999999999996</v>
      </c>
      <c r="J51" s="8">
        <f t="shared" si="32"/>
        <v>4.0845493039594825</v>
      </c>
      <c r="K51" s="8">
        <f t="shared" si="33"/>
        <v>4.4487135782971237</v>
      </c>
      <c r="L51" s="8">
        <f t="shared" si="34"/>
        <v>4.7976074037563574</v>
      </c>
      <c r="M51" s="8">
        <f t="shared" si="35"/>
        <v>5.0346611101783827</v>
      </c>
      <c r="N51" s="8">
        <f t="shared" si="36"/>
        <v>5.4100755256919015</v>
      </c>
      <c r="O51" s="8">
        <f t="shared" si="37"/>
        <v>5.7090475018723525</v>
      </c>
      <c r="P51" s="11">
        <f t="shared" si="38"/>
        <v>0.21411314978581608</v>
      </c>
      <c r="Q51" s="11">
        <f t="shared" si="39"/>
        <v>2.0624835724548314</v>
      </c>
      <c r="R51" s="11">
        <f t="shared" si="40"/>
        <v>0.309</v>
      </c>
      <c r="S51" s="12">
        <f t="shared" si="41"/>
        <v>-259</v>
      </c>
      <c r="T51" s="12">
        <f t="shared" si="30"/>
        <v>1036</v>
      </c>
      <c r="U51" s="12">
        <f t="shared" si="42"/>
        <v>270</v>
      </c>
      <c r="V51" s="13">
        <f t="shared" si="43"/>
        <v>260</v>
      </c>
      <c r="W51" s="15">
        <f t="shared" si="44"/>
        <v>1.7989999999999999</v>
      </c>
      <c r="X51" s="35"/>
      <c r="Y51" s="18">
        <f t="shared" si="45"/>
        <v>124.1</v>
      </c>
      <c r="Z51" s="18">
        <f t="shared" si="46"/>
        <v>136</v>
      </c>
      <c r="AA51" s="18">
        <f t="shared" si="47"/>
        <v>74.3</v>
      </c>
      <c r="AC51" s="23">
        <f t="shared" si="48"/>
        <v>422.19999999999993</v>
      </c>
      <c r="AD51" s="23">
        <f t="shared" si="49"/>
        <v>356.85574755822682</v>
      </c>
      <c r="AE51" s="23">
        <f t="shared" si="50"/>
        <v>299.00849858356935</v>
      </c>
      <c r="AF51" s="23">
        <f t="shared" si="51"/>
        <v>219.09704203425011</v>
      </c>
      <c r="AG51" s="23">
        <f t="shared" si="52"/>
        <v>159.44108761329304</v>
      </c>
      <c r="AH51" s="23">
        <f t="shared" si="53"/>
        <v>89.677145284621915</v>
      </c>
      <c r="AI51" s="23">
        <f t="shared" si="54"/>
        <v>55.611169652265538</v>
      </c>
    </row>
    <row r="52" spans="1:36">
      <c r="A52" s="29">
        <v>388</v>
      </c>
      <c r="B52" s="30">
        <v>409.4</v>
      </c>
      <c r="C52" s="30">
        <v>347.2</v>
      </c>
      <c r="D52" s="30">
        <v>289.8</v>
      </c>
      <c r="E52" s="30">
        <v>213.9</v>
      </c>
      <c r="F52" s="30">
        <v>159.4</v>
      </c>
      <c r="G52" s="30">
        <v>86.3</v>
      </c>
      <c r="H52" s="31">
        <v>49</v>
      </c>
      <c r="I52" s="9">
        <f t="shared" si="31"/>
        <v>0.40939999999999999</v>
      </c>
      <c r="J52" s="8">
        <f t="shared" si="32"/>
        <v>4.0825144410173895</v>
      </c>
      <c r="K52" s="8">
        <f t="shared" si="33"/>
        <v>4.4449365713482614</v>
      </c>
      <c r="L52" s="8">
        <f t="shared" si="34"/>
        <v>4.7902397499913825</v>
      </c>
      <c r="M52" s="8">
        <f t="shared" si="35"/>
        <v>5.0247554644429693</v>
      </c>
      <c r="N52" s="8">
        <f t="shared" si="36"/>
        <v>5.4026299351334597</v>
      </c>
      <c r="O52" s="8">
        <f t="shared" si="37"/>
        <v>5.6958924751095363</v>
      </c>
      <c r="P52" s="11">
        <f t="shared" si="38"/>
        <v>0.22771064583997594</v>
      </c>
      <c r="Q52" s="11">
        <f t="shared" si="39"/>
        <v>2.0499165266901125</v>
      </c>
      <c r="R52" s="11">
        <f t="shared" si="40"/>
        <v>0.30399999999999999</v>
      </c>
      <c r="S52" s="12">
        <f t="shared" si="41"/>
        <v>-271</v>
      </c>
      <c r="T52" s="12">
        <f t="shared" si="30"/>
        <v>1084</v>
      </c>
      <c r="U52" s="12">
        <f t="shared" si="42"/>
        <v>272</v>
      </c>
      <c r="V52" s="13">
        <f t="shared" si="43"/>
        <v>254</v>
      </c>
      <c r="W52" s="15">
        <f t="shared" si="44"/>
        <v>1.8140000000000001</v>
      </c>
      <c r="X52" s="35"/>
      <c r="Y52" s="18">
        <f t="shared" si="45"/>
        <v>119.6</v>
      </c>
      <c r="Z52" s="18">
        <f t="shared" si="46"/>
        <v>130.4</v>
      </c>
      <c r="AA52" s="18">
        <f t="shared" si="47"/>
        <v>73.099999999999994</v>
      </c>
      <c r="AC52" s="23">
        <f t="shared" si="48"/>
        <v>409.39999999999992</v>
      </c>
      <c r="AD52" s="23">
        <f t="shared" si="49"/>
        <v>346.90559879487819</v>
      </c>
      <c r="AE52" s="23">
        <f t="shared" si="50"/>
        <v>291.31878557874757</v>
      </c>
      <c r="AF52" s="23">
        <f t="shared" si="51"/>
        <v>214.12133891213387</v>
      </c>
      <c r="AG52" s="23">
        <f t="shared" si="52"/>
        <v>156.18006103763986</v>
      </c>
      <c r="AH52" s="23">
        <f t="shared" si="53"/>
        <v>88.080895008605836</v>
      </c>
      <c r="AI52" s="23">
        <f t="shared" si="54"/>
        <v>54.693623085144274</v>
      </c>
    </row>
    <row r="53" spans="1:36">
      <c r="A53" s="29">
        <v>387</v>
      </c>
      <c r="B53" s="30">
        <v>405.9</v>
      </c>
      <c r="C53" s="30">
        <v>344.6</v>
      </c>
      <c r="D53" s="30">
        <v>287.7</v>
      </c>
      <c r="E53" s="30">
        <v>212.8</v>
      </c>
      <c r="F53" s="30">
        <v>158.9</v>
      </c>
      <c r="G53" s="30">
        <v>86.3</v>
      </c>
      <c r="H53" s="31">
        <v>49.3</v>
      </c>
      <c r="I53" s="9">
        <f t="shared" si="31"/>
        <v>0.40589999999999998</v>
      </c>
      <c r="J53" s="8">
        <f t="shared" si="32"/>
        <v>4.0794489742374305</v>
      </c>
      <c r="K53" s="8">
        <f t="shared" si="33"/>
        <v>4.4429813874859354</v>
      </c>
      <c r="L53" s="8">
        <f t="shared" si="34"/>
        <v>4.7871144229874085</v>
      </c>
      <c r="M53" s="8">
        <f t="shared" si="35"/>
        <v>5.0208768288833108</v>
      </c>
      <c r="N53" s="8">
        <f t="shared" si="36"/>
        <v>5.3978997477577693</v>
      </c>
      <c r="O53" s="8">
        <f t="shared" si="37"/>
        <v>5.6886381923931308</v>
      </c>
      <c r="P53" s="11">
        <f t="shared" si="38"/>
        <v>0.23328853076426428</v>
      </c>
      <c r="Q53" s="11">
        <f t="shared" si="39"/>
        <v>2.0445560804075793</v>
      </c>
      <c r="R53" s="11">
        <f t="shared" si="40"/>
        <v>0.30199999999999999</v>
      </c>
      <c r="S53" s="12">
        <f t="shared" si="41"/>
        <v>-275</v>
      </c>
      <c r="T53" s="12">
        <f t="shared" si="30"/>
        <v>1100</v>
      </c>
      <c r="U53" s="12">
        <f t="shared" si="42"/>
        <v>273</v>
      </c>
      <c r="V53" s="13">
        <f t="shared" si="43"/>
        <v>252</v>
      </c>
      <c r="W53" s="15">
        <f t="shared" si="44"/>
        <v>1.82</v>
      </c>
      <c r="X53" s="35"/>
      <c r="Y53" s="18">
        <f t="shared" si="45"/>
        <v>118.2</v>
      </c>
      <c r="Z53" s="18">
        <f t="shared" si="46"/>
        <v>128.80000000000001</v>
      </c>
      <c r="AA53" s="18">
        <f t="shared" si="47"/>
        <v>72.599999999999994</v>
      </c>
      <c r="AC53" s="23">
        <f t="shared" si="48"/>
        <v>405.89999999999992</v>
      </c>
      <c r="AD53" s="23">
        <f t="shared" si="49"/>
        <v>344.28562452877605</v>
      </c>
      <c r="AE53" s="23">
        <f t="shared" si="50"/>
        <v>289.37737642585546</v>
      </c>
      <c r="AF53" s="23">
        <f t="shared" si="51"/>
        <v>212.95907660020984</v>
      </c>
      <c r="AG53" s="23">
        <f t="shared" si="52"/>
        <v>155.47752808988761</v>
      </c>
      <c r="AH53" s="23">
        <f t="shared" si="53"/>
        <v>87.781141868512094</v>
      </c>
      <c r="AI53" s="23">
        <f t="shared" si="54"/>
        <v>54.536904335363658</v>
      </c>
    </row>
    <row r="54" spans="1:36">
      <c r="A54" s="29">
        <v>728</v>
      </c>
      <c r="B54" s="30">
        <v>713.9</v>
      </c>
      <c r="C54" s="30">
        <v>615.79999999999995</v>
      </c>
      <c r="D54" s="30">
        <v>518.79999999999995</v>
      </c>
      <c r="E54" s="30">
        <v>391.1</v>
      </c>
      <c r="F54" s="30">
        <v>295.39999999999998</v>
      </c>
      <c r="G54" s="30">
        <v>162.5</v>
      </c>
      <c r="H54" s="31">
        <v>93.2</v>
      </c>
      <c r="I54" s="9">
        <f t="shared" si="31"/>
        <v>0.71389999999999998</v>
      </c>
      <c r="J54" s="8">
        <f t="shared" si="32"/>
        <v>4.0315330956437947</v>
      </c>
      <c r="K54" s="8">
        <f t="shared" si="33"/>
        <v>4.4045610748135005</v>
      </c>
      <c r="L54" s="8">
        <f t="shared" si="34"/>
        <v>4.7459494829289266</v>
      </c>
      <c r="M54" s="8">
        <f t="shared" si="35"/>
        <v>4.9805887441843728</v>
      </c>
      <c r="N54" s="8">
        <f t="shared" si="36"/>
        <v>5.3599171692858869</v>
      </c>
      <c r="O54" s="8">
        <f t="shared" si="37"/>
        <v>5.6527696058624404</v>
      </c>
      <c r="P54" s="11">
        <f t="shared" si="38"/>
        <v>0.19780644991370797</v>
      </c>
      <c r="Q54" s="11">
        <f t="shared" si="39"/>
        <v>2.0561474098910089</v>
      </c>
      <c r="R54" s="11">
        <f t="shared" si="40"/>
        <v>0.27500000000000002</v>
      </c>
      <c r="S54" s="12">
        <f t="shared" si="41"/>
        <v>-172</v>
      </c>
      <c r="T54" s="12">
        <f t="shared" si="30"/>
        <v>688</v>
      </c>
      <c r="U54" s="12">
        <f t="shared" si="42"/>
        <v>286</v>
      </c>
      <c r="V54" s="13">
        <f t="shared" si="43"/>
        <v>461</v>
      </c>
      <c r="W54" s="15">
        <f t="shared" si="44"/>
        <v>1.907</v>
      </c>
      <c r="X54" s="35"/>
      <c r="Y54" s="18">
        <f t="shared" si="45"/>
        <v>195.1</v>
      </c>
      <c r="Z54" s="18">
        <f t="shared" si="46"/>
        <v>223.4</v>
      </c>
      <c r="AA54" s="18">
        <f t="shared" si="47"/>
        <v>132.9</v>
      </c>
      <c r="AC54" s="23">
        <f t="shared" si="48"/>
        <v>713.89999999999986</v>
      </c>
      <c r="AD54" s="23">
        <f t="shared" si="49"/>
        <v>613.86305732484072</v>
      </c>
      <c r="AE54" s="23">
        <f t="shared" si="50"/>
        <v>522.36585365853648</v>
      </c>
      <c r="AF54" s="23">
        <f t="shared" si="51"/>
        <v>391.17808219178079</v>
      </c>
      <c r="AG54" s="23">
        <f t="shared" si="52"/>
        <v>289.41891891891885</v>
      </c>
      <c r="AH54" s="23">
        <f t="shared" si="53"/>
        <v>166.02325581395345</v>
      </c>
      <c r="AI54" s="23">
        <f t="shared" si="54"/>
        <v>103.96601941747569</v>
      </c>
    </row>
    <row r="55" spans="1:36">
      <c r="A55" s="29">
        <v>708</v>
      </c>
      <c r="B55" s="30">
        <v>691</v>
      </c>
      <c r="C55" s="30">
        <v>596.5</v>
      </c>
      <c r="D55" s="30">
        <v>501.4</v>
      </c>
      <c r="E55" s="30">
        <v>379.6</v>
      </c>
      <c r="F55" s="30">
        <v>287.5</v>
      </c>
      <c r="G55" s="30">
        <v>158.1</v>
      </c>
      <c r="H55" s="31">
        <v>90.3</v>
      </c>
      <c r="I55" s="9">
        <f t="shared" si="31"/>
        <v>0.69099999999999995</v>
      </c>
      <c r="J55" s="8">
        <f t="shared" si="32"/>
        <v>4.0291251333339275</v>
      </c>
      <c r="K55" s="8">
        <f t="shared" si="33"/>
        <v>4.4069577762108745</v>
      </c>
      <c r="L55" s="8">
        <f t="shared" si="34"/>
        <v>4.7432961773078715</v>
      </c>
      <c r="M55" s="8">
        <f t="shared" si="35"/>
        <v>4.976509462863465</v>
      </c>
      <c r="N55" s="8">
        <f t="shared" si="36"/>
        <v>5.3570176231397273</v>
      </c>
      <c r="O55" s="8">
        <f t="shared" si="37"/>
        <v>5.6522736544648744</v>
      </c>
      <c r="P55" s="11">
        <f t="shared" si="38"/>
        <v>0.19883945856727248</v>
      </c>
      <c r="Q55" s="11">
        <f t="shared" si="39"/>
        <v>2.0546875702997243</v>
      </c>
      <c r="R55" s="11">
        <f t="shared" si="40"/>
        <v>0.27400000000000002</v>
      </c>
      <c r="S55" s="12">
        <f t="shared" si="41"/>
        <v>-178</v>
      </c>
      <c r="T55" s="12">
        <f t="shared" si="30"/>
        <v>712</v>
      </c>
      <c r="U55" s="12">
        <f t="shared" si="42"/>
        <v>287</v>
      </c>
      <c r="V55" s="13">
        <f t="shared" si="43"/>
        <v>446</v>
      </c>
      <c r="W55" s="15">
        <f t="shared" si="44"/>
        <v>1.91</v>
      </c>
      <c r="X55" s="35"/>
      <c r="Y55" s="18">
        <f t="shared" si="45"/>
        <v>189.6</v>
      </c>
      <c r="Z55" s="18">
        <f t="shared" si="46"/>
        <v>213.9</v>
      </c>
      <c r="AA55" s="18">
        <f t="shared" si="47"/>
        <v>129.4</v>
      </c>
      <c r="AC55" s="23">
        <f t="shared" si="48"/>
        <v>691</v>
      </c>
      <c r="AD55" s="23">
        <f t="shared" si="49"/>
        <v>594.4748916645425</v>
      </c>
      <c r="AE55" s="23">
        <f t="shared" si="50"/>
        <v>506.103515625</v>
      </c>
      <c r="AF55" s="23">
        <f t="shared" si="51"/>
        <v>379.25356750823272</v>
      </c>
      <c r="AG55" s="23">
        <f t="shared" si="52"/>
        <v>280.74214517876487</v>
      </c>
      <c r="AH55" s="23">
        <f t="shared" si="53"/>
        <v>161.14738805970148</v>
      </c>
      <c r="AI55" s="23">
        <f t="shared" si="54"/>
        <v>100.94468250876508</v>
      </c>
    </row>
    <row r="56" spans="1:36">
      <c r="A56" s="29">
        <v>706</v>
      </c>
      <c r="B56" s="30">
        <v>686.2</v>
      </c>
      <c r="C56" s="30">
        <v>593.4</v>
      </c>
      <c r="D56" s="30">
        <v>499.3</v>
      </c>
      <c r="E56" s="30">
        <v>378.4</v>
      </c>
      <c r="F56" s="30">
        <v>287.10000000000002</v>
      </c>
      <c r="G56" s="30">
        <v>157.80000000000001</v>
      </c>
      <c r="H56" s="31">
        <v>90.6</v>
      </c>
      <c r="I56" s="9">
        <f t="shared" si="31"/>
        <v>0.68620000000000003</v>
      </c>
      <c r="J56" s="8">
        <f t="shared" si="32"/>
        <v>4.0235042070690641</v>
      </c>
      <c r="K56" s="8">
        <f t="shared" si="33"/>
        <v>4.4025515081547475</v>
      </c>
      <c r="L56" s="8">
        <f t="shared" si="34"/>
        <v>4.7396212605967296</v>
      </c>
      <c r="M56" s="8">
        <f t="shared" si="35"/>
        <v>4.9723523081185421</v>
      </c>
      <c r="N56" s="8">
        <f t="shared" si="36"/>
        <v>5.3541595829001132</v>
      </c>
      <c r="O56" s="8">
        <f t="shared" si="37"/>
        <v>5.6471302642343506</v>
      </c>
      <c r="P56" s="11">
        <f t="shared" si="38"/>
        <v>0.19520958959467127</v>
      </c>
      <c r="Q56" s="11">
        <f t="shared" si="39"/>
        <v>2.056051107099381</v>
      </c>
      <c r="R56" s="11">
        <f t="shared" si="40"/>
        <v>0.27100000000000002</v>
      </c>
      <c r="S56" s="12">
        <f t="shared" si="41"/>
        <v>-181</v>
      </c>
      <c r="T56" s="12">
        <f t="shared" si="30"/>
        <v>724</v>
      </c>
      <c r="U56" s="12">
        <f t="shared" si="42"/>
        <v>288</v>
      </c>
      <c r="V56" s="13">
        <f t="shared" si="43"/>
        <v>445</v>
      </c>
      <c r="W56" s="15">
        <f t="shared" si="44"/>
        <v>1.921</v>
      </c>
      <c r="X56" s="35"/>
      <c r="Y56" s="18">
        <f t="shared" si="45"/>
        <v>186.9</v>
      </c>
      <c r="Z56" s="18">
        <f t="shared" si="46"/>
        <v>212.2</v>
      </c>
      <c r="AA56" s="18">
        <f t="shared" si="47"/>
        <v>129.30000000000001</v>
      </c>
      <c r="AC56" s="23">
        <f t="shared" si="48"/>
        <v>686.20000000000016</v>
      </c>
      <c r="AD56" s="23">
        <f t="shared" si="49"/>
        <v>591.24968087822322</v>
      </c>
      <c r="AE56" s="23">
        <f t="shared" si="50"/>
        <v>504.06464250734581</v>
      </c>
      <c r="AF56" s="23">
        <f t="shared" si="51"/>
        <v>378.48869277440713</v>
      </c>
      <c r="AG56" s="23">
        <f t="shared" si="52"/>
        <v>280.61613958560525</v>
      </c>
      <c r="AH56" s="23">
        <f t="shared" si="53"/>
        <v>161.3828786453434</v>
      </c>
      <c r="AI56" s="23">
        <f t="shared" si="54"/>
        <v>101.18953991348802</v>
      </c>
    </row>
    <row r="57" spans="1:36">
      <c r="A57" s="29">
        <v>704</v>
      </c>
      <c r="B57" s="30">
        <v>682.4</v>
      </c>
      <c r="C57" s="30">
        <v>590.6</v>
      </c>
      <c r="D57" s="30">
        <v>496.6</v>
      </c>
      <c r="E57" s="30">
        <v>377.3</v>
      </c>
      <c r="F57" s="30">
        <v>286.5</v>
      </c>
      <c r="G57" s="30">
        <v>157</v>
      </c>
      <c r="H57" s="31">
        <v>90.2</v>
      </c>
      <c r="I57" s="9">
        <f t="shared" si="31"/>
        <v>0.68240000000000001</v>
      </c>
      <c r="J57" s="8">
        <f t="shared" si="32"/>
        <v>4.0208530114032071</v>
      </c>
      <c r="K57" s="8">
        <f t="shared" si="33"/>
        <v>4.4023427672701025</v>
      </c>
      <c r="L57" s="8">
        <f t="shared" si="34"/>
        <v>4.737059175272436</v>
      </c>
      <c r="M57" s="8">
        <f t="shared" si="35"/>
        <v>4.9697646482798206</v>
      </c>
      <c r="N57" s="8">
        <f t="shared" si="36"/>
        <v>5.353894188871843</v>
      </c>
      <c r="O57" s="8">
        <f t="shared" si="37"/>
        <v>5.6465656383423637</v>
      </c>
      <c r="P57" s="11">
        <f t="shared" si="38"/>
        <v>0.19227029057300771</v>
      </c>
      <c r="Q57" s="11">
        <f t="shared" si="39"/>
        <v>2.0579407954960192</v>
      </c>
      <c r="R57" s="11">
        <f t="shared" si="40"/>
        <v>0.27</v>
      </c>
      <c r="S57" s="12">
        <f t="shared" si="41"/>
        <v>-183</v>
      </c>
      <c r="T57" s="12">
        <f t="shared" si="30"/>
        <v>732</v>
      </c>
      <c r="U57" s="12">
        <f t="shared" si="42"/>
        <v>289</v>
      </c>
      <c r="V57" s="13">
        <f t="shared" si="43"/>
        <v>444</v>
      </c>
      <c r="W57" s="15">
        <f t="shared" si="44"/>
        <v>1.925</v>
      </c>
      <c r="X57" s="35"/>
      <c r="Y57" s="18">
        <f t="shared" si="45"/>
        <v>185.8</v>
      </c>
      <c r="Z57" s="18">
        <f t="shared" si="46"/>
        <v>210.1</v>
      </c>
      <c r="AA57" s="18">
        <f t="shared" si="47"/>
        <v>129.5</v>
      </c>
      <c r="AC57" s="23">
        <f t="shared" si="48"/>
        <v>682.39999999999986</v>
      </c>
      <c r="AD57" s="23">
        <f t="shared" si="49"/>
        <v>588.27586206896547</v>
      </c>
      <c r="AE57" s="23">
        <f t="shared" si="50"/>
        <v>501.76470588235287</v>
      </c>
      <c r="AF57" s="23">
        <f t="shared" si="51"/>
        <v>377.01657458563528</v>
      </c>
      <c r="AG57" s="23">
        <f t="shared" si="52"/>
        <v>279.67213114754094</v>
      </c>
      <c r="AH57" s="23">
        <f t="shared" si="53"/>
        <v>160.94339622641508</v>
      </c>
      <c r="AI57" s="23">
        <f t="shared" si="54"/>
        <v>100.94674556213016</v>
      </c>
    </row>
    <row r="58" spans="1:36">
      <c r="A58" s="29">
        <v>1407</v>
      </c>
      <c r="B58" s="30">
        <v>1170.5</v>
      </c>
      <c r="C58" s="30">
        <v>1035.7</v>
      </c>
      <c r="D58" s="30">
        <v>875.2</v>
      </c>
      <c r="E58" s="30">
        <v>673</v>
      </c>
      <c r="F58" s="30">
        <v>519.4</v>
      </c>
      <c r="G58" s="30">
        <v>291.7</v>
      </c>
      <c r="H58" s="31">
        <v>168.4</v>
      </c>
      <c r="I58" s="9">
        <f t="shared" si="31"/>
        <v>1.1705000000000001</v>
      </c>
      <c r="J58" s="8">
        <f t="shared" si="32"/>
        <v>3.9437596887836173</v>
      </c>
      <c r="K58" s="8">
        <f t="shared" si="33"/>
        <v>4.3574599108067478</v>
      </c>
      <c r="L58" s="8">
        <f t="shared" si="34"/>
        <v>4.6980817936887922</v>
      </c>
      <c r="M58" s="8">
        <f t="shared" si="35"/>
        <v>4.927449522884638</v>
      </c>
      <c r="N58" s="8">
        <f t="shared" si="36"/>
        <v>5.3082573919577651</v>
      </c>
      <c r="O58" s="8">
        <f t="shared" si="37"/>
        <v>5.6038727477986177</v>
      </c>
      <c r="P58" s="11">
        <f t="shared" si="38"/>
        <v>0.14089764246809885</v>
      </c>
      <c r="Q58" s="11">
        <f t="shared" si="39"/>
        <v>2.0898594261665755</v>
      </c>
      <c r="R58" s="11">
        <f t="shared" si="40"/>
        <v>0.24099999999999999</v>
      </c>
      <c r="S58" s="12">
        <f t="shared" si="41"/>
        <v>-120</v>
      </c>
      <c r="T58" s="12">
        <f t="shared" si="30"/>
        <v>480</v>
      </c>
      <c r="U58" s="12">
        <f t="shared" si="42"/>
        <v>306</v>
      </c>
      <c r="V58" s="13">
        <f t="shared" si="43"/>
        <v>796</v>
      </c>
      <c r="W58" s="15">
        <f t="shared" si="44"/>
        <v>2.0369999999999999</v>
      </c>
      <c r="X58" s="35"/>
      <c r="Y58" s="18">
        <f t="shared" si="45"/>
        <v>295.3</v>
      </c>
      <c r="Z58" s="18">
        <f t="shared" si="46"/>
        <v>355.8</v>
      </c>
      <c r="AA58" s="18">
        <f t="shared" si="47"/>
        <v>227.7</v>
      </c>
      <c r="AC58" s="23">
        <f t="shared" si="48"/>
        <v>1170.5</v>
      </c>
      <c r="AD58" s="23">
        <f t="shared" si="49"/>
        <v>1024.2254342753436</v>
      </c>
      <c r="AE58" s="23">
        <f t="shared" si="50"/>
        <v>885.84762865792129</v>
      </c>
      <c r="AF58" s="23">
        <f t="shared" si="51"/>
        <v>679.33836331979103</v>
      </c>
      <c r="AG58" s="23">
        <f t="shared" si="52"/>
        <v>512.17911318553092</v>
      </c>
      <c r="AH58" s="23">
        <f t="shared" si="53"/>
        <v>300.74511819116134</v>
      </c>
      <c r="AI58" s="23">
        <f t="shared" si="54"/>
        <v>190.59379070777248</v>
      </c>
    </row>
    <row r="59" spans="1:36">
      <c r="A59" s="29">
        <v>1409</v>
      </c>
      <c r="B59" s="30">
        <v>1176.8</v>
      </c>
      <c r="C59" s="30">
        <v>1043.5</v>
      </c>
      <c r="D59" s="30">
        <v>879.4</v>
      </c>
      <c r="E59" s="30">
        <v>679.8</v>
      </c>
      <c r="F59" s="30">
        <v>525.79999999999995</v>
      </c>
      <c r="G59" s="30">
        <v>297.89999999999998</v>
      </c>
      <c r="H59" s="31">
        <v>169.3</v>
      </c>
      <c r="I59" s="9">
        <f t="shared" si="31"/>
        <v>1.1767999999999998</v>
      </c>
      <c r="J59" s="8">
        <f t="shared" si="32"/>
        <v>3.9356414688434116</v>
      </c>
      <c r="K59" s="8">
        <f t="shared" si="33"/>
        <v>4.3584582757332724</v>
      </c>
      <c r="L59" s="8">
        <f t="shared" si="34"/>
        <v>4.6932790013173165</v>
      </c>
      <c r="M59" s="8">
        <f t="shared" si="35"/>
        <v>4.9220641796288733</v>
      </c>
      <c r="N59" s="8">
        <f t="shared" si="36"/>
        <v>5.2991727340881978</v>
      </c>
      <c r="O59" s="8">
        <f t="shared" si="37"/>
        <v>5.6038918695352367</v>
      </c>
      <c r="P59" s="11">
        <f t="shared" si="38"/>
        <v>0.13804173112231993</v>
      </c>
      <c r="Q59" s="11">
        <f t="shared" si="39"/>
        <v>2.0915208527474212</v>
      </c>
      <c r="R59" s="11">
        <f t="shared" si="40"/>
        <v>0.23799999999999999</v>
      </c>
      <c r="S59" s="12">
        <f t="shared" si="41"/>
        <v>-121</v>
      </c>
      <c r="T59" s="12">
        <f t="shared" si="30"/>
        <v>484</v>
      </c>
      <c r="U59" s="12">
        <f t="shared" si="42"/>
        <v>307</v>
      </c>
      <c r="V59" s="13">
        <f t="shared" si="43"/>
        <v>804</v>
      </c>
      <c r="W59" s="15">
        <f t="shared" si="44"/>
        <v>2.0499999999999998</v>
      </c>
      <c r="X59" s="35"/>
      <c r="Y59" s="18">
        <f t="shared" si="45"/>
        <v>297.39999999999998</v>
      </c>
      <c r="Z59" s="18">
        <f t="shared" si="46"/>
        <v>353.6</v>
      </c>
      <c r="AA59" s="18">
        <f t="shared" si="47"/>
        <v>227.9</v>
      </c>
      <c r="AC59" s="23">
        <f t="shared" si="48"/>
        <v>1176.7999999999997</v>
      </c>
      <c r="AD59" s="23">
        <f t="shared" si="49"/>
        <v>1031.3425084393662</v>
      </c>
      <c r="AE59" s="23">
        <f t="shared" si="50"/>
        <v>893.31983805667994</v>
      </c>
      <c r="AF59" s="23">
        <f t="shared" si="51"/>
        <v>686.58109684947476</v>
      </c>
      <c r="AG59" s="23">
        <f t="shared" si="52"/>
        <v>518.56639247943588</v>
      </c>
      <c r="AH59" s="23">
        <f t="shared" si="53"/>
        <v>305.18672199170118</v>
      </c>
      <c r="AI59" s="23">
        <f t="shared" si="54"/>
        <v>193.63756033347957</v>
      </c>
    </row>
    <row r="60" spans="1:36">
      <c r="A60" s="29">
        <v>1405</v>
      </c>
      <c r="B60" s="30">
        <v>1166.4000000000001</v>
      </c>
      <c r="C60" s="30">
        <v>1037</v>
      </c>
      <c r="D60" s="30">
        <v>877</v>
      </c>
      <c r="E60" s="30">
        <v>679.9</v>
      </c>
      <c r="F60" s="30">
        <v>532.79999999999995</v>
      </c>
      <c r="G60" s="30">
        <v>285.60000000000002</v>
      </c>
      <c r="H60" s="31">
        <v>171.9</v>
      </c>
      <c r="I60" s="9">
        <f t="shared" si="31"/>
        <v>1.1664000000000001</v>
      </c>
      <c r="J60" s="8">
        <f t="shared" si="32"/>
        <v>3.9254592927746654</v>
      </c>
      <c r="K60" s="8">
        <f t="shared" si="33"/>
        <v>4.3478027062480029</v>
      </c>
      <c r="L60" s="8">
        <f t="shared" si="34"/>
        <v>4.6839415762612848</v>
      </c>
      <c r="M60" s="8">
        <f t="shared" si="35"/>
        <v>4.9045547252502173</v>
      </c>
      <c r="N60" s="8">
        <f t="shared" si="36"/>
        <v>5.3184228756905831</v>
      </c>
      <c r="O60" s="8">
        <f t="shared" si="37"/>
        <v>5.591632683604427</v>
      </c>
      <c r="P60" s="11">
        <f t="shared" si="38"/>
        <v>0.12438288044599997</v>
      </c>
      <c r="Q60" s="11">
        <f t="shared" si="39"/>
        <v>2.1057304151938552</v>
      </c>
      <c r="R60" s="11">
        <f t="shared" si="40"/>
        <v>0.23499999999999999</v>
      </c>
      <c r="S60" s="12">
        <f t="shared" si="41"/>
        <v>-123</v>
      </c>
      <c r="T60" s="12">
        <f t="shared" si="30"/>
        <v>492</v>
      </c>
      <c r="U60" s="12">
        <f t="shared" si="42"/>
        <v>309</v>
      </c>
      <c r="V60" s="13">
        <f t="shared" si="43"/>
        <v>801</v>
      </c>
      <c r="W60" s="15">
        <f t="shared" si="44"/>
        <v>2.0630000000000002</v>
      </c>
      <c r="X60" s="35"/>
      <c r="Y60" s="18">
        <f t="shared" si="45"/>
        <v>289.39999999999998</v>
      </c>
      <c r="Z60" s="18">
        <f t="shared" si="46"/>
        <v>344.2</v>
      </c>
      <c r="AA60" s="18">
        <f t="shared" si="47"/>
        <v>247.2</v>
      </c>
      <c r="AC60" s="23">
        <f t="shared" si="48"/>
        <v>1166.4000000000001</v>
      </c>
      <c r="AD60" s="23">
        <f t="shared" si="49"/>
        <v>1023.8231469440832</v>
      </c>
      <c r="AE60" s="23">
        <f t="shared" si="50"/>
        <v>888.12182741116749</v>
      </c>
      <c r="AF60" s="23">
        <f t="shared" si="51"/>
        <v>684.10557184750735</v>
      </c>
      <c r="AG60" s="23">
        <f t="shared" si="52"/>
        <v>517.63313609467457</v>
      </c>
      <c r="AH60" s="23">
        <f t="shared" si="53"/>
        <v>305.34031413612564</v>
      </c>
      <c r="AI60" s="23">
        <f t="shared" si="54"/>
        <v>193.9689578713969</v>
      </c>
    </row>
    <row r="61" spans="1:36" ht="13.5" thickBot="1">
      <c r="A61" s="32">
        <v>1401</v>
      </c>
      <c r="B61" s="33">
        <v>1163.9000000000001</v>
      </c>
      <c r="C61" s="33">
        <v>1031.2</v>
      </c>
      <c r="D61" s="33">
        <v>869.2</v>
      </c>
      <c r="E61" s="33">
        <v>679.1</v>
      </c>
      <c r="F61" s="33">
        <v>536.9</v>
      </c>
      <c r="G61" s="33">
        <v>288.10000000000002</v>
      </c>
      <c r="H61" s="34">
        <v>178.9</v>
      </c>
      <c r="I61" s="9">
        <f t="shared" si="31"/>
        <v>1.1639000000000002</v>
      </c>
      <c r="J61" s="8">
        <f t="shared" si="32"/>
        <v>3.9388317913501134</v>
      </c>
      <c r="K61" s="8">
        <f t="shared" si="33"/>
        <v>4.3595641910324634</v>
      </c>
      <c r="L61" s="8">
        <f t="shared" si="34"/>
        <v>4.6829326535225091</v>
      </c>
      <c r="M61" s="8">
        <f t="shared" si="35"/>
        <v>4.8966779096985036</v>
      </c>
      <c r="N61" s="8">
        <f t="shared" si="36"/>
        <v>5.3121654554067188</v>
      </c>
      <c r="O61" s="8">
        <f t="shared" si="37"/>
        <v>5.5701296627612633</v>
      </c>
      <c r="P61" s="11">
        <f t="shared" si="38"/>
        <v>0.16166604767118692</v>
      </c>
      <c r="Q61" s="11">
        <f t="shared" si="39"/>
        <v>2.0629634336479969</v>
      </c>
      <c r="R61" s="11">
        <f t="shared" si="40"/>
        <v>0.23599999999999999</v>
      </c>
      <c r="S61" s="12">
        <f t="shared" si="41"/>
        <v>-123</v>
      </c>
      <c r="T61" s="12">
        <f t="shared" si="30"/>
        <v>492</v>
      </c>
      <c r="U61" s="12">
        <f t="shared" si="42"/>
        <v>309</v>
      </c>
      <c r="V61" s="13">
        <f t="shared" si="43"/>
        <v>798</v>
      </c>
      <c r="W61" s="15">
        <f t="shared" si="44"/>
        <v>2.0579999999999998</v>
      </c>
      <c r="X61" s="35"/>
      <c r="Y61" s="18">
        <f t="shared" si="45"/>
        <v>294.7</v>
      </c>
      <c r="Z61" s="18">
        <f t="shared" si="46"/>
        <v>332.3</v>
      </c>
      <c r="AA61" s="18">
        <f t="shared" si="47"/>
        <v>248.8</v>
      </c>
      <c r="AC61" s="23">
        <f t="shared" si="48"/>
        <v>1163.9000000000001</v>
      </c>
      <c r="AD61" s="23">
        <f t="shared" si="49"/>
        <v>1021.0976085261243</v>
      </c>
      <c r="AE61" s="23">
        <f t="shared" si="50"/>
        <v>885.31947261663288</v>
      </c>
      <c r="AF61" s="23">
        <f t="shared" si="51"/>
        <v>681.44028103044502</v>
      </c>
      <c r="AG61" s="23">
        <f t="shared" si="52"/>
        <v>515.30401416765051</v>
      </c>
      <c r="AH61" s="23">
        <f t="shared" si="53"/>
        <v>303.73173277661795</v>
      </c>
      <c r="AI61" s="23">
        <f t="shared" si="54"/>
        <v>192.86897923110914</v>
      </c>
    </row>
    <row r="62" spans="1:36">
      <c r="A62" s="24">
        <f>AVERAGE(A50:A53)</f>
        <v>387.5</v>
      </c>
      <c r="B62" s="24">
        <f>AVERAGE(B50:B53)</f>
        <v>422.02499999999998</v>
      </c>
      <c r="C62" s="24">
        <f t="shared" ref="C62:AA62" si="67">AVERAGE(C50:C53)</f>
        <v>358.6</v>
      </c>
      <c r="D62" s="24">
        <f t="shared" si="67"/>
        <v>299.22500000000002</v>
      </c>
      <c r="E62" s="24">
        <f t="shared" si="67"/>
        <v>220.17500000000001</v>
      </c>
      <c r="F62" s="24">
        <f t="shared" si="67"/>
        <v>163.14999999999998</v>
      </c>
      <c r="G62" s="24">
        <f t="shared" si="67"/>
        <v>87.600000000000009</v>
      </c>
      <c r="H62" s="24">
        <f t="shared" si="67"/>
        <v>48.900000000000006</v>
      </c>
      <c r="I62" s="24">
        <f t="shared" si="67"/>
        <v>0.42202499999999998</v>
      </c>
      <c r="J62" s="24">
        <f t="shared" si="67"/>
        <v>4.0772018305733768</v>
      </c>
      <c r="K62" s="24">
        <f t="shared" si="67"/>
        <v>4.4426557773228055</v>
      </c>
      <c r="L62" s="24">
        <f t="shared" si="67"/>
        <v>4.7915184327810083</v>
      </c>
      <c r="M62" s="24">
        <f t="shared" si="67"/>
        <v>5.0295583150391439</v>
      </c>
      <c r="N62" s="24">
        <f t="shared" si="67"/>
        <v>5.4106730485903034</v>
      </c>
      <c r="O62" s="24">
        <f t="shared" si="67"/>
        <v>5.7113756876340256</v>
      </c>
      <c r="P62" s="24">
        <f t="shared" si="67"/>
        <v>0.20141618549280454</v>
      </c>
      <c r="Q62" s="24">
        <f t="shared" si="67"/>
        <v>2.0750817389786027</v>
      </c>
      <c r="R62" s="24">
        <f t="shared" si="67"/>
        <v>0.30525000000000002</v>
      </c>
      <c r="S62" s="24">
        <f t="shared" si="67"/>
        <v>-262.5</v>
      </c>
      <c r="T62" s="24">
        <f t="shared" si="67"/>
        <v>1050</v>
      </c>
      <c r="U62" s="24">
        <f t="shared" si="67"/>
        <v>271.5</v>
      </c>
      <c r="V62" s="24">
        <f t="shared" si="67"/>
        <v>261</v>
      </c>
      <c r="W62" s="24">
        <f t="shared" si="67"/>
        <v>1.8102500000000001</v>
      </c>
      <c r="X62" s="36">
        <f>SLOPE(W62:W64,A62:A64)</f>
        <v>2.3096474537504858E-4</v>
      </c>
      <c r="Y62" s="24">
        <f t="shared" si="67"/>
        <v>122.8</v>
      </c>
      <c r="Z62" s="24">
        <f t="shared" si="67"/>
        <v>136.07499999999999</v>
      </c>
      <c r="AA62" s="24">
        <f t="shared" si="67"/>
        <v>75.55</v>
      </c>
      <c r="AB62"/>
      <c r="AC62" s="24">
        <f t="shared" ref="AC62:AI62" si="68">AVERAGE(AC50:AC53)</f>
        <v>422.02499999999992</v>
      </c>
      <c r="AD62" s="24">
        <f t="shared" si="68"/>
        <v>357.3700948649398</v>
      </c>
      <c r="AE62" s="24">
        <f t="shared" si="68"/>
        <v>299.93326741977035</v>
      </c>
      <c r="AF62" s="24">
        <f t="shared" si="68"/>
        <v>220.27741965255044</v>
      </c>
      <c r="AG62" s="24">
        <f t="shared" si="68"/>
        <v>160.57482116088903</v>
      </c>
      <c r="AH62" s="24">
        <f t="shared" si="68"/>
        <v>90.496524992489753</v>
      </c>
      <c r="AI62" s="24">
        <f t="shared" si="68"/>
        <v>56.17455816829964</v>
      </c>
    </row>
    <row r="63" spans="1:36">
      <c r="A63" s="24">
        <f>AVERAGE(A54:A57)</f>
        <v>711.5</v>
      </c>
      <c r="B63" s="24">
        <f>AVERAGE(B54:B57)</f>
        <v>693.37500000000011</v>
      </c>
      <c r="C63" s="24">
        <f t="shared" ref="C63:AA63" si="69">AVERAGE(C54:C57)</f>
        <v>599.07499999999993</v>
      </c>
      <c r="D63" s="24">
        <f t="shared" si="69"/>
        <v>504.02499999999998</v>
      </c>
      <c r="E63" s="24">
        <f t="shared" si="69"/>
        <v>381.59999999999997</v>
      </c>
      <c r="F63" s="24">
        <f t="shared" si="69"/>
        <v>289.125</v>
      </c>
      <c r="G63" s="24">
        <f t="shared" si="69"/>
        <v>158.85000000000002</v>
      </c>
      <c r="H63" s="24">
        <f t="shared" si="69"/>
        <v>91.075000000000003</v>
      </c>
      <c r="I63" s="24">
        <f t="shared" si="69"/>
        <v>0.69337499999999996</v>
      </c>
      <c r="J63" s="24">
        <f t="shared" si="69"/>
        <v>4.0262538618624983</v>
      </c>
      <c r="K63" s="24">
        <f t="shared" si="69"/>
        <v>4.404103281612306</v>
      </c>
      <c r="L63" s="24">
        <f t="shared" si="69"/>
        <v>4.7414815240264909</v>
      </c>
      <c r="M63" s="24">
        <f t="shared" si="69"/>
        <v>4.9748037908615501</v>
      </c>
      <c r="N63" s="24">
        <f t="shared" si="69"/>
        <v>5.3562471410493924</v>
      </c>
      <c r="O63" s="24">
        <f t="shared" si="69"/>
        <v>5.649684790726007</v>
      </c>
      <c r="P63" s="24">
        <f t="shared" si="69"/>
        <v>0.19603144716216486</v>
      </c>
      <c r="Q63" s="24">
        <f t="shared" si="69"/>
        <v>2.0562067206965331</v>
      </c>
      <c r="R63" s="24">
        <f t="shared" si="69"/>
        <v>0.27250000000000002</v>
      </c>
      <c r="S63" s="24">
        <f t="shared" si="69"/>
        <v>-178.5</v>
      </c>
      <c r="T63" s="24">
        <f t="shared" si="69"/>
        <v>714</v>
      </c>
      <c r="U63" s="24">
        <f t="shared" si="69"/>
        <v>287.5</v>
      </c>
      <c r="V63" s="24">
        <f t="shared" si="69"/>
        <v>449</v>
      </c>
      <c r="W63" s="24">
        <f t="shared" si="69"/>
        <v>1.9157500000000001</v>
      </c>
      <c r="X63" s="24"/>
      <c r="Y63" s="24">
        <f t="shared" si="69"/>
        <v>189.35000000000002</v>
      </c>
      <c r="Z63" s="24">
        <f t="shared" si="69"/>
        <v>214.9</v>
      </c>
      <c r="AA63" s="24">
        <f t="shared" si="69"/>
        <v>130.27500000000001</v>
      </c>
      <c r="AB63" s="24">
        <f>AC63/AC62</f>
        <v>1.6429713879509511</v>
      </c>
      <c r="AC63" s="24">
        <f t="shared" ref="AC63:AI63" si="70">AVERAGE(AC54:AC57)</f>
        <v>693.375</v>
      </c>
      <c r="AD63" s="24">
        <f t="shared" si="70"/>
        <v>596.96587298414295</v>
      </c>
      <c r="AE63" s="24">
        <f t="shared" si="70"/>
        <v>508.57467941830879</v>
      </c>
      <c r="AF63" s="24">
        <f t="shared" si="70"/>
        <v>381.48422926501394</v>
      </c>
      <c r="AG63" s="24">
        <f t="shared" si="70"/>
        <v>282.61233370770748</v>
      </c>
      <c r="AH63" s="24">
        <f t="shared" si="70"/>
        <v>162.37422968635337</v>
      </c>
      <c r="AI63" s="24">
        <f t="shared" si="70"/>
        <v>101.76174685046475</v>
      </c>
      <c r="AJ63" s="1">
        <f>AI63/AI62</f>
        <v>1.8115273207060276</v>
      </c>
    </row>
    <row r="64" spans="1:36" ht="13.5" thickBot="1">
      <c r="A64" s="24">
        <f>AVERAGE(A58:A61)</f>
        <v>1405.5</v>
      </c>
      <c r="B64" s="24">
        <f>AVERAGE(B58:B61)</f>
        <v>1169.4000000000001</v>
      </c>
      <c r="C64" s="24">
        <f t="shared" ref="C64:AA64" si="71">AVERAGE(C58:C61)</f>
        <v>1036.8499999999999</v>
      </c>
      <c r="D64" s="24">
        <f t="shared" si="71"/>
        <v>875.2</v>
      </c>
      <c r="E64" s="24">
        <f t="shared" si="71"/>
        <v>677.94999999999993</v>
      </c>
      <c r="F64" s="24">
        <f t="shared" si="71"/>
        <v>528.72499999999991</v>
      </c>
      <c r="G64" s="24">
        <f t="shared" si="71"/>
        <v>290.82499999999999</v>
      </c>
      <c r="H64" s="24">
        <f t="shared" si="71"/>
        <v>172.125</v>
      </c>
      <c r="I64" s="24">
        <f t="shared" si="71"/>
        <v>1.1694</v>
      </c>
      <c r="J64" s="24">
        <f t="shared" si="71"/>
        <v>3.9359230604379518</v>
      </c>
      <c r="K64" s="24">
        <f t="shared" si="71"/>
        <v>4.3558212709551221</v>
      </c>
      <c r="L64" s="24">
        <f t="shared" si="71"/>
        <v>4.6895587561974752</v>
      </c>
      <c r="M64" s="24">
        <f t="shared" si="71"/>
        <v>4.9126865843655585</v>
      </c>
      <c r="N64" s="24">
        <f t="shared" si="71"/>
        <v>5.3095046142858155</v>
      </c>
      <c r="O64" s="24">
        <f t="shared" si="71"/>
        <v>5.5923817409248864</v>
      </c>
      <c r="P64" s="24">
        <f t="shared" si="71"/>
        <v>0.1412470754269014</v>
      </c>
      <c r="Q64" s="24">
        <f t="shared" si="71"/>
        <v>2.0875185319389624</v>
      </c>
      <c r="R64" s="24">
        <f t="shared" si="71"/>
        <v>0.23749999999999999</v>
      </c>
      <c r="S64" s="24">
        <f t="shared" si="71"/>
        <v>-121.75</v>
      </c>
      <c r="T64" s="24">
        <f t="shared" si="71"/>
        <v>487</v>
      </c>
      <c r="U64" s="24">
        <f t="shared" si="71"/>
        <v>307.75</v>
      </c>
      <c r="V64" s="24">
        <f t="shared" si="71"/>
        <v>799.75</v>
      </c>
      <c r="W64" s="24">
        <f t="shared" si="71"/>
        <v>2.052</v>
      </c>
      <c r="X64" s="24"/>
      <c r="Y64" s="24">
        <f t="shared" si="71"/>
        <v>294.2</v>
      </c>
      <c r="Z64" s="24">
        <f t="shared" si="71"/>
        <v>346.47500000000002</v>
      </c>
      <c r="AA64" s="24">
        <f t="shared" si="71"/>
        <v>237.89999999999998</v>
      </c>
      <c r="AB64" s="24">
        <f>AC64/AC62</f>
        <v>2.7709258930158174</v>
      </c>
      <c r="AC64" s="24">
        <f t="shared" ref="AC64:AI64" si="72">AVERAGE(AC58:AC61)</f>
        <v>1169.4000000000001</v>
      </c>
      <c r="AD64" s="24">
        <f t="shared" si="72"/>
        <v>1025.1221745462294</v>
      </c>
      <c r="AE64" s="24">
        <f t="shared" si="72"/>
        <v>888.15219168560043</v>
      </c>
      <c r="AF64" s="24">
        <f t="shared" si="72"/>
        <v>682.86632826180448</v>
      </c>
      <c r="AG64" s="24">
        <f t="shared" si="72"/>
        <v>515.92066398182305</v>
      </c>
      <c r="AH64" s="24">
        <f t="shared" si="72"/>
        <v>303.75097177390154</v>
      </c>
      <c r="AI64" s="24">
        <f t="shared" si="72"/>
        <v>192.76732203593954</v>
      </c>
      <c r="AJ64" s="1">
        <f>AI64/AI62</f>
        <v>3.431577004280236</v>
      </c>
    </row>
    <row r="65" spans="1:36">
      <c r="A65" s="26">
        <v>366</v>
      </c>
      <c r="B65" s="27">
        <v>471.7</v>
      </c>
      <c r="C65" s="27">
        <v>389.2</v>
      </c>
      <c r="D65" s="27">
        <v>318.7</v>
      </c>
      <c r="E65" s="27">
        <v>223.9</v>
      </c>
      <c r="F65" s="27">
        <v>164.7</v>
      </c>
      <c r="G65" s="27">
        <v>86.3</v>
      </c>
      <c r="H65" s="28">
        <v>44.7</v>
      </c>
      <c r="I65" s="9">
        <f t="shared" si="31"/>
        <v>0.47170000000000001</v>
      </c>
      <c r="J65" s="8">
        <f t="shared" si="32"/>
        <v>4.1555848897846355</v>
      </c>
      <c r="K65" s="8">
        <f t="shared" si="33"/>
        <v>4.5106131401748915</v>
      </c>
      <c r="L65" s="8">
        <f t="shared" si="34"/>
        <v>4.873350981292039</v>
      </c>
      <c r="M65" s="8">
        <f t="shared" si="35"/>
        <v>5.0997485491384573</v>
      </c>
      <c r="N65" s="8">
        <f t="shared" si="36"/>
        <v>5.4792046874352494</v>
      </c>
      <c r="O65" s="8">
        <f t="shared" si="37"/>
        <v>5.8094241247241118</v>
      </c>
      <c r="P65" s="11">
        <f t="shared" si="38"/>
        <v>0.21328457372406509</v>
      </c>
      <c r="Q65" s="11">
        <f t="shared" si="39"/>
        <v>2.0903957209707378</v>
      </c>
      <c r="R65" s="11">
        <f t="shared" si="40"/>
        <v>0.36199999999999999</v>
      </c>
      <c r="S65" s="12">
        <f t="shared" si="41"/>
        <v>-198</v>
      </c>
      <c r="T65" s="12">
        <f t="shared" si="30"/>
        <v>792</v>
      </c>
      <c r="U65" s="12">
        <f t="shared" si="42"/>
        <v>249</v>
      </c>
      <c r="V65" s="13">
        <f t="shared" si="43"/>
        <v>272</v>
      </c>
      <c r="W65" s="15">
        <f t="shared" si="44"/>
        <v>1.6619999999999999</v>
      </c>
      <c r="X65" s="35"/>
      <c r="Y65" s="18">
        <f t="shared" si="45"/>
        <v>153</v>
      </c>
      <c r="Z65" s="18">
        <f t="shared" si="46"/>
        <v>154</v>
      </c>
      <c r="AA65" s="18">
        <f t="shared" si="47"/>
        <v>78.400000000000006</v>
      </c>
      <c r="AC65" s="23">
        <f t="shared" si="48"/>
        <v>471.69999999999993</v>
      </c>
      <c r="AD65" s="23">
        <f t="shared" si="49"/>
        <v>388.38436203952176</v>
      </c>
      <c r="AE65" s="23">
        <f t="shared" si="50"/>
        <v>318.14298561151077</v>
      </c>
      <c r="AF65" s="23">
        <f t="shared" si="51"/>
        <v>226.1265580057526</v>
      </c>
      <c r="AG65" s="23">
        <f t="shared" si="52"/>
        <v>160.95313921747041</v>
      </c>
      <c r="AH65" s="23">
        <f t="shared" si="53"/>
        <v>88.267215568862269</v>
      </c>
      <c r="AI65" s="23">
        <f t="shared" si="54"/>
        <v>54.077499235707727</v>
      </c>
    </row>
    <row r="66" spans="1:36">
      <c r="A66" s="29">
        <v>376</v>
      </c>
      <c r="B66" s="30">
        <v>426.1</v>
      </c>
      <c r="C66" s="30">
        <v>350.9</v>
      </c>
      <c r="D66" s="30">
        <v>288.89999999999998</v>
      </c>
      <c r="E66" s="30">
        <v>206</v>
      </c>
      <c r="F66" s="30">
        <v>154.19999999999999</v>
      </c>
      <c r="G66" s="30">
        <v>84</v>
      </c>
      <c r="H66" s="31">
        <v>46</v>
      </c>
      <c r="I66" s="9">
        <f t="shared" si="31"/>
        <v>0.42610000000000003</v>
      </c>
      <c r="J66" s="8">
        <f t="shared" si="32"/>
        <v>4.160338245207261</v>
      </c>
      <c r="K66" s="8">
        <f t="shared" si="33"/>
        <v>4.505910342357561</v>
      </c>
      <c r="L66" s="8">
        <f t="shared" si="34"/>
        <v>4.8580565950152197</v>
      </c>
      <c r="M66" s="8">
        <f t="shared" si="35"/>
        <v>5.075628606703587</v>
      </c>
      <c r="N66" s="8">
        <f t="shared" si="36"/>
        <v>5.4391775609542057</v>
      </c>
      <c r="O66" s="8">
        <f t="shared" si="37"/>
        <v>5.7464438107525542</v>
      </c>
      <c r="P66" s="11">
        <f t="shared" si="38"/>
        <v>0.33759526438975329</v>
      </c>
      <c r="Q66" s="11">
        <f t="shared" si="39"/>
        <v>2.0079603541651139</v>
      </c>
      <c r="R66" s="11">
        <f t="shared" si="40"/>
        <v>0.34899999999999998</v>
      </c>
      <c r="S66" s="12">
        <f t="shared" si="41"/>
        <v>-227</v>
      </c>
      <c r="T66" s="12">
        <f t="shared" si="30"/>
        <v>908</v>
      </c>
      <c r="U66" s="12">
        <f t="shared" si="42"/>
        <v>254</v>
      </c>
      <c r="V66" s="13">
        <f t="shared" si="43"/>
        <v>249</v>
      </c>
      <c r="W66" s="15">
        <f t="shared" si="44"/>
        <v>1.6930000000000001</v>
      </c>
      <c r="X66" s="35"/>
      <c r="Y66" s="18">
        <f t="shared" si="45"/>
        <v>137.19999999999999</v>
      </c>
      <c r="Z66" s="18">
        <f t="shared" si="46"/>
        <v>134.69999999999999</v>
      </c>
      <c r="AA66" s="18">
        <f t="shared" si="47"/>
        <v>70.2</v>
      </c>
      <c r="AC66" s="23">
        <f t="shared" si="48"/>
        <v>426.10000000000008</v>
      </c>
      <c r="AD66" s="23">
        <f t="shared" si="49"/>
        <v>353.07819788853431</v>
      </c>
      <c r="AE66" s="23">
        <f t="shared" si="50"/>
        <v>290.78707916287539</v>
      </c>
      <c r="AF66" s="23">
        <f t="shared" si="51"/>
        <v>208.15828041035664</v>
      </c>
      <c r="AG66" s="23">
        <f t="shared" si="52"/>
        <v>148.91658900279592</v>
      </c>
      <c r="AH66" s="23">
        <f t="shared" si="53"/>
        <v>82.131842713955294</v>
      </c>
      <c r="AI66" s="23">
        <f t="shared" si="54"/>
        <v>50.453899589516901</v>
      </c>
    </row>
    <row r="67" spans="1:36">
      <c r="A67" s="29">
        <v>374</v>
      </c>
      <c r="B67" s="30">
        <v>410.6</v>
      </c>
      <c r="C67" s="30">
        <v>340.5</v>
      </c>
      <c r="D67" s="30">
        <v>281.10000000000002</v>
      </c>
      <c r="E67" s="30">
        <v>202</v>
      </c>
      <c r="F67" s="30">
        <v>151.9</v>
      </c>
      <c r="G67" s="30">
        <v>84.2</v>
      </c>
      <c r="H67" s="31">
        <v>46.3</v>
      </c>
      <c r="I67" s="9">
        <f t="shared" si="31"/>
        <v>0.41060000000000002</v>
      </c>
      <c r="J67" s="8">
        <f t="shared" si="32"/>
        <v>4.1429046745488796</v>
      </c>
      <c r="K67" s="8">
        <f t="shared" si="33"/>
        <v>4.4927126956408552</v>
      </c>
      <c r="L67" s="8">
        <f t="shared" si="34"/>
        <v>4.8432667074749132</v>
      </c>
      <c r="M67" s="8">
        <f t="shared" si="35"/>
        <v>5.0605424276847817</v>
      </c>
      <c r="N67" s="8">
        <f t="shared" si="36"/>
        <v>5.4177418314131991</v>
      </c>
      <c r="O67" s="8">
        <f t="shared" si="37"/>
        <v>5.7251819530549879</v>
      </c>
      <c r="P67" s="11">
        <f t="shared" si="38"/>
        <v>0.34088431166310257</v>
      </c>
      <c r="Q67" s="11">
        <f t="shared" si="39"/>
        <v>2.0000511399727272</v>
      </c>
      <c r="R67" s="11">
        <f t="shared" si="40"/>
        <v>0.33600000000000002</v>
      </c>
      <c r="S67" s="12">
        <f t="shared" si="41"/>
        <v>-245</v>
      </c>
      <c r="T67" s="12">
        <f t="shared" si="30"/>
        <v>980</v>
      </c>
      <c r="U67" s="12">
        <f t="shared" si="42"/>
        <v>259</v>
      </c>
      <c r="V67" s="13">
        <f t="shared" si="43"/>
        <v>244</v>
      </c>
      <c r="W67" s="15">
        <f t="shared" si="44"/>
        <v>1.7250000000000001</v>
      </c>
      <c r="X67" s="35"/>
      <c r="Y67" s="18">
        <f t="shared" si="45"/>
        <v>129.5</v>
      </c>
      <c r="Z67" s="18">
        <f t="shared" si="46"/>
        <v>129.19999999999999</v>
      </c>
      <c r="AA67" s="18">
        <f t="shared" si="47"/>
        <v>67.7</v>
      </c>
      <c r="AC67" s="23">
        <f t="shared" si="48"/>
        <v>410.60000000000008</v>
      </c>
      <c r="AD67" s="23">
        <f t="shared" si="49"/>
        <v>342.42031134173465</v>
      </c>
      <c r="AE67" s="23">
        <f t="shared" si="50"/>
        <v>283.56353591160223</v>
      </c>
      <c r="AF67" s="23">
        <f t="shared" si="51"/>
        <v>204.48207171314743</v>
      </c>
      <c r="AG67" s="23">
        <f t="shared" si="52"/>
        <v>147.0630372492837</v>
      </c>
      <c r="AH67" s="23">
        <f t="shared" si="53"/>
        <v>81.597774244833076</v>
      </c>
      <c r="AI67" s="23">
        <f t="shared" si="54"/>
        <v>50.269343780607258</v>
      </c>
    </row>
    <row r="68" spans="1:36">
      <c r="A68" s="29">
        <v>375</v>
      </c>
      <c r="B68" s="30">
        <v>405.6</v>
      </c>
      <c r="C68" s="30">
        <v>336.7</v>
      </c>
      <c r="D68" s="30">
        <v>279.10000000000002</v>
      </c>
      <c r="E68" s="30">
        <v>201.5</v>
      </c>
      <c r="F68" s="30">
        <v>151.9</v>
      </c>
      <c r="G68" s="30">
        <v>84.5</v>
      </c>
      <c r="H68" s="31">
        <v>47</v>
      </c>
      <c r="I68" s="9">
        <f t="shared" si="31"/>
        <v>0.40560000000000002</v>
      </c>
      <c r="J68" s="8">
        <f t="shared" si="32"/>
        <v>4.1402798783505625</v>
      </c>
      <c r="K68" s="8">
        <f t="shared" si="33"/>
        <v>4.4856344618542305</v>
      </c>
      <c r="L68" s="8">
        <f t="shared" si="34"/>
        <v>4.8348717270699675</v>
      </c>
      <c r="M68" s="8">
        <f t="shared" si="35"/>
        <v>5.0520664661899692</v>
      </c>
      <c r="N68" s="8">
        <f t="shared" si="36"/>
        <v>5.4090873694478354</v>
      </c>
      <c r="O68" s="8">
        <f t="shared" si="37"/>
        <v>5.7118162001214712</v>
      </c>
      <c r="P68" s="11">
        <f t="shared" si="38"/>
        <v>0.35774295840356601</v>
      </c>
      <c r="Q68" s="11">
        <f t="shared" si="39"/>
        <v>1.9893154801458373</v>
      </c>
      <c r="R68" s="11">
        <f t="shared" si="40"/>
        <v>0.33</v>
      </c>
      <c r="S68" s="12">
        <f t="shared" si="41"/>
        <v>-252</v>
      </c>
      <c r="T68" s="12">
        <f t="shared" si="30"/>
        <v>1008</v>
      </c>
      <c r="U68" s="12">
        <f t="shared" si="42"/>
        <v>261</v>
      </c>
      <c r="V68" s="13">
        <f t="shared" si="43"/>
        <v>243</v>
      </c>
      <c r="W68" s="15">
        <f t="shared" si="44"/>
        <v>1.7410000000000001</v>
      </c>
      <c r="X68" s="35"/>
      <c r="Y68" s="18">
        <f t="shared" si="45"/>
        <v>126.5</v>
      </c>
      <c r="Z68" s="18">
        <f t="shared" si="46"/>
        <v>127.2</v>
      </c>
      <c r="AA68" s="18">
        <f t="shared" si="47"/>
        <v>67.400000000000006</v>
      </c>
      <c r="AC68" s="23">
        <f t="shared" si="48"/>
        <v>405.60000000000008</v>
      </c>
      <c r="AD68" s="23">
        <f t="shared" si="49"/>
        <v>339.25650557620821</v>
      </c>
      <c r="AE68" s="23">
        <f t="shared" si="50"/>
        <v>281.66666666666669</v>
      </c>
      <c r="AF68" s="23">
        <f t="shared" si="51"/>
        <v>203.81909547738695</v>
      </c>
      <c r="AG68" s="23">
        <f t="shared" si="52"/>
        <v>146.95652173913047</v>
      </c>
      <c r="AH68" s="23">
        <f t="shared" si="53"/>
        <v>81.774193548387103</v>
      </c>
      <c r="AI68" s="23">
        <f t="shared" si="54"/>
        <v>50.447761194029859</v>
      </c>
    </row>
    <row r="69" spans="1:36">
      <c r="A69" s="29">
        <v>720</v>
      </c>
      <c r="B69" s="30">
        <v>732.9</v>
      </c>
      <c r="C69" s="30">
        <v>616.79999999999995</v>
      </c>
      <c r="D69" s="30">
        <v>518.4</v>
      </c>
      <c r="E69" s="30">
        <v>383.5</v>
      </c>
      <c r="F69" s="30">
        <v>291.8</v>
      </c>
      <c r="G69" s="30">
        <v>164.7</v>
      </c>
      <c r="H69" s="31">
        <v>90.6</v>
      </c>
      <c r="I69" s="9">
        <f t="shared" si="31"/>
        <v>0.7329</v>
      </c>
      <c r="J69" s="8">
        <f t="shared" si="32"/>
        <v>4.1039916275266979</v>
      </c>
      <c r="K69" s="8">
        <f t="shared" si="33"/>
        <v>4.446066076489231</v>
      </c>
      <c r="L69" s="8">
        <f t="shared" si="34"/>
        <v>4.7888613051929374</v>
      </c>
      <c r="M69" s="8">
        <f t="shared" si="35"/>
        <v>5.0087555430519997</v>
      </c>
      <c r="N69" s="8">
        <f t="shared" si="36"/>
        <v>5.3671114030481881</v>
      </c>
      <c r="O69" s="8">
        <f t="shared" si="37"/>
        <v>5.6799134971683127</v>
      </c>
      <c r="P69" s="11">
        <f t="shared" si="38"/>
        <v>0.32160321827827781</v>
      </c>
      <c r="Q69" s="11">
        <f t="shared" si="39"/>
        <v>1.9916825147252435</v>
      </c>
      <c r="R69" s="11">
        <f t="shared" si="40"/>
        <v>0.3</v>
      </c>
      <c r="S69" s="12">
        <f t="shared" si="41"/>
        <v>-153</v>
      </c>
      <c r="T69" s="12">
        <f t="shared" si="30"/>
        <v>612</v>
      </c>
      <c r="U69" s="12">
        <f t="shared" si="42"/>
        <v>274</v>
      </c>
      <c r="V69" s="13">
        <f t="shared" si="43"/>
        <v>457</v>
      </c>
      <c r="W69" s="15">
        <f t="shared" si="44"/>
        <v>1.8260000000000001</v>
      </c>
      <c r="X69" s="35"/>
      <c r="Y69" s="18">
        <f t="shared" si="45"/>
        <v>214.5</v>
      </c>
      <c r="Z69" s="18">
        <f t="shared" si="46"/>
        <v>226.6</v>
      </c>
      <c r="AA69" s="18">
        <f t="shared" si="47"/>
        <v>127.1</v>
      </c>
      <c r="AC69" s="23">
        <f t="shared" si="48"/>
        <v>732.89999999999986</v>
      </c>
      <c r="AD69" s="23">
        <f t="shared" si="49"/>
        <v>622.2735849056603</v>
      </c>
      <c r="AE69" s="23">
        <f t="shared" si="50"/>
        <v>523.49999999999989</v>
      </c>
      <c r="AF69" s="23">
        <f t="shared" si="51"/>
        <v>385.73684210526312</v>
      </c>
      <c r="AG69" s="23">
        <f t="shared" si="52"/>
        <v>281.88461538461536</v>
      </c>
      <c r="AH69" s="23">
        <f t="shared" si="53"/>
        <v>159.32608695652172</v>
      </c>
      <c r="AI69" s="23">
        <f t="shared" si="54"/>
        <v>99.040540540540519</v>
      </c>
    </row>
    <row r="70" spans="1:36">
      <c r="A70" s="29">
        <v>706</v>
      </c>
      <c r="B70" s="30">
        <v>706.6</v>
      </c>
      <c r="C70" s="30">
        <v>597.5</v>
      </c>
      <c r="D70" s="30">
        <v>503.7</v>
      </c>
      <c r="E70" s="30">
        <v>374.9</v>
      </c>
      <c r="F70" s="30">
        <v>286.5</v>
      </c>
      <c r="G70" s="30">
        <v>163.6</v>
      </c>
      <c r="H70" s="31">
        <v>92.1</v>
      </c>
      <c r="I70" s="9">
        <f t="shared" si="31"/>
        <v>0.70660000000000001</v>
      </c>
      <c r="J70" s="8">
        <f t="shared" si="32"/>
        <v>4.0907906137991912</v>
      </c>
      <c r="K70" s="8">
        <f t="shared" si="33"/>
        <v>4.4344138690066597</v>
      </c>
      <c r="L70" s="8">
        <f t="shared" si="34"/>
        <v>4.7761338039289569</v>
      </c>
      <c r="M70" s="8">
        <f t="shared" si="35"/>
        <v>4.9955318280656078</v>
      </c>
      <c r="N70" s="8">
        <f t="shared" si="36"/>
        <v>5.3503203030845681</v>
      </c>
      <c r="O70" s="8">
        <f t="shared" si="37"/>
        <v>5.6535660298566492</v>
      </c>
      <c r="P70" s="11">
        <f t="shared" si="38"/>
        <v>0.3395357003256339</v>
      </c>
      <c r="Q70" s="11">
        <f t="shared" si="39"/>
        <v>1.9771941662877632</v>
      </c>
      <c r="R70" s="11">
        <f t="shared" si="40"/>
        <v>0.29099999999999998</v>
      </c>
      <c r="S70" s="12">
        <f t="shared" si="41"/>
        <v>-164</v>
      </c>
      <c r="T70" s="12">
        <f t="shared" si="30"/>
        <v>656</v>
      </c>
      <c r="U70" s="12">
        <f t="shared" si="42"/>
        <v>278</v>
      </c>
      <c r="V70" s="13">
        <f t="shared" si="43"/>
        <v>446</v>
      </c>
      <c r="W70" s="15">
        <f t="shared" si="44"/>
        <v>1.8540000000000001</v>
      </c>
      <c r="X70" s="35"/>
      <c r="Y70" s="18">
        <f t="shared" si="45"/>
        <v>202.9</v>
      </c>
      <c r="Z70" s="18">
        <f t="shared" si="46"/>
        <v>217.2</v>
      </c>
      <c r="AA70" s="18">
        <f t="shared" si="47"/>
        <v>122.9</v>
      </c>
      <c r="AC70" s="23">
        <f t="shared" si="48"/>
        <v>706.60000000000014</v>
      </c>
      <c r="AD70" s="23">
        <f t="shared" si="49"/>
        <v>602.67247915087194</v>
      </c>
      <c r="AE70" s="23">
        <f t="shared" si="50"/>
        <v>509.07780979827095</v>
      </c>
      <c r="AF70" s="23">
        <f t="shared" si="51"/>
        <v>377.25573945541919</v>
      </c>
      <c r="AG70" s="23">
        <f t="shared" si="52"/>
        <v>276.88087774294678</v>
      </c>
      <c r="AH70" s="23">
        <f t="shared" si="53"/>
        <v>157.30186999109532</v>
      </c>
      <c r="AI70" s="23">
        <f t="shared" si="54"/>
        <v>98.029966703662609</v>
      </c>
    </row>
    <row r="71" spans="1:36">
      <c r="A71" s="29">
        <v>705</v>
      </c>
      <c r="B71" s="30">
        <v>701</v>
      </c>
      <c r="C71" s="30">
        <v>594.20000000000005</v>
      </c>
      <c r="D71" s="30">
        <v>501.8</v>
      </c>
      <c r="E71" s="30">
        <v>373.9</v>
      </c>
      <c r="F71" s="30">
        <v>286.60000000000002</v>
      </c>
      <c r="G71" s="30">
        <v>163.5</v>
      </c>
      <c r="H71" s="31">
        <v>92.4</v>
      </c>
      <c r="I71" s="9">
        <f t="shared" si="31"/>
        <v>0.70099999999999996</v>
      </c>
      <c r="J71" s="8">
        <f t="shared" si="32"/>
        <v>4.0839423780559168</v>
      </c>
      <c r="K71" s="8">
        <f t="shared" si="33"/>
        <v>4.4280624499401133</v>
      </c>
      <c r="L71" s="8">
        <f t="shared" si="34"/>
        <v>4.7712288518017871</v>
      </c>
      <c r="M71" s="8">
        <f t="shared" si="35"/>
        <v>4.9894473335068756</v>
      </c>
      <c r="N71" s="8">
        <f t="shared" si="36"/>
        <v>5.3461644844223626</v>
      </c>
      <c r="O71" s="8">
        <f t="shared" si="37"/>
        <v>5.6479637496330666</v>
      </c>
      <c r="P71" s="11">
        <f t="shared" si="38"/>
        <v>0.33043917739744394</v>
      </c>
      <c r="Q71" s="11">
        <f t="shared" si="39"/>
        <v>1.9794607680593239</v>
      </c>
      <c r="R71" s="11">
        <f t="shared" si="40"/>
        <v>0.28699999999999998</v>
      </c>
      <c r="S71" s="12">
        <f t="shared" si="41"/>
        <v>-168</v>
      </c>
      <c r="T71" s="12">
        <f t="shared" si="30"/>
        <v>672</v>
      </c>
      <c r="U71" s="12">
        <f t="shared" si="42"/>
        <v>280</v>
      </c>
      <c r="V71" s="13">
        <f t="shared" si="43"/>
        <v>445</v>
      </c>
      <c r="W71" s="15">
        <f t="shared" si="44"/>
        <v>1.867</v>
      </c>
      <c r="X71" s="35"/>
      <c r="Y71" s="18">
        <f t="shared" si="45"/>
        <v>199.2</v>
      </c>
      <c r="Z71" s="18">
        <f t="shared" si="46"/>
        <v>215.2</v>
      </c>
      <c r="AA71" s="18">
        <f t="shared" si="47"/>
        <v>123.1</v>
      </c>
      <c r="AC71" s="23">
        <f t="shared" si="48"/>
        <v>701</v>
      </c>
      <c r="AD71" s="23">
        <f t="shared" si="49"/>
        <v>599.10736895416562</v>
      </c>
      <c r="AE71" s="23">
        <f t="shared" si="50"/>
        <v>506.99132111861138</v>
      </c>
      <c r="AF71" s="23">
        <f t="shared" si="51"/>
        <v>376.67920472864051</v>
      </c>
      <c r="AG71" s="23">
        <f t="shared" si="52"/>
        <v>277.00210748155956</v>
      </c>
      <c r="AH71" s="23">
        <f t="shared" si="53"/>
        <v>157.74077407740774</v>
      </c>
      <c r="AI71" s="23">
        <f t="shared" si="54"/>
        <v>98.418195432422323</v>
      </c>
    </row>
    <row r="72" spans="1:36">
      <c r="A72" s="29">
        <v>706</v>
      </c>
      <c r="B72" s="30">
        <v>698.2</v>
      </c>
      <c r="C72" s="30">
        <v>593.4</v>
      </c>
      <c r="D72" s="30">
        <v>501.7</v>
      </c>
      <c r="E72" s="30">
        <v>374.9</v>
      </c>
      <c r="F72" s="30">
        <v>287.3</v>
      </c>
      <c r="G72" s="30">
        <v>164.3</v>
      </c>
      <c r="H72" s="31">
        <v>93.2</v>
      </c>
      <c r="I72" s="9">
        <f t="shared" si="31"/>
        <v>0.69820000000000004</v>
      </c>
      <c r="J72" s="8">
        <f t="shared" si="32"/>
        <v>4.0763175134979095</v>
      </c>
      <c r="K72" s="8">
        <f t="shared" si="33"/>
        <v>4.4222222265147186</v>
      </c>
      <c r="L72" s="8">
        <f t="shared" si="34"/>
        <v>4.7649940370210304</v>
      </c>
      <c r="M72" s="8">
        <f t="shared" si="35"/>
        <v>4.9847042881009491</v>
      </c>
      <c r="N72" s="8">
        <f t="shared" si="36"/>
        <v>5.3411261302538717</v>
      </c>
      <c r="O72" s="8">
        <f t="shared" si="37"/>
        <v>5.6416432351295125</v>
      </c>
      <c r="P72" s="11">
        <f t="shared" si="38"/>
        <v>0.32192554110688765</v>
      </c>
      <c r="Q72" s="11">
        <f t="shared" si="39"/>
        <v>1.981444077337196</v>
      </c>
      <c r="R72" s="11">
        <f t="shared" si="40"/>
        <v>0.28299999999999997</v>
      </c>
      <c r="S72" s="12">
        <f t="shared" si="41"/>
        <v>-171</v>
      </c>
      <c r="T72" s="12">
        <f t="shared" si="30"/>
        <v>684</v>
      </c>
      <c r="U72" s="12">
        <f t="shared" si="42"/>
        <v>282</v>
      </c>
      <c r="V72" s="13">
        <f t="shared" si="43"/>
        <v>445</v>
      </c>
      <c r="W72" s="15">
        <f t="shared" si="44"/>
        <v>1.88</v>
      </c>
      <c r="X72" s="35"/>
      <c r="Y72" s="18">
        <f t="shared" si="45"/>
        <v>196.5</v>
      </c>
      <c r="Z72" s="18">
        <f t="shared" si="46"/>
        <v>214.4</v>
      </c>
      <c r="AA72" s="18">
        <f t="shared" si="47"/>
        <v>123</v>
      </c>
      <c r="AC72" s="23">
        <f t="shared" si="48"/>
        <v>698.20000000000016</v>
      </c>
      <c r="AD72" s="23">
        <f t="shared" si="49"/>
        <v>597.92565338746522</v>
      </c>
      <c r="AE72" s="23">
        <f t="shared" si="50"/>
        <v>506.92158760890618</v>
      </c>
      <c r="AF72" s="23">
        <f t="shared" si="51"/>
        <v>377.60951865873449</v>
      </c>
      <c r="AG72" s="23">
        <f t="shared" si="52"/>
        <v>278.24123273113713</v>
      </c>
      <c r="AH72" s="23">
        <f t="shared" si="53"/>
        <v>158.82620564149229</v>
      </c>
      <c r="AI72" s="23">
        <f t="shared" si="54"/>
        <v>99.213717317165617</v>
      </c>
    </row>
    <row r="73" spans="1:36">
      <c r="A73" s="29">
        <v>1384</v>
      </c>
      <c r="B73" s="30">
        <v>1190.8</v>
      </c>
      <c r="C73" s="30">
        <v>1019.7</v>
      </c>
      <c r="D73" s="30">
        <v>868.1</v>
      </c>
      <c r="E73" s="30">
        <v>661.4</v>
      </c>
      <c r="F73" s="30">
        <v>515.6</v>
      </c>
      <c r="G73" s="30">
        <v>299.39999999999998</v>
      </c>
      <c r="H73" s="31">
        <v>171.8</v>
      </c>
      <c r="I73" s="9">
        <f t="shared" si="31"/>
        <v>1.1907999999999999</v>
      </c>
      <c r="J73" s="8">
        <f t="shared" si="32"/>
        <v>4.054081363069403</v>
      </c>
      <c r="K73" s="8">
        <f t="shared" si="33"/>
        <v>4.3995329820138691</v>
      </c>
      <c r="L73" s="8">
        <f t="shared" si="34"/>
        <v>4.7326235192186701</v>
      </c>
      <c r="M73" s="8">
        <f t="shared" si="35"/>
        <v>4.9464232977672582</v>
      </c>
      <c r="N73" s="8">
        <f t="shared" si="36"/>
        <v>5.3031246065741486</v>
      </c>
      <c r="O73" s="8">
        <f t="shared" si="37"/>
        <v>5.6024547973422276</v>
      </c>
      <c r="P73" s="11">
        <f t="shared" si="38"/>
        <v>0.34968800899848124</v>
      </c>
      <c r="Q73" s="11">
        <f t="shared" si="39"/>
        <v>1.9563058491893224</v>
      </c>
      <c r="R73" s="11">
        <f t="shared" si="40"/>
        <v>0.26400000000000001</v>
      </c>
      <c r="S73" s="12">
        <f t="shared" si="41"/>
        <v>-107</v>
      </c>
      <c r="T73" s="12">
        <f t="shared" si="30"/>
        <v>428</v>
      </c>
      <c r="U73" s="12">
        <f t="shared" si="42"/>
        <v>292</v>
      </c>
      <c r="V73" s="13">
        <f t="shared" si="43"/>
        <v>781</v>
      </c>
      <c r="W73" s="15">
        <f t="shared" si="44"/>
        <v>1.946</v>
      </c>
      <c r="X73" s="35"/>
      <c r="Y73" s="18">
        <f t="shared" si="45"/>
        <v>322.7</v>
      </c>
      <c r="Z73" s="18">
        <f t="shared" si="46"/>
        <v>352.5</v>
      </c>
      <c r="AA73" s="18">
        <f t="shared" si="47"/>
        <v>216.2</v>
      </c>
      <c r="AC73" s="23">
        <f t="shared" si="48"/>
        <v>1190.7999999999997</v>
      </c>
      <c r="AD73" s="23">
        <f t="shared" si="49"/>
        <v>1029.707916986933</v>
      </c>
      <c r="AE73" s="23">
        <f t="shared" si="50"/>
        <v>880.7692307692306</v>
      </c>
      <c r="AF73" s="23">
        <f t="shared" si="51"/>
        <v>664.50892857142844</v>
      </c>
      <c r="AG73" s="23">
        <f t="shared" si="52"/>
        <v>494.51827242524905</v>
      </c>
      <c r="AH73" s="23">
        <f t="shared" si="53"/>
        <v>285.70057581573889</v>
      </c>
      <c r="AI73" s="23">
        <f t="shared" si="54"/>
        <v>179.55367913148368</v>
      </c>
    </row>
    <row r="74" spans="1:36">
      <c r="A74" s="29">
        <v>1390</v>
      </c>
      <c r="B74" s="30">
        <v>1206.0999999999999</v>
      </c>
      <c r="C74" s="30">
        <v>1024.9000000000001</v>
      </c>
      <c r="D74" s="30">
        <v>874.1</v>
      </c>
      <c r="E74" s="30">
        <v>667.3</v>
      </c>
      <c r="F74" s="30">
        <v>523.79999999999995</v>
      </c>
      <c r="G74" s="30">
        <v>303</v>
      </c>
      <c r="H74" s="31">
        <v>177</v>
      </c>
      <c r="I74" s="9">
        <f t="shared" si="31"/>
        <v>1.2060999999999999</v>
      </c>
      <c r="J74" s="8">
        <f t="shared" si="32"/>
        <v>4.0767804730403752</v>
      </c>
      <c r="K74" s="8">
        <f t="shared" si="33"/>
        <v>4.4088807362989906</v>
      </c>
      <c r="L74" s="8">
        <f t="shared" si="34"/>
        <v>4.7364102350312018</v>
      </c>
      <c r="M74" s="8">
        <f t="shared" si="35"/>
        <v>4.944113650021718</v>
      </c>
      <c r="N74" s="8">
        <f t="shared" si="36"/>
        <v>5.3035969866063857</v>
      </c>
      <c r="O74" s="8">
        <f t="shared" si="37"/>
        <v>5.5937880846699919</v>
      </c>
      <c r="P74" s="11">
        <f t="shared" si="38"/>
        <v>0.43893752298966299</v>
      </c>
      <c r="Q74" s="11">
        <f t="shared" si="39"/>
        <v>1.9213982368888023</v>
      </c>
      <c r="R74" s="11">
        <f t="shared" si="40"/>
        <v>0.26800000000000002</v>
      </c>
      <c r="S74" s="12">
        <f t="shared" si="41"/>
        <v>-104</v>
      </c>
      <c r="T74" s="12">
        <f t="shared" si="30"/>
        <v>416</v>
      </c>
      <c r="U74" s="12">
        <f t="shared" si="42"/>
        <v>290</v>
      </c>
      <c r="V74" s="13">
        <f t="shared" si="43"/>
        <v>786</v>
      </c>
      <c r="W74" s="15">
        <f t="shared" si="44"/>
        <v>1.9319999999999999</v>
      </c>
      <c r="X74" s="35"/>
      <c r="Y74" s="18">
        <f t="shared" si="45"/>
        <v>332</v>
      </c>
      <c r="Z74" s="18">
        <f t="shared" si="46"/>
        <v>350.3</v>
      </c>
      <c r="AA74" s="18">
        <f t="shared" si="47"/>
        <v>220.8</v>
      </c>
      <c r="AC74" s="23">
        <f t="shared" si="48"/>
        <v>1206.0999999999999</v>
      </c>
      <c r="AD74" s="23">
        <f t="shared" si="49"/>
        <v>1040.8047813858348</v>
      </c>
      <c r="AE74" s="23">
        <f t="shared" si="50"/>
        <v>888.58055009823181</v>
      </c>
      <c r="AF74" s="23">
        <f t="shared" si="51"/>
        <v>668.56984478935703</v>
      </c>
      <c r="AG74" s="23">
        <f t="shared" si="52"/>
        <v>496.47365532381997</v>
      </c>
      <c r="AH74" s="23">
        <f t="shared" si="53"/>
        <v>286.07685009487665</v>
      </c>
      <c r="AI74" s="23">
        <f t="shared" si="54"/>
        <v>179.55041683207622</v>
      </c>
    </row>
    <row r="75" spans="1:36">
      <c r="A75" s="29">
        <v>1391</v>
      </c>
      <c r="B75" s="30">
        <v>1215.3</v>
      </c>
      <c r="C75" s="30">
        <v>1025.8</v>
      </c>
      <c r="D75" s="30">
        <v>875.9</v>
      </c>
      <c r="E75" s="30">
        <v>671.4</v>
      </c>
      <c r="F75" s="30">
        <v>526.1</v>
      </c>
      <c r="G75" s="30">
        <v>306.2</v>
      </c>
      <c r="H75" s="31">
        <v>181.3</v>
      </c>
      <c r="I75" s="9">
        <f t="shared" si="31"/>
        <v>1.2153</v>
      </c>
      <c r="J75" s="8">
        <f t="shared" si="32"/>
        <v>4.0958502924053812</v>
      </c>
      <c r="K75" s="8">
        <f t="shared" si="33"/>
        <v>4.4175610844702051</v>
      </c>
      <c r="L75" s="8">
        <f t="shared" si="34"/>
        <v>4.7378414947342025</v>
      </c>
      <c r="M75" s="8">
        <f t="shared" si="35"/>
        <v>4.9465807398098569</v>
      </c>
      <c r="N75" s="8">
        <f t="shared" si="36"/>
        <v>5.3019102442336621</v>
      </c>
      <c r="O75" s="8">
        <f t="shared" si="37"/>
        <v>5.5854265074934402</v>
      </c>
      <c r="P75" s="11">
        <f t="shared" si="38"/>
        <v>0.53684455053576075</v>
      </c>
      <c r="Q75" s="11">
        <f t="shared" si="39"/>
        <v>1.8904263264180705</v>
      </c>
      <c r="R75" s="11">
        <f t="shared" si="40"/>
        <v>0.27200000000000002</v>
      </c>
      <c r="S75" s="12">
        <f t="shared" si="41"/>
        <v>-102</v>
      </c>
      <c r="T75" s="12">
        <f t="shared" si="30"/>
        <v>408</v>
      </c>
      <c r="U75" s="12">
        <f t="shared" si="42"/>
        <v>288</v>
      </c>
      <c r="V75" s="13">
        <f t="shared" si="43"/>
        <v>788</v>
      </c>
      <c r="W75" s="15">
        <f t="shared" si="44"/>
        <v>1.917</v>
      </c>
      <c r="X75" s="35"/>
      <c r="Y75" s="18">
        <f t="shared" si="45"/>
        <v>339.4</v>
      </c>
      <c r="Z75" s="18">
        <f t="shared" si="46"/>
        <v>349.8</v>
      </c>
      <c r="AA75" s="18">
        <f t="shared" si="47"/>
        <v>219.9</v>
      </c>
      <c r="AC75" s="23">
        <f t="shared" si="48"/>
        <v>1215.2999999999997</v>
      </c>
      <c r="AD75" s="23">
        <f t="shared" si="49"/>
        <v>1046.6030875223269</v>
      </c>
      <c r="AE75" s="23">
        <f t="shared" si="50"/>
        <v>891.85420743639907</v>
      </c>
      <c r="AF75" s="23">
        <f t="shared" si="51"/>
        <v>669.21806167400871</v>
      </c>
      <c r="AG75" s="23">
        <f t="shared" si="52"/>
        <v>495.90587595212179</v>
      </c>
      <c r="AH75" s="23">
        <f t="shared" si="53"/>
        <v>285.01407129455907</v>
      </c>
      <c r="AI75" s="23">
        <f t="shared" si="54"/>
        <v>178.65052920423361</v>
      </c>
    </row>
    <row r="76" spans="1:36" ht="13.5" thickBot="1">
      <c r="A76" s="32">
        <v>1388</v>
      </c>
      <c r="B76" s="33">
        <v>1198.0999999999999</v>
      </c>
      <c r="C76" s="33">
        <v>1026.4000000000001</v>
      </c>
      <c r="D76" s="33">
        <v>875.7</v>
      </c>
      <c r="E76" s="33">
        <v>672.8</v>
      </c>
      <c r="F76" s="33">
        <v>526.29999999999995</v>
      </c>
      <c r="G76" s="33">
        <v>307.10000000000002</v>
      </c>
      <c r="H76" s="34">
        <v>181.6</v>
      </c>
      <c r="I76" s="9">
        <f t="shared" si="31"/>
        <v>1.1980999999999999</v>
      </c>
      <c r="J76" s="8">
        <f t="shared" si="32"/>
        <v>4.052757424625069</v>
      </c>
      <c r="K76" s="8">
        <f t="shared" si="33"/>
        <v>4.3953434562564011</v>
      </c>
      <c r="L76" s="8">
        <f t="shared" si="34"/>
        <v>4.7218251908442781</v>
      </c>
      <c r="M76" s="8">
        <f t="shared" si="35"/>
        <v>4.9353104023193932</v>
      </c>
      <c r="N76" s="8">
        <f t="shared" si="36"/>
        <v>5.2919016604248306</v>
      </c>
      <c r="O76" s="8">
        <f t="shared" si="37"/>
        <v>5.5772953116200163</v>
      </c>
      <c r="P76" s="11">
        <f t="shared" si="38"/>
        <v>0.39998152108098944</v>
      </c>
      <c r="Q76" s="11">
        <f t="shared" si="39"/>
        <v>1.93082017511257</v>
      </c>
      <c r="R76" s="11">
        <f t="shared" si="40"/>
        <v>0.25900000000000001</v>
      </c>
      <c r="S76" s="12">
        <f t="shared" si="41"/>
        <v>-109</v>
      </c>
      <c r="T76" s="12">
        <f t="shared" si="30"/>
        <v>436</v>
      </c>
      <c r="U76" s="12">
        <f t="shared" si="42"/>
        <v>295</v>
      </c>
      <c r="V76" s="13">
        <f t="shared" si="43"/>
        <v>792</v>
      </c>
      <c r="W76" s="15">
        <f t="shared" si="44"/>
        <v>1.9650000000000001</v>
      </c>
      <c r="X76" s="35"/>
      <c r="Y76" s="18">
        <f t="shared" si="45"/>
        <v>322.39999999999998</v>
      </c>
      <c r="Z76" s="18">
        <f t="shared" si="46"/>
        <v>349.4</v>
      </c>
      <c r="AA76" s="18">
        <f t="shared" si="47"/>
        <v>219.2</v>
      </c>
      <c r="AC76" s="23">
        <f t="shared" si="48"/>
        <v>1198.0999999999999</v>
      </c>
      <c r="AD76" s="23">
        <f t="shared" si="49"/>
        <v>1038.6816080143849</v>
      </c>
      <c r="AE76" s="23">
        <f t="shared" si="50"/>
        <v>890.55996035678891</v>
      </c>
      <c r="AF76" s="23">
        <f t="shared" si="51"/>
        <v>674.22622397298824</v>
      </c>
      <c r="AG76" s="23">
        <f t="shared" si="52"/>
        <v>503.12150055991043</v>
      </c>
      <c r="AH76" s="23">
        <f t="shared" si="53"/>
        <v>291.65043816942551</v>
      </c>
      <c r="AI76" s="23">
        <f t="shared" si="54"/>
        <v>183.60747854515733</v>
      </c>
    </row>
    <row r="77" spans="1:36">
      <c r="A77" s="24">
        <f>AVERAGE(A65:A68)</f>
        <v>372.75</v>
      </c>
      <c r="B77" s="24">
        <f>AVERAGE(B65:B68)</f>
        <v>428.5</v>
      </c>
      <c r="C77" s="24">
        <f t="shared" ref="C77:AA77" si="73">AVERAGE(C65:C68)</f>
        <v>354.32499999999999</v>
      </c>
      <c r="D77" s="24">
        <f t="shared" si="73"/>
        <v>291.95</v>
      </c>
      <c r="E77" s="24">
        <f t="shared" si="73"/>
        <v>208.35</v>
      </c>
      <c r="F77" s="24">
        <f t="shared" si="73"/>
        <v>155.67499999999998</v>
      </c>
      <c r="G77" s="24">
        <f t="shared" si="73"/>
        <v>84.75</v>
      </c>
      <c r="H77" s="24">
        <f t="shared" si="73"/>
        <v>46</v>
      </c>
      <c r="I77" s="24">
        <f t="shared" si="73"/>
        <v>0.42849999999999999</v>
      </c>
      <c r="J77" s="24">
        <f t="shared" si="73"/>
        <v>4.1497769219728342</v>
      </c>
      <c r="K77" s="24">
        <f t="shared" si="73"/>
        <v>4.4987176600068839</v>
      </c>
      <c r="L77" s="24">
        <f t="shared" si="73"/>
        <v>4.8523865027130348</v>
      </c>
      <c r="M77" s="24">
        <f t="shared" si="73"/>
        <v>5.071996512429199</v>
      </c>
      <c r="N77" s="24">
        <f t="shared" si="73"/>
        <v>5.4363028623126226</v>
      </c>
      <c r="O77" s="24">
        <f t="shared" si="73"/>
        <v>5.7482165221632817</v>
      </c>
      <c r="P77" s="24">
        <f t="shared" si="73"/>
        <v>0.31237677704512173</v>
      </c>
      <c r="Q77" s="24">
        <f t="shared" si="73"/>
        <v>2.0219306738136043</v>
      </c>
      <c r="R77" s="24">
        <f t="shared" si="73"/>
        <v>0.34425</v>
      </c>
      <c r="S77" s="24">
        <f t="shared" si="73"/>
        <v>-230.5</v>
      </c>
      <c r="T77" s="24">
        <f t="shared" si="73"/>
        <v>922</v>
      </c>
      <c r="U77" s="24">
        <f t="shared" si="73"/>
        <v>255.75</v>
      </c>
      <c r="V77" s="24">
        <f t="shared" si="73"/>
        <v>252</v>
      </c>
      <c r="W77" s="24">
        <f t="shared" si="73"/>
        <v>1.7052499999999999</v>
      </c>
      <c r="X77" s="36">
        <f>SLOPE(W77:W79,A77:A79)</f>
        <v>2.1544205327454419E-4</v>
      </c>
      <c r="Y77" s="24">
        <f t="shared" si="73"/>
        <v>136.55000000000001</v>
      </c>
      <c r="Z77" s="24">
        <f t="shared" si="73"/>
        <v>136.27500000000001</v>
      </c>
      <c r="AA77" s="24">
        <f t="shared" si="73"/>
        <v>70.925000000000011</v>
      </c>
      <c r="AB77"/>
      <c r="AC77" s="24">
        <f t="shared" ref="AC77:AI77" si="74">AVERAGE(AC65:AC68)</f>
        <v>428.50000000000006</v>
      </c>
      <c r="AD77" s="24">
        <f t="shared" si="74"/>
        <v>355.78484421149972</v>
      </c>
      <c r="AE77" s="24">
        <f t="shared" si="74"/>
        <v>293.5400668381638</v>
      </c>
      <c r="AF77" s="24">
        <f t="shared" si="74"/>
        <v>210.64650140166088</v>
      </c>
      <c r="AG77" s="24">
        <f t="shared" si="74"/>
        <v>150.97232180217011</v>
      </c>
      <c r="AH77" s="24">
        <f t="shared" si="74"/>
        <v>83.442756519009436</v>
      </c>
      <c r="AI77" s="24">
        <f t="shared" si="74"/>
        <v>51.312125949965434</v>
      </c>
    </row>
    <row r="78" spans="1:36">
      <c r="A78" s="24">
        <f>AVERAGE(A69:A72)</f>
        <v>709.25</v>
      </c>
      <c r="B78" s="24">
        <f>AVERAGE(B69:B72)</f>
        <v>709.67499999999995</v>
      </c>
      <c r="C78" s="24">
        <f t="shared" ref="C78:AA78" si="75">AVERAGE(C69:C72)</f>
        <v>600.47500000000002</v>
      </c>
      <c r="D78" s="24">
        <f t="shared" si="75"/>
        <v>506.4</v>
      </c>
      <c r="E78" s="24">
        <f t="shared" si="75"/>
        <v>376.79999999999995</v>
      </c>
      <c r="F78" s="24">
        <f t="shared" si="75"/>
        <v>288.05</v>
      </c>
      <c r="G78" s="24">
        <f t="shared" si="75"/>
        <v>164.02499999999998</v>
      </c>
      <c r="H78" s="24">
        <f t="shared" si="75"/>
        <v>92.075000000000003</v>
      </c>
      <c r="I78" s="24">
        <f t="shared" si="75"/>
        <v>0.70967499999999994</v>
      </c>
      <c r="J78" s="24">
        <f t="shared" si="75"/>
        <v>4.0887605332199284</v>
      </c>
      <c r="K78" s="24">
        <f t="shared" si="75"/>
        <v>4.4326911554876807</v>
      </c>
      <c r="L78" s="24">
        <f t="shared" si="75"/>
        <v>4.775304499486178</v>
      </c>
      <c r="M78" s="24">
        <f t="shared" si="75"/>
        <v>4.9946097481813583</v>
      </c>
      <c r="N78" s="24">
        <f t="shared" si="75"/>
        <v>5.3511805802022483</v>
      </c>
      <c r="O78" s="24">
        <f t="shared" si="75"/>
        <v>5.6557716279468853</v>
      </c>
      <c r="P78" s="24">
        <f t="shared" si="75"/>
        <v>0.32837590927706084</v>
      </c>
      <c r="Q78" s="24">
        <f t="shared" si="75"/>
        <v>1.9824453816023817</v>
      </c>
      <c r="R78" s="24">
        <f t="shared" si="75"/>
        <v>0.29024999999999995</v>
      </c>
      <c r="S78" s="24">
        <f t="shared" si="75"/>
        <v>-164</v>
      </c>
      <c r="T78" s="24">
        <f t="shared" si="75"/>
        <v>656</v>
      </c>
      <c r="U78" s="24">
        <f t="shared" si="75"/>
        <v>278.5</v>
      </c>
      <c r="V78" s="24">
        <f t="shared" si="75"/>
        <v>448.25</v>
      </c>
      <c r="W78" s="24">
        <f t="shared" si="75"/>
        <v>1.8567500000000001</v>
      </c>
      <c r="X78" s="24"/>
      <c r="Y78" s="24">
        <f t="shared" si="75"/>
        <v>203.27499999999998</v>
      </c>
      <c r="Z78" s="24">
        <f t="shared" si="75"/>
        <v>218.35</v>
      </c>
      <c r="AA78" s="24">
        <f t="shared" si="75"/>
        <v>124.02500000000001</v>
      </c>
      <c r="AB78" s="24">
        <f>AC78/AC77</f>
        <v>1.6561843640606768</v>
      </c>
      <c r="AC78" s="24">
        <f t="shared" ref="AC78:AI78" si="76">AVERAGE(AC69:AC72)</f>
        <v>709.67500000000007</v>
      </c>
      <c r="AD78" s="24">
        <f t="shared" si="76"/>
        <v>605.49477159954074</v>
      </c>
      <c r="AE78" s="24">
        <f t="shared" si="76"/>
        <v>511.62267963144711</v>
      </c>
      <c r="AF78" s="24">
        <f t="shared" si="76"/>
        <v>379.32032623701434</v>
      </c>
      <c r="AG78" s="24">
        <f t="shared" si="76"/>
        <v>278.50220833506472</v>
      </c>
      <c r="AH78" s="24">
        <f t="shared" si="76"/>
        <v>158.29873416662926</v>
      </c>
      <c r="AI78" s="24">
        <f t="shared" si="76"/>
        <v>98.675604998447767</v>
      </c>
      <c r="AJ78" s="1">
        <f>AI78/AI77</f>
        <v>1.9230465152558007</v>
      </c>
    </row>
    <row r="79" spans="1:36" ht="13.5" thickBot="1">
      <c r="A79" s="24">
        <f>AVERAGE(A73:A76)</f>
        <v>1388.25</v>
      </c>
      <c r="B79" s="24">
        <f>AVERAGE(B73:B76)</f>
        <v>1202.5749999999998</v>
      </c>
      <c r="C79" s="24">
        <f t="shared" ref="C79:AA79" si="77">AVERAGE(C73:C76)</f>
        <v>1024.2</v>
      </c>
      <c r="D79" s="24">
        <f t="shared" si="77"/>
        <v>873.45</v>
      </c>
      <c r="E79" s="24">
        <f t="shared" si="77"/>
        <v>668.22499999999991</v>
      </c>
      <c r="F79" s="24">
        <f t="shared" si="77"/>
        <v>522.95000000000005</v>
      </c>
      <c r="G79" s="24">
        <f t="shared" si="77"/>
        <v>303.92499999999995</v>
      </c>
      <c r="H79" s="24">
        <f t="shared" si="77"/>
        <v>177.92500000000001</v>
      </c>
      <c r="I79" s="24">
        <f t="shared" si="77"/>
        <v>1.2025749999999999</v>
      </c>
      <c r="J79" s="24">
        <f t="shared" si="77"/>
        <v>4.0698673882850578</v>
      </c>
      <c r="K79" s="24">
        <f t="shared" si="77"/>
        <v>4.4053295647598665</v>
      </c>
      <c r="L79" s="24">
        <f t="shared" si="77"/>
        <v>4.7321751099570877</v>
      </c>
      <c r="M79" s="24">
        <f t="shared" si="77"/>
        <v>4.9431070224795572</v>
      </c>
      <c r="N79" s="24">
        <f t="shared" si="77"/>
        <v>5.3001333744597563</v>
      </c>
      <c r="O79" s="24">
        <f t="shared" si="77"/>
        <v>5.5897411752814188</v>
      </c>
      <c r="P79" s="24">
        <f t="shared" si="77"/>
        <v>0.43136290090122359</v>
      </c>
      <c r="Q79" s="24">
        <f t="shared" si="77"/>
        <v>1.9247376469021913</v>
      </c>
      <c r="R79" s="24">
        <f t="shared" si="77"/>
        <v>0.26575000000000004</v>
      </c>
      <c r="S79" s="24">
        <f t="shared" si="77"/>
        <v>-105.5</v>
      </c>
      <c r="T79" s="24">
        <f t="shared" si="77"/>
        <v>422</v>
      </c>
      <c r="U79" s="24">
        <f t="shared" si="77"/>
        <v>291.25</v>
      </c>
      <c r="V79" s="24">
        <f t="shared" si="77"/>
        <v>786.75</v>
      </c>
      <c r="W79" s="24">
        <f t="shared" si="77"/>
        <v>1.94</v>
      </c>
      <c r="X79" s="24"/>
      <c r="Y79" s="24">
        <f t="shared" si="77"/>
        <v>329.125</v>
      </c>
      <c r="Z79" s="24">
        <f t="shared" si="77"/>
        <v>350.5</v>
      </c>
      <c r="AA79" s="24">
        <f t="shared" si="77"/>
        <v>219.02499999999998</v>
      </c>
      <c r="AB79" s="24">
        <f>AC79/AC77</f>
        <v>2.8064760793465569</v>
      </c>
      <c r="AC79" s="24">
        <f t="shared" ref="AC79:AI79" si="78">AVERAGE(AC73:AC76)</f>
        <v>1202.5749999999998</v>
      </c>
      <c r="AD79" s="24">
        <f t="shared" si="78"/>
        <v>1038.9493484773698</v>
      </c>
      <c r="AE79" s="24">
        <f t="shared" si="78"/>
        <v>887.9409871651626</v>
      </c>
      <c r="AF79" s="24">
        <f t="shared" si="78"/>
        <v>669.13076475194566</v>
      </c>
      <c r="AG79" s="24">
        <f t="shared" si="78"/>
        <v>497.50482606527527</v>
      </c>
      <c r="AH79" s="24">
        <f t="shared" si="78"/>
        <v>287.11048384365006</v>
      </c>
      <c r="AI79" s="24">
        <f t="shared" si="78"/>
        <v>180.3405259282377</v>
      </c>
      <c r="AJ79" s="1">
        <f>AI79/AI77</f>
        <v>3.5145791095088934</v>
      </c>
    </row>
    <row r="80" spans="1:36">
      <c r="A80" s="26">
        <v>380</v>
      </c>
      <c r="B80" s="27">
        <v>550</v>
      </c>
      <c r="C80" s="27">
        <v>430.2</v>
      </c>
      <c r="D80" s="27">
        <v>344.1</v>
      </c>
      <c r="E80" s="27">
        <v>240.4</v>
      </c>
      <c r="F80" s="27">
        <v>166.2</v>
      </c>
      <c r="G80" s="27">
        <v>79.900000000000006</v>
      </c>
      <c r="H80" s="28">
        <v>43.2</v>
      </c>
      <c r="I80" s="9">
        <f t="shared" si="31"/>
        <v>0.55000000000000004</v>
      </c>
      <c r="J80" s="8">
        <f t="shared" si="32"/>
        <v>4.2740901848328736</v>
      </c>
      <c r="K80" s="8">
        <f t="shared" si="33"/>
        <v>4.6062754468281257</v>
      </c>
      <c r="L80" s="8">
        <f t="shared" si="34"/>
        <v>4.9391702615111779</v>
      </c>
      <c r="M80" s="8">
        <f t="shared" si="35"/>
        <v>5.1927777237823856</v>
      </c>
      <c r="N80" s="8">
        <f t="shared" si="36"/>
        <v>5.5989472447052862</v>
      </c>
      <c r="O80" s="8">
        <f t="shared" si="37"/>
        <v>5.8986566322275165</v>
      </c>
      <c r="P80" s="11">
        <f t="shared" si="38"/>
        <v>0.28399343050055315</v>
      </c>
      <c r="Q80" s="11">
        <f t="shared" si="39"/>
        <v>2.0802927480927478</v>
      </c>
      <c r="R80" s="11">
        <f t="shared" si="40"/>
        <v>0.45400000000000001</v>
      </c>
      <c r="S80" s="12">
        <f t="shared" si="41"/>
        <v>-135</v>
      </c>
      <c r="T80" s="12">
        <f t="shared" si="30"/>
        <v>540</v>
      </c>
      <c r="U80" s="12">
        <f t="shared" si="42"/>
        <v>223</v>
      </c>
      <c r="V80" s="13">
        <f t="shared" si="43"/>
        <v>288</v>
      </c>
      <c r="W80" s="15">
        <f t="shared" si="44"/>
        <v>1.484</v>
      </c>
      <c r="X80" s="35"/>
      <c r="Y80" s="18">
        <f t="shared" si="45"/>
        <v>205.9</v>
      </c>
      <c r="Z80" s="18">
        <f t="shared" si="46"/>
        <v>177.9</v>
      </c>
      <c r="AA80" s="18">
        <f t="shared" si="47"/>
        <v>86.3</v>
      </c>
      <c r="AC80" s="23">
        <f t="shared" si="48"/>
        <v>550</v>
      </c>
      <c r="AD80" s="23">
        <f t="shared" si="49"/>
        <v>433.39948634134953</v>
      </c>
      <c r="AE80" s="23">
        <f t="shared" si="50"/>
        <v>342.60797342192689</v>
      </c>
      <c r="AF80" s="23">
        <f t="shared" si="51"/>
        <v>232.85351397121084</v>
      </c>
      <c r="AG80" s="23">
        <f t="shared" si="52"/>
        <v>160.75604053000779</v>
      </c>
      <c r="AH80" s="23">
        <f t="shared" si="53"/>
        <v>85.297766749379647</v>
      </c>
      <c r="AI80" s="23">
        <f t="shared" si="54"/>
        <v>51.472423259296228</v>
      </c>
    </row>
    <row r="81" spans="1:36">
      <c r="A81" s="29">
        <v>387</v>
      </c>
      <c r="B81" s="30">
        <v>475.5</v>
      </c>
      <c r="C81" s="30">
        <v>369.5</v>
      </c>
      <c r="D81" s="30">
        <v>297.3</v>
      </c>
      <c r="E81" s="30">
        <v>210.9</v>
      </c>
      <c r="F81" s="30">
        <v>149.4</v>
      </c>
      <c r="G81" s="30">
        <v>76.5</v>
      </c>
      <c r="H81" s="31">
        <v>44.4</v>
      </c>
      <c r="I81" s="9">
        <f t="shared" si="31"/>
        <v>0.47549999999999998</v>
      </c>
      <c r="J81" s="8">
        <f t="shared" si="32"/>
        <v>4.286995195364951</v>
      </c>
      <c r="K81" s="8">
        <f t="shared" si="33"/>
        <v>4.6070165633269431</v>
      </c>
      <c r="L81" s="8">
        <f t="shared" si="34"/>
        <v>4.9278170329430209</v>
      </c>
      <c r="M81" s="8">
        <f t="shared" si="35"/>
        <v>5.1683039741576016</v>
      </c>
      <c r="N81" s="8">
        <f t="shared" si="36"/>
        <v>5.5466152333641556</v>
      </c>
      <c r="O81" s="8">
        <f t="shared" si="37"/>
        <v>5.8164988255702932</v>
      </c>
      <c r="P81" s="11">
        <f t="shared" si="38"/>
        <v>0.55679377290875176</v>
      </c>
      <c r="Q81" s="11">
        <f t="shared" si="39"/>
        <v>1.9626424170387475</v>
      </c>
      <c r="R81" s="11">
        <f t="shared" si="40"/>
        <v>0.438</v>
      </c>
      <c r="S81" s="12">
        <f t="shared" si="41"/>
        <v>-162</v>
      </c>
      <c r="T81" s="12">
        <f t="shared" si="30"/>
        <v>648</v>
      </c>
      <c r="U81" s="12">
        <f t="shared" si="42"/>
        <v>227</v>
      </c>
      <c r="V81" s="13">
        <f t="shared" si="43"/>
        <v>253</v>
      </c>
      <c r="W81" s="15">
        <f t="shared" si="44"/>
        <v>1.5109999999999999</v>
      </c>
      <c r="X81" s="35"/>
      <c r="Y81" s="18">
        <f t="shared" si="45"/>
        <v>178.2</v>
      </c>
      <c r="Z81" s="18">
        <f t="shared" si="46"/>
        <v>147.9</v>
      </c>
      <c r="AA81" s="18">
        <f t="shared" si="47"/>
        <v>72.900000000000006</v>
      </c>
      <c r="AC81" s="23">
        <f t="shared" si="48"/>
        <v>475.5</v>
      </c>
      <c r="AD81" s="23">
        <f t="shared" si="49"/>
        <v>377.51411432604095</v>
      </c>
      <c r="AE81" s="23">
        <f t="shared" si="50"/>
        <v>300.18939393939394</v>
      </c>
      <c r="AF81" s="23">
        <f t="shared" si="51"/>
        <v>205.48833189282627</v>
      </c>
      <c r="AG81" s="23">
        <f t="shared" si="52"/>
        <v>142.53597122302159</v>
      </c>
      <c r="AH81" s="23">
        <f t="shared" si="53"/>
        <v>76.007033248081839</v>
      </c>
      <c r="AI81" s="23">
        <f t="shared" si="54"/>
        <v>45.968677494199532</v>
      </c>
    </row>
    <row r="82" spans="1:36">
      <c r="A82" s="29">
        <v>389</v>
      </c>
      <c r="B82" s="30">
        <v>461.9</v>
      </c>
      <c r="C82" s="30">
        <v>361.1</v>
      </c>
      <c r="D82" s="30">
        <v>291.60000000000002</v>
      </c>
      <c r="E82" s="30">
        <v>208.1</v>
      </c>
      <c r="F82" s="30">
        <v>148.5</v>
      </c>
      <c r="G82" s="30">
        <v>76.900000000000006</v>
      </c>
      <c r="H82" s="31">
        <v>44.7</v>
      </c>
      <c r="I82" s="9">
        <f t="shared" si="31"/>
        <v>0.46189999999999998</v>
      </c>
      <c r="J82" s="8">
        <f t="shared" si="32"/>
        <v>4.2751368165137045</v>
      </c>
      <c r="K82" s="8">
        <f t="shared" si="33"/>
        <v>4.5957309011476886</v>
      </c>
      <c r="L82" s="8">
        <f t="shared" si="34"/>
        <v>4.9155233103780835</v>
      </c>
      <c r="M82" s="8">
        <f t="shared" si="35"/>
        <v>5.153676311310365</v>
      </c>
      <c r="N82" s="8">
        <f t="shared" si="36"/>
        <v>5.5288381625380945</v>
      </c>
      <c r="O82" s="8">
        <f t="shared" si="37"/>
        <v>5.7993405494535821</v>
      </c>
      <c r="P82" s="11">
        <f t="shared" si="38"/>
        <v>0.56928478395608806</v>
      </c>
      <c r="Q82" s="11">
        <f t="shared" si="39"/>
        <v>1.9538501649684881</v>
      </c>
      <c r="R82" s="11">
        <f t="shared" si="40"/>
        <v>0.42499999999999999</v>
      </c>
      <c r="S82" s="12">
        <f t="shared" si="41"/>
        <v>-172</v>
      </c>
      <c r="T82" s="12">
        <f t="shared" si="30"/>
        <v>688</v>
      </c>
      <c r="U82" s="12">
        <f t="shared" si="42"/>
        <v>230</v>
      </c>
      <c r="V82" s="13">
        <f t="shared" si="43"/>
        <v>249</v>
      </c>
      <c r="W82" s="15">
        <f t="shared" si="44"/>
        <v>1.534</v>
      </c>
      <c r="X82" s="35"/>
      <c r="Y82" s="18">
        <f t="shared" si="45"/>
        <v>170.3</v>
      </c>
      <c r="Z82" s="18">
        <f t="shared" si="46"/>
        <v>143.1</v>
      </c>
      <c r="AA82" s="18">
        <f t="shared" si="47"/>
        <v>71.599999999999994</v>
      </c>
      <c r="AC82" s="23">
        <f t="shared" si="48"/>
        <v>461.89999999999992</v>
      </c>
      <c r="AD82" s="23">
        <f t="shared" si="49"/>
        <v>368.97337278106505</v>
      </c>
      <c r="AE82" s="23">
        <f t="shared" si="50"/>
        <v>294.8297872340425</v>
      </c>
      <c r="AF82" s="23">
        <f t="shared" si="51"/>
        <v>203.03296703296701</v>
      </c>
      <c r="AG82" s="23">
        <f t="shared" si="52"/>
        <v>141.39795918367346</v>
      </c>
      <c r="AH82" s="23">
        <f t="shared" si="53"/>
        <v>75.72131147540982</v>
      </c>
      <c r="AI82" s="23">
        <f t="shared" si="54"/>
        <v>45.884105960264897</v>
      </c>
    </row>
    <row r="83" spans="1:36">
      <c r="A83" s="29">
        <v>391</v>
      </c>
      <c r="B83" s="30">
        <v>458.5</v>
      </c>
      <c r="C83" s="30">
        <v>359.2</v>
      </c>
      <c r="D83" s="30">
        <v>291</v>
      </c>
      <c r="E83" s="30">
        <v>208.8</v>
      </c>
      <c r="F83" s="30">
        <v>149.30000000000001</v>
      </c>
      <c r="G83" s="30">
        <v>77.599999999999994</v>
      </c>
      <c r="H83" s="31">
        <v>44.6</v>
      </c>
      <c r="I83" s="9">
        <f t="shared" si="31"/>
        <v>0.45850000000000002</v>
      </c>
      <c r="J83" s="8">
        <f t="shared" si="32"/>
        <v>4.2709166933311398</v>
      </c>
      <c r="K83" s="8">
        <f t="shared" si="33"/>
        <v>4.5894255952179819</v>
      </c>
      <c r="L83" s="8">
        <f t="shared" si="34"/>
        <v>4.9069918208521486</v>
      </c>
      <c r="M83" s="8">
        <f t="shared" si="35"/>
        <v>5.1454834503522866</v>
      </c>
      <c r="N83" s="8">
        <f t="shared" si="36"/>
        <v>5.5202530242337824</v>
      </c>
      <c r="O83" s="8">
        <f t="shared" si="37"/>
        <v>5.7968643405196429</v>
      </c>
      <c r="P83" s="11">
        <f t="shared" si="38"/>
        <v>0.56097252914619344</v>
      </c>
      <c r="Q83" s="11">
        <f t="shared" si="39"/>
        <v>1.9538511969855539</v>
      </c>
      <c r="R83" s="11">
        <f t="shared" si="40"/>
        <v>0.41799999999999998</v>
      </c>
      <c r="S83" s="12">
        <f t="shared" si="41"/>
        <v>-176</v>
      </c>
      <c r="T83" s="12">
        <f t="shared" si="30"/>
        <v>704</v>
      </c>
      <c r="U83" s="12">
        <f t="shared" si="42"/>
        <v>232</v>
      </c>
      <c r="V83" s="13">
        <f t="shared" si="43"/>
        <v>249</v>
      </c>
      <c r="W83" s="15">
        <f t="shared" si="44"/>
        <v>1.5469999999999999</v>
      </c>
      <c r="X83" s="35"/>
      <c r="Y83" s="18">
        <f t="shared" si="45"/>
        <v>167.5</v>
      </c>
      <c r="Z83" s="18">
        <f t="shared" si="46"/>
        <v>141.69999999999999</v>
      </c>
      <c r="AA83" s="18">
        <f t="shared" si="47"/>
        <v>71.7</v>
      </c>
      <c r="AC83" s="23">
        <f t="shared" si="48"/>
        <v>458.5</v>
      </c>
      <c r="AD83" s="23">
        <f t="shared" si="49"/>
        <v>367.47506530515318</v>
      </c>
      <c r="AE83" s="23">
        <f t="shared" si="50"/>
        <v>294.41352739726028</v>
      </c>
      <c r="AF83" s="23">
        <f t="shared" si="51"/>
        <v>203.41614906832299</v>
      </c>
      <c r="AG83" s="23">
        <f t="shared" si="52"/>
        <v>141.97976878612718</v>
      </c>
      <c r="AH83" s="23">
        <f t="shared" si="53"/>
        <v>76.213430851063833</v>
      </c>
      <c r="AI83" s="23">
        <f t="shared" si="54"/>
        <v>46.232186071524602</v>
      </c>
    </row>
    <row r="84" spans="1:36">
      <c r="A84" s="29">
        <v>728</v>
      </c>
      <c r="B84" s="30">
        <v>798.8</v>
      </c>
      <c r="C84" s="30">
        <v>645.1</v>
      </c>
      <c r="D84" s="30">
        <v>530.20000000000005</v>
      </c>
      <c r="E84" s="30">
        <v>388.1</v>
      </c>
      <c r="F84" s="30">
        <v>281</v>
      </c>
      <c r="G84" s="30">
        <v>147</v>
      </c>
      <c r="H84" s="31">
        <v>84.7</v>
      </c>
      <c r="I84" s="9">
        <f t="shared" si="31"/>
        <v>0.79879999999999995</v>
      </c>
      <c r="J84" s="8">
        <f t="shared" si="32"/>
        <v>4.2063505984367202</v>
      </c>
      <c r="K84" s="8">
        <f t="shared" si="33"/>
        <v>4.5339700577666466</v>
      </c>
      <c r="L84" s="8">
        <f t="shared" si="34"/>
        <v>4.8538848329446624</v>
      </c>
      <c r="M84" s="8">
        <f t="shared" si="35"/>
        <v>5.0947594990247982</v>
      </c>
      <c r="N84" s="8">
        <f t="shared" si="36"/>
        <v>5.4761007942119742</v>
      </c>
      <c r="O84" s="8">
        <f t="shared" si="37"/>
        <v>5.7551793955750865</v>
      </c>
      <c r="P84" s="11">
        <f t="shared" si="38"/>
        <v>0.41884069527221701</v>
      </c>
      <c r="Q84" s="11">
        <f t="shared" si="39"/>
        <v>1.9816581471254244</v>
      </c>
      <c r="R84" s="11">
        <f t="shared" si="40"/>
        <v>0.36899999999999999</v>
      </c>
      <c r="S84" s="12">
        <f t="shared" si="41"/>
        <v>-115</v>
      </c>
      <c r="T84" s="12">
        <f t="shared" si="30"/>
        <v>460</v>
      </c>
      <c r="U84" s="12">
        <f t="shared" si="42"/>
        <v>247</v>
      </c>
      <c r="V84" s="13">
        <f t="shared" si="43"/>
        <v>457</v>
      </c>
      <c r="W84" s="15">
        <f t="shared" si="44"/>
        <v>1.6459999999999999</v>
      </c>
      <c r="X84" s="35"/>
      <c r="Y84" s="18">
        <f t="shared" si="45"/>
        <v>268.60000000000002</v>
      </c>
      <c r="Z84" s="18">
        <f t="shared" si="46"/>
        <v>249.2</v>
      </c>
      <c r="AA84" s="18">
        <f t="shared" si="47"/>
        <v>134</v>
      </c>
      <c r="AC84" s="23">
        <f t="shared" si="48"/>
        <v>798.79999999999984</v>
      </c>
      <c r="AD84" s="23">
        <f t="shared" si="49"/>
        <v>655.47045951859945</v>
      </c>
      <c r="AE84" s="23">
        <f t="shared" si="50"/>
        <v>535.38873994638061</v>
      </c>
      <c r="AF84" s="23">
        <f t="shared" si="51"/>
        <v>379.11722828666348</v>
      </c>
      <c r="AG84" s="23">
        <f t="shared" si="52"/>
        <v>269.13746630727758</v>
      </c>
      <c r="AH84" s="23">
        <f t="shared" si="53"/>
        <v>147.1628592483419</v>
      </c>
      <c r="AI84" s="23">
        <f t="shared" si="54"/>
        <v>90.036068530207388</v>
      </c>
    </row>
    <row r="85" spans="1:36">
      <c r="A85" s="29">
        <v>707</v>
      </c>
      <c r="B85" s="30">
        <v>765.9</v>
      </c>
      <c r="C85" s="30">
        <v>621.1</v>
      </c>
      <c r="D85" s="30">
        <v>511.1</v>
      </c>
      <c r="E85" s="30">
        <v>375.4</v>
      </c>
      <c r="F85" s="30">
        <v>273.39999999999998</v>
      </c>
      <c r="G85" s="30">
        <v>144.80000000000001</v>
      </c>
      <c r="H85" s="31">
        <v>85.2</v>
      </c>
      <c r="I85" s="9">
        <f t="shared" si="31"/>
        <v>0.76590000000000003</v>
      </c>
      <c r="J85" s="8">
        <f t="shared" si="32"/>
        <v>4.1969108054466027</v>
      </c>
      <c r="K85" s="8">
        <f t="shared" si="33"/>
        <v>4.5269973155391003</v>
      </c>
      <c r="L85" s="8">
        <f t="shared" si="34"/>
        <v>4.8464305427590171</v>
      </c>
      <c r="M85" s="8">
        <f t="shared" si="35"/>
        <v>5.0849114974328522</v>
      </c>
      <c r="N85" s="8">
        <f t="shared" si="36"/>
        <v>5.4616967402154479</v>
      </c>
      <c r="O85" s="8">
        <f t="shared" si="37"/>
        <v>5.7318199286689229</v>
      </c>
      <c r="P85" s="11">
        <f t="shared" si="38"/>
        <v>0.45226066646348534</v>
      </c>
      <c r="Q85" s="11">
        <f t="shared" si="39"/>
        <v>1.9649420817016952</v>
      </c>
      <c r="R85" s="11">
        <f t="shared" si="40"/>
        <v>0.36099999999999999</v>
      </c>
      <c r="S85" s="12">
        <f t="shared" si="41"/>
        <v>-122</v>
      </c>
      <c r="T85" s="12">
        <f t="shared" si="30"/>
        <v>488</v>
      </c>
      <c r="U85" s="12">
        <f t="shared" si="42"/>
        <v>250</v>
      </c>
      <c r="V85" s="13">
        <f t="shared" si="43"/>
        <v>442</v>
      </c>
      <c r="W85" s="15">
        <f t="shared" si="44"/>
        <v>1.6639999999999999</v>
      </c>
      <c r="X85" s="35"/>
      <c r="Y85" s="18">
        <f t="shared" si="45"/>
        <v>254.8</v>
      </c>
      <c r="Z85" s="18">
        <f t="shared" si="46"/>
        <v>237.7</v>
      </c>
      <c r="AA85" s="18">
        <f t="shared" si="47"/>
        <v>128.6</v>
      </c>
      <c r="AC85" s="23">
        <f t="shared" si="48"/>
        <v>765.89999999999986</v>
      </c>
      <c r="AD85" s="23">
        <f t="shared" si="49"/>
        <v>630.92811813522076</v>
      </c>
      <c r="AE85" s="23">
        <f t="shared" si="50"/>
        <v>517.03420342034201</v>
      </c>
      <c r="AF85" s="23">
        <f t="shared" si="51"/>
        <v>367.69083053288523</v>
      </c>
      <c r="AG85" s="23">
        <f t="shared" si="52"/>
        <v>261.81631722880581</v>
      </c>
      <c r="AH85" s="23">
        <f t="shared" si="53"/>
        <v>143.64216054013502</v>
      </c>
      <c r="AI85" s="23">
        <f t="shared" si="54"/>
        <v>88.020992951271822</v>
      </c>
    </row>
    <row r="86" spans="1:36">
      <c r="A86" s="29">
        <v>706</v>
      </c>
      <c r="B86" s="30">
        <v>756.1</v>
      </c>
      <c r="C86" s="30">
        <v>616</v>
      </c>
      <c r="D86" s="30">
        <v>508.2</v>
      </c>
      <c r="E86" s="30">
        <v>374.8</v>
      </c>
      <c r="F86" s="30">
        <v>273</v>
      </c>
      <c r="G86" s="30">
        <v>145.1</v>
      </c>
      <c r="H86" s="31">
        <v>84.9</v>
      </c>
      <c r="I86" s="9">
        <f t="shared" si="31"/>
        <v>0.75609999999999999</v>
      </c>
      <c r="J86" s="8">
        <f t="shared" si="32"/>
        <v>4.1861611959523737</v>
      </c>
      <c r="K86" s="8">
        <f t="shared" si="33"/>
        <v>4.5175456388844957</v>
      </c>
      <c r="L86" s="8">
        <f t="shared" si="34"/>
        <v>4.8367709958889549</v>
      </c>
      <c r="M86" s="8">
        <f t="shared" si="35"/>
        <v>5.0771781632767885</v>
      </c>
      <c r="N86" s="8">
        <f t="shared" si="36"/>
        <v>5.4536775706358434</v>
      </c>
      <c r="O86" s="8">
        <f t="shared" si="37"/>
        <v>5.7272480304077158</v>
      </c>
      <c r="P86" s="11">
        <f t="shared" si="38"/>
        <v>0.42560932794577289</v>
      </c>
      <c r="Q86" s="11">
        <f t="shared" si="39"/>
        <v>1.9715961023022863</v>
      </c>
      <c r="R86" s="11">
        <f t="shared" si="40"/>
        <v>0.35399999999999998</v>
      </c>
      <c r="S86" s="12">
        <f t="shared" si="41"/>
        <v>-126</v>
      </c>
      <c r="T86" s="12">
        <f t="shared" si="30"/>
        <v>504</v>
      </c>
      <c r="U86" s="12">
        <f t="shared" si="42"/>
        <v>252</v>
      </c>
      <c r="V86" s="13">
        <f t="shared" si="43"/>
        <v>440</v>
      </c>
      <c r="W86" s="15">
        <f t="shared" si="44"/>
        <v>1.681</v>
      </c>
      <c r="X86" s="35"/>
      <c r="Y86" s="18">
        <f t="shared" si="45"/>
        <v>247.9</v>
      </c>
      <c r="Z86" s="18">
        <f t="shared" si="46"/>
        <v>235.2</v>
      </c>
      <c r="AA86" s="18">
        <f t="shared" si="47"/>
        <v>127.9</v>
      </c>
      <c r="AC86" s="23">
        <f t="shared" si="48"/>
        <v>756.10000000000014</v>
      </c>
      <c r="AD86" s="23">
        <f t="shared" si="49"/>
        <v>624.99081557678187</v>
      </c>
      <c r="AE86" s="23">
        <f t="shared" si="50"/>
        <v>513.65489130434787</v>
      </c>
      <c r="AF86" s="23">
        <f t="shared" si="51"/>
        <v>366.68283220174595</v>
      </c>
      <c r="AG86" s="23">
        <f t="shared" si="52"/>
        <v>261.80747922437678</v>
      </c>
      <c r="AH86" s="23">
        <f t="shared" si="53"/>
        <v>144.07393292682929</v>
      </c>
      <c r="AI86" s="23">
        <f t="shared" si="54"/>
        <v>88.412067352666057</v>
      </c>
    </row>
    <row r="87" spans="1:36">
      <c r="A87" s="29">
        <v>705</v>
      </c>
      <c r="B87" s="30">
        <v>753.2</v>
      </c>
      <c r="C87" s="30">
        <v>614.1</v>
      </c>
      <c r="D87" s="30">
        <v>507.8</v>
      </c>
      <c r="E87" s="30">
        <v>375.5</v>
      </c>
      <c r="F87" s="30">
        <v>273.10000000000002</v>
      </c>
      <c r="G87" s="30">
        <v>145.4</v>
      </c>
      <c r="H87" s="31">
        <v>84.6</v>
      </c>
      <c r="I87" s="9">
        <f t="shared" si="31"/>
        <v>0.75320000000000009</v>
      </c>
      <c r="J87" s="8">
        <f t="shared" si="32"/>
        <v>4.1843918054409031</v>
      </c>
      <c r="K87" s="8">
        <f t="shared" si="33"/>
        <v>4.5134856346843071</v>
      </c>
      <c r="L87" s="8">
        <f t="shared" si="34"/>
        <v>4.8318408163183628</v>
      </c>
      <c r="M87" s="8">
        <f t="shared" si="35"/>
        <v>5.0743137786604571</v>
      </c>
      <c r="N87" s="8">
        <f t="shared" si="36"/>
        <v>5.4505000620519297</v>
      </c>
      <c r="O87" s="8">
        <f t="shared" si="37"/>
        <v>5.7270997820485512</v>
      </c>
      <c r="P87" s="11">
        <f t="shared" si="38"/>
        <v>0.41746192281919858</v>
      </c>
      <c r="Q87" s="11">
        <f t="shared" si="39"/>
        <v>1.9736533590575547</v>
      </c>
      <c r="R87" s="11">
        <f t="shared" si="40"/>
        <v>0.35099999999999998</v>
      </c>
      <c r="S87" s="12">
        <f t="shared" si="41"/>
        <v>-128</v>
      </c>
      <c r="T87" s="12">
        <f t="shared" si="30"/>
        <v>512</v>
      </c>
      <c r="U87" s="12">
        <f t="shared" si="42"/>
        <v>253</v>
      </c>
      <c r="V87" s="13">
        <f t="shared" si="43"/>
        <v>440</v>
      </c>
      <c r="W87" s="15">
        <f t="shared" si="44"/>
        <v>1.6879999999999999</v>
      </c>
      <c r="X87" s="35"/>
      <c r="Y87" s="18">
        <f t="shared" si="45"/>
        <v>245.4</v>
      </c>
      <c r="Z87" s="18">
        <f t="shared" si="46"/>
        <v>234.7</v>
      </c>
      <c r="AA87" s="18">
        <f t="shared" si="47"/>
        <v>127.7</v>
      </c>
      <c r="AC87" s="23">
        <f t="shared" si="48"/>
        <v>753.20000000000016</v>
      </c>
      <c r="AD87" s="23">
        <f t="shared" si="49"/>
        <v>623.50993377483451</v>
      </c>
      <c r="AE87" s="23">
        <f t="shared" si="50"/>
        <v>513.07901907356961</v>
      </c>
      <c r="AF87" s="23">
        <f t="shared" si="51"/>
        <v>366.87773989283983</v>
      </c>
      <c r="AG87" s="23">
        <f t="shared" si="52"/>
        <v>262.25626740947081</v>
      </c>
      <c r="AH87" s="23">
        <f t="shared" si="53"/>
        <v>144.51266308518805</v>
      </c>
      <c r="AI87" s="23">
        <f t="shared" si="54"/>
        <v>88.73704052780397</v>
      </c>
    </row>
    <row r="88" spans="1:36">
      <c r="A88" s="29">
        <v>1391</v>
      </c>
      <c r="B88" s="30">
        <v>1281.5999999999999</v>
      </c>
      <c r="C88" s="30">
        <v>1082.7</v>
      </c>
      <c r="D88" s="30">
        <v>896.7</v>
      </c>
      <c r="E88" s="30">
        <v>676.2</v>
      </c>
      <c r="F88" s="30">
        <v>495</v>
      </c>
      <c r="G88" s="30">
        <v>274.60000000000002</v>
      </c>
      <c r="H88" s="31">
        <v>156.69999999999999</v>
      </c>
      <c r="I88" s="9">
        <f t="shared" si="31"/>
        <v>1.2815999999999999</v>
      </c>
      <c r="J88" s="8">
        <f t="shared" si="32"/>
        <v>4.0934304191762907</v>
      </c>
      <c r="K88" s="8">
        <f t="shared" si="33"/>
        <v>4.4620045141666731</v>
      </c>
      <c r="L88" s="8">
        <f t="shared" si="34"/>
        <v>4.7812710230218292</v>
      </c>
      <c r="M88" s="8">
        <f t="shared" si="35"/>
        <v>5.0304525159711844</v>
      </c>
      <c r="N88" s="8">
        <f t="shared" si="36"/>
        <v>5.3936327104839066</v>
      </c>
      <c r="O88" s="8">
        <f t="shared" si="37"/>
        <v>5.6853486931400363</v>
      </c>
      <c r="P88" s="11">
        <f t="shared" si="38"/>
        <v>0.27856643570693157</v>
      </c>
      <c r="Q88" s="11">
        <f t="shared" si="39"/>
        <v>2.0178963681249185</v>
      </c>
      <c r="R88" s="11">
        <f t="shared" si="40"/>
        <v>0.307</v>
      </c>
      <c r="S88" s="12">
        <f t="shared" si="41"/>
        <v>-86</v>
      </c>
      <c r="T88" s="12">
        <f t="shared" si="30"/>
        <v>344</v>
      </c>
      <c r="U88" s="12">
        <f t="shared" si="42"/>
        <v>271</v>
      </c>
      <c r="V88" s="13">
        <f t="shared" si="43"/>
        <v>791</v>
      </c>
      <c r="W88" s="15">
        <f t="shared" si="44"/>
        <v>1.8049999999999999</v>
      </c>
      <c r="X88" s="35"/>
      <c r="Y88" s="18">
        <f t="shared" si="45"/>
        <v>384.9</v>
      </c>
      <c r="Z88" s="18">
        <f t="shared" si="46"/>
        <v>401.7</v>
      </c>
      <c r="AA88" s="18">
        <f t="shared" si="47"/>
        <v>220.4</v>
      </c>
      <c r="AC88" s="23">
        <f t="shared" si="48"/>
        <v>1281.5999999999999</v>
      </c>
      <c r="AD88" s="23">
        <f t="shared" si="49"/>
        <v>1084.3319127600903</v>
      </c>
      <c r="AE88" s="23">
        <f t="shared" si="50"/>
        <v>909.3661305581835</v>
      </c>
      <c r="AF88" s="23">
        <f t="shared" si="51"/>
        <v>667.15252472670488</v>
      </c>
      <c r="AG88" s="23">
        <f t="shared" si="52"/>
        <v>485.94539939332657</v>
      </c>
      <c r="AH88" s="23">
        <f t="shared" si="53"/>
        <v>273.61229718189583</v>
      </c>
      <c r="AI88" s="23">
        <f t="shared" si="54"/>
        <v>169.76333451077357</v>
      </c>
    </row>
    <row r="89" spans="1:36">
      <c r="A89" s="29">
        <v>1393</v>
      </c>
      <c r="B89" s="30">
        <v>1276.2</v>
      </c>
      <c r="C89" s="30">
        <v>1081.7</v>
      </c>
      <c r="D89" s="30">
        <v>901</v>
      </c>
      <c r="E89" s="30">
        <v>685.1</v>
      </c>
      <c r="F89" s="30">
        <v>498.2</v>
      </c>
      <c r="G89" s="30">
        <v>280.5</v>
      </c>
      <c r="H89" s="31">
        <v>171.5</v>
      </c>
      <c r="I89" s="9">
        <f t="shared" si="31"/>
        <v>1.2762</v>
      </c>
      <c r="J89" s="8">
        <f t="shared" si="32"/>
        <v>4.0841165487851079</v>
      </c>
      <c r="K89" s="8">
        <f t="shared" si="33"/>
        <v>4.4488418115589887</v>
      </c>
      <c r="L89" s="8">
        <f t="shared" si="34"/>
        <v>4.7652107646605293</v>
      </c>
      <c r="M89" s="8">
        <f t="shared" si="35"/>
        <v>5.0228796466202263</v>
      </c>
      <c r="N89" s="8">
        <f t="shared" si="36"/>
        <v>5.3794994143671113</v>
      </c>
      <c r="O89" s="8">
        <f t="shared" si="37"/>
        <v>5.6382840024607193</v>
      </c>
      <c r="P89" s="11">
        <f t="shared" si="38"/>
        <v>0.32755880356737954</v>
      </c>
      <c r="Q89" s="11">
        <f t="shared" si="39"/>
        <v>1.9852993961315439</v>
      </c>
      <c r="R89" s="11">
        <f t="shared" si="40"/>
        <v>0.29799999999999999</v>
      </c>
      <c r="S89" s="12">
        <f t="shared" si="41"/>
        <v>-89</v>
      </c>
      <c r="T89" s="12">
        <f t="shared" si="30"/>
        <v>356</v>
      </c>
      <c r="U89" s="12">
        <f t="shared" si="42"/>
        <v>275</v>
      </c>
      <c r="V89" s="13">
        <f t="shared" si="43"/>
        <v>797</v>
      </c>
      <c r="W89" s="15">
        <f t="shared" si="44"/>
        <v>1.8320000000000001</v>
      </c>
      <c r="X89" s="35"/>
      <c r="Y89" s="18">
        <f t="shared" si="45"/>
        <v>375.2</v>
      </c>
      <c r="Z89" s="18">
        <f t="shared" si="46"/>
        <v>402.8</v>
      </c>
      <c r="AA89" s="18">
        <f t="shared" si="47"/>
        <v>217.7</v>
      </c>
      <c r="AC89" s="23">
        <f t="shared" si="48"/>
        <v>1276.2000000000003</v>
      </c>
      <c r="AD89" s="23">
        <f t="shared" si="49"/>
        <v>1084.6575169982375</v>
      </c>
      <c r="AE89" s="23">
        <f t="shared" si="50"/>
        <v>913.31106870229019</v>
      </c>
      <c r="AF89" s="23">
        <f t="shared" si="51"/>
        <v>673.81203801478364</v>
      </c>
      <c r="AG89" s="23">
        <f t="shared" si="52"/>
        <v>492.86817713697229</v>
      </c>
      <c r="AH89" s="23">
        <f t="shared" si="53"/>
        <v>278.88986013986016</v>
      </c>
      <c r="AI89" s="23">
        <f t="shared" si="54"/>
        <v>173.45958680681409</v>
      </c>
    </row>
    <row r="90" spans="1:36">
      <c r="A90" s="29">
        <v>1390</v>
      </c>
      <c r="B90" s="30">
        <v>1266.5999999999999</v>
      </c>
      <c r="C90" s="30">
        <v>1083.5999999999999</v>
      </c>
      <c r="D90" s="30">
        <v>901.2</v>
      </c>
      <c r="E90" s="30">
        <v>689.5</v>
      </c>
      <c r="F90" s="30">
        <v>435.5</v>
      </c>
      <c r="G90" s="30">
        <v>279.10000000000002</v>
      </c>
      <c r="H90" s="31">
        <v>180.3</v>
      </c>
      <c r="I90" s="9">
        <f t="shared" si="31"/>
        <v>1.2665999999999999</v>
      </c>
      <c r="J90" s="8">
        <f t="shared" si="32"/>
        <v>4.0568858662003242</v>
      </c>
      <c r="K90" s="8">
        <f t="shared" si="33"/>
        <v>4.4372511327957511</v>
      </c>
      <c r="L90" s="8">
        <f t="shared" si="34"/>
        <v>4.7520205766278192</v>
      </c>
      <c r="M90" s="8">
        <f t="shared" si="35"/>
        <v>5.1099688957977074</v>
      </c>
      <c r="N90" s="8">
        <f t="shared" si="36"/>
        <v>5.3780810406408914</v>
      </c>
      <c r="O90" s="8">
        <f t="shared" si="37"/>
        <v>5.6092578256452974</v>
      </c>
      <c r="P90" s="11">
        <f t="shared" si="38"/>
        <v>0.28560836142154478</v>
      </c>
      <c r="Q90" s="11">
        <f t="shared" si="39"/>
        <v>2.0075701998057229</v>
      </c>
      <c r="R90" s="11">
        <f t="shared" si="40"/>
        <v>0.30299999999999999</v>
      </c>
      <c r="S90" s="12">
        <f t="shared" si="41"/>
        <v>-88</v>
      </c>
      <c r="T90" s="12">
        <f t="shared" si="30"/>
        <v>352</v>
      </c>
      <c r="U90" s="12">
        <f t="shared" si="42"/>
        <v>273</v>
      </c>
      <c r="V90" s="13">
        <f t="shared" si="43"/>
        <v>786</v>
      </c>
      <c r="W90" s="15">
        <f t="shared" si="44"/>
        <v>1.8169999999999999</v>
      </c>
      <c r="X90" s="35"/>
      <c r="Y90" s="18">
        <f t="shared" si="45"/>
        <v>365.4</v>
      </c>
      <c r="Z90" s="18">
        <f t="shared" si="46"/>
        <v>465.7</v>
      </c>
      <c r="AA90" s="18">
        <f t="shared" si="47"/>
        <v>156.4</v>
      </c>
      <c r="AC90" s="23">
        <f t="shared" si="48"/>
        <v>1266.5999999999999</v>
      </c>
      <c r="AD90" s="23">
        <f t="shared" si="49"/>
        <v>1073.79427279578</v>
      </c>
      <c r="AE90" s="23">
        <f t="shared" si="50"/>
        <v>902.13675213675219</v>
      </c>
      <c r="AF90" s="23">
        <f t="shared" si="51"/>
        <v>663.48873755893135</v>
      </c>
      <c r="AG90" s="23">
        <f t="shared" si="52"/>
        <v>484.17431192660553</v>
      </c>
      <c r="AH90" s="23">
        <f t="shared" si="53"/>
        <v>273.20966350301984</v>
      </c>
      <c r="AI90" s="23">
        <f t="shared" si="54"/>
        <v>169.69453376205789</v>
      </c>
    </row>
    <row r="91" spans="1:36" ht="13.5" thickBot="1">
      <c r="A91" s="32">
        <v>1390</v>
      </c>
      <c r="B91" s="33">
        <v>1266.5999999999999</v>
      </c>
      <c r="C91" s="33">
        <v>1084.3</v>
      </c>
      <c r="D91" s="33">
        <v>902.1</v>
      </c>
      <c r="E91" s="33">
        <v>686.8</v>
      </c>
      <c r="F91" s="33">
        <v>444.5</v>
      </c>
      <c r="G91" s="33">
        <v>278.39999999999998</v>
      </c>
      <c r="H91" s="34">
        <v>179.4</v>
      </c>
      <c r="I91" s="9">
        <f t="shared" si="31"/>
        <v>1.2665999999999999</v>
      </c>
      <c r="J91" s="8">
        <f t="shared" si="32"/>
        <v>4.0549409837125383</v>
      </c>
      <c r="K91" s="8">
        <f t="shared" si="33"/>
        <v>4.4357466226648388</v>
      </c>
      <c r="L91" s="8">
        <f t="shared" si="34"/>
        <v>4.7557516973611245</v>
      </c>
      <c r="M91" s="8">
        <f t="shared" si="35"/>
        <v>5.0963566557299407</v>
      </c>
      <c r="N91" s="8">
        <f t="shared" si="36"/>
        <v>5.3794793914458987</v>
      </c>
      <c r="O91" s="8">
        <f t="shared" si="37"/>
        <v>5.6117907778473892</v>
      </c>
      <c r="P91" s="11">
        <f t="shared" si="38"/>
        <v>0.27938818083690115</v>
      </c>
      <c r="Q91" s="11">
        <f t="shared" si="39"/>
        <v>2.0105239828697212</v>
      </c>
      <c r="R91" s="11">
        <f t="shared" si="40"/>
        <v>0.30099999999999999</v>
      </c>
      <c r="S91" s="12">
        <f t="shared" si="41"/>
        <v>-89</v>
      </c>
      <c r="T91" s="12">
        <f t="shared" si="30"/>
        <v>356</v>
      </c>
      <c r="U91" s="12">
        <f t="shared" si="42"/>
        <v>273</v>
      </c>
      <c r="V91" s="13">
        <f t="shared" si="43"/>
        <v>788</v>
      </c>
      <c r="W91" s="15">
        <f t="shared" si="44"/>
        <v>1.823</v>
      </c>
      <c r="X91" s="35"/>
      <c r="Y91" s="18">
        <f t="shared" si="45"/>
        <v>364.5</v>
      </c>
      <c r="Z91" s="18">
        <f t="shared" si="46"/>
        <v>457.6</v>
      </c>
      <c r="AA91" s="18">
        <f t="shared" si="47"/>
        <v>166.1</v>
      </c>
      <c r="AC91" s="23">
        <f t="shared" si="48"/>
        <v>1266.5999999999999</v>
      </c>
      <c r="AD91" s="23">
        <f t="shared" si="49"/>
        <v>1074.8742770932863</v>
      </c>
      <c r="AE91" s="23">
        <f t="shared" si="50"/>
        <v>903.85347288296862</v>
      </c>
      <c r="AF91" s="23">
        <f t="shared" si="51"/>
        <v>665.58066211245398</v>
      </c>
      <c r="AG91" s="23">
        <f t="shared" si="52"/>
        <v>486.15660184237464</v>
      </c>
      <c r="AH91" s="23">
        <f t="shared" si="53"/>
        <v>274.6313963573287</v>
      </c>
      <c r="AI91" s="23">
        <f t="shared" si="54"/>
        <v>170.6701401365433</v>
      </c>
    </row>
    <row r="92" spans="1:36">
      <c r="A92" s="24">
        <f>AVERAGE(A80:A83)</f>
        <v>386.75</v>
      </c>
      <c r="B92" s="24">
        <f>AVERAGE(B80:B83)</f>
        <v>486.47500000000002</v>
      </c>
      <c r="C92" s="24">
        <f t="shared" ref="C92:AA92" si="79">AVERAGE(C80:C83)</f>
        <v>380.00000000000006</v>
      </c>
      <c r="D92" s="24">
        <f t="shared" si="79"/>
        <v>306</v>
      </c>
      <c r="E92" s="24">
        <f t="shared" si="79"/>
        <v>217.05</v>
      </c>
      <c r="F92" s="24">
        <f t="shared" si="79"/>
        <v>153.35000000000002</v>
      </c>
      <c r="G92" s="24">
        <f t="shared" si="79"/>
        <v>77.724999999999994</v>
      </c>
      <c r="H92" s="24">
        <f t="shared" si="79"/>
        <v>44.225000000000001</v>
      </c>
      <c r="I92" s="24">
        <f t="shared" si="79"/>
        <v>0.48647499999999999</v>
      </c>
      <c r="J92" s="24">
        <f t="shared" si="79"/>
        <v>4.2767847225106674</v>
      </c>
      <c r="K92" s="24">
        <f t="shared" si="79"/>
        <v>4.599612126630185</v>
      </c>
      <c r="L92" s="24">
        <f t="shared" si="79"/>
        <v>4.9223756064211077</v>
      </c>
      <c r="M92" s="24">
        <f t="shared" si="79"/>
        <v>5.1650603649006595</v>
      </c>
      <c r="N92" s="24">
        <f t="shared" si="79"/>
        <v>5.5486634162103297</v>
      </c>
      <c r="O92" s="24">
        <f t="shared" si="79"/>
        <v>5.8278400869427589</v>
      </c>
      <c r="P92" s="24">
        <f t="shared" si="79"/>
        <v>0.4927611291278966</v>
      </c>
      <c r="Q92" s="24">
        <f t="shared" si="79"/>
        <v>1.9876591317713843</v>
      </c>
      <c r="R92" s="24">
        <f t="shared" si="79"/>
        <v>0.43374999999999997</v>
      </c>
      <c r="S92" s="24">
        <f t="shared" si="79"/>
        <v>-161.25</v>
      </c>
      <c r="T92" s="24">
        <f t="shared" si="79"/>
        <v>645</v>
      </c>
      <c r="U92" s="24">
        <f t="shared" si="79"/>
        <v>228</v>
      </c>
      <c r="V92" s="24">
        <f t="shared" si="79"/>
        <v>259.75</v>
      </c>
      <c r="W92" s="24">
        <f t="shared" si="79"/>
        <v>1.5189999999999999</v>
      </c>
      <c r="X92" s="36">
        <f>SLOPE(W92:W94,A92:A94)</f>
        <v>2.8689923460250655E-4</v>
      </c>
      <c r="Y92" s="24">
        <f t="shared" si="79"/>
        <v>180.47500000000002</v>
      </c>
      <c r="Z92" s="24">
        <f t="shared" si="79"/>
        <v>152.64999999999998</v>
      </c>
      <c r="AA92" s="24">
        <f t="shared" si="79"/>
        <v>75.625</v>
      </c>
      <c r="AB92"/>
      <c r="AC92" s="24">
        <f t="shared" ref="AC92:AI92" si="80">AVERAGE(AC80:AC83)</f>
        <v>486.47499999999997</v>
      </c>
      <c r="AD92" s="24">
        <f t="shared" si="80"/>
        <v>386.84050968840222</v>
      </c>
      <c r="AE92" s="24">
        <f t="shared" si="80"/>
        <v>308.01017049815584</v>
      </c>
      <c r="AF92" s="24">
        <f t="shared" si="80"/>
        <v>211.19774049133179</v>
      </c>
      <c r="AG92" s="24">
        <f t="shared" si="80"/>
        <v>146.66743493070749</v>
      </c>
      <c r="AH92" s="24">
        <f t="shared" si="80"/>
        <v>78.309885580983789</v>
      </c>
      <c r="AI92" s="24">
        <f t="shared" si="80"/>
        <v>47.389348196321315</v>
      </c>
    </row>
    <row r="93" spans="1:36">
      <c r="A93" s="24">
        <f>AVERAGE(A84:A87)</f>
        <v>711.5</v>
      </c>
      <c r="B93" s="24">
        <f>AVERAGE(B84:B87)</f>
        <v>768.5</v>
      </c>
      <c r="C93" s="24">
        <f t="shared" ref="C93:AA93" si="81">AVERAGE(C84:C87)</f>
        <v>624.07500000000005</v>
      </c>
      <c r="D93" s="24">
        <f t="shared" si="81"/>
        <v>514.32500000000005</v>
      </c>
      <c r="E93" s="24">
        <f t="shared" si="81"/>
        <v>378.45</v>
      </c>
      <c r="F93" s="24">
        <f t="shared" si="81"/>
        <v>275.125</v>
      </c>
      <c r="G93" s="24">
        <f t="shared" si="81"/>
        <v>145.57499999999999</v>
      </c>
      <c r="H93" s="24">
        <f t="shared" si="81"/>
        <v>84.85</v>
      </c>
      <c r="I93" s="24">
        <f t="shared" si="81"/>
        <v>0.76850000000000007</v>
      </c>
      <c r="J93" s="24">
        <f t="shared" si="81"/>
        <v>4.1934536013191499</v>
      </c>
      <c r="K93" s="24">
        <f t="shared" si="81"/>
        <v>4.5229996617186377</v>
      </c>
      <c r="L93" s="24">
        <f t="shared" si="81"/>
        <v>4.8422317969777495</v>
      </c>
      <c r="M93" s="24">
        <f t="shared" si="81"/>
        <v>5.0827907345987242</v>
      </c>
      <c r="N93" s="24">
        <f t="shared" si="81"/>
        <v>5.4604937917787986</v>
      </c>
      <c r="O93" s="24">
        <f t="shared" si="81"/>
        <v>5.7353367841750691</v>
      </c>
      <c r="P93" s="24">
        <f t="shared" si="81"/>
        <v>0.42854315312516844</v>
      </c>
      <c r="Q93" s="24">
        <f t="shared" si="81"/>
        <v>1.9729624225467401</v>
      </c>
      <c r="R93" s="24">
        <f t="shared" si="81"/>
        <v>0.35875000000000001</v>
      </c>
      <c r="S93" s="24">
        <f t="shared" si="81"/>
        <v>-122.75</v>
      </c>
      <c r="T93" s="24">
        <f t="shared" si="81"/>
        <v>491</v>
      </c>
      <c r="U93" s="24">
        <f t="shared" si="81"/>
        <v>250.5</v>
      </c>
      <c r="V93" s="24">
        <f t="shared" si="81"/>
        <v>444.75</v>
      </c>
      <c r="W93" s="24">
        <f t="shared" si="81"/>
        <v>1.6697499999999998</v>
      </c>
      <c r="X93" s="24"/>
      <c r="Y93" s="24">
        <f t="shared" si="81"/>
        <v>254.17500000000001</v>
      </c>
      <c r="Z93" s="24">
        <f t="shared" si="81"/>
        <v>239.2</v>
      </c>
      <c r="AA93" s="24">
        <f t="shared" si="81"/>
        <v>129.55000000000001</v>
      </c>
      <c r="AB93" s="24">
        <f>AC93/AC92</f>
        <v>1.5797317436661702</v>
      </c>
      <c r="AC93" s="24">
        <f t="shared" ref="AC93:AI93" si="82">AVERAGE(AC84:AC87)</f>
        <v>768.50000000000011</v>
      </c>
      <c r="AD93" s="24">
        <f t="shared" si="82"/>
        <v>633.72483175135915</v>
      </c>
      <c r="AE93" s="24">
        <f t="shared" si="82"/>
        <v>519.78921343616003</v>
      </c>
      <c r="AF93" s="24">
        <f t="shared" si="82"/>
        <v>370.09215772853361</v>
      </c>
      <c r="AG93" s="24">
        <f t="shared" si="82"/>
        <v>263.75438254248274</v>
      </c>
      <c r="AH93" s="24">
        <f t="shared" si="82"/>
        <v>144.84790395012357</v>
      </c>
      <c r="AI93" s="24">
        <f t="shared" si="82"/>
        <v>88.801542340487302</v>
      </c>
      <c r="AJ93" s="1">
        <f>AI93/AI92</f>
        <v>1.8738713597116046</v>
      </c>
    </row>
    <row r="94" spans="1:36" ht="13.5" thickBot="1">
      <c r="A94" s="24">
        <f>AVERAGE(A88:A91)</f>
        <v>1391</v>
      </c>
      <c r="B94" s="24">
        <f>AVERAGE(B88:B91)</f>
        <v>1272.75</v>
      </c>
      <c r="C94" s="24">
        <f t="shared" ref="C94:AA94" si="83">AVERAGE(C88:C91)</f>
        <v>1083.075</v>
      </c>
      <c r="D94" s="24">
        <f t="shared" si="83"/>
        <v>900.25</v>
      </c>
      <c r="E94" s="24">
        <f t="shared" si="83"/>
        <v>684.40000000000009</v>
      </c>
      <c r="F94" s="24">
        <f t="shared" si="83"/>
        <v>468.3</v>
      </c>
      <c r="G94" s="24">
        <f t="shared" si="83"/>
        <v>278.14999999999998</v>
      </c>
      <c r="H94" s="24">
        <f t="shared" si="83"/>
        <v>171.97499999999999</v>
      </c>
      <c r="I94" s="24">
        <f t="shared" si="83"/>
        <v>1.2727499999999998</v>
      </c>
      <c r="J94" s="24">
        <f t="shared" si="83"/>
        <v>4.072343454468565</v>
      </c>
      <c r="K94" s="24">
        <f t="shared" si="83"/>
        <v>4.4459610202965631</v>
      </c>
      <c r="L94" s="24">
        <f t="shared" si="83"/>
        <v>4.7635635154178253</v>
      </c>
      <c r="M94" s="24">
        <f t="shared" si="83"/>
        <v>5.0649144285297645</v>
      </c>
      <c r="N94" s="24">
        <f t="shared" si="83"/>
        <v>5.382673139234452</v>
      </c>
      <c r="O94" s="24">
        <f t="shared" si="83"/>
        <v>5.6361703247733601</v>
      </c>
      <c r="P94" s="24">
        <f t="shared" si="83"/>
        <v>0.29278044538318926</v>
      </c>
      <c r="Q94" s="24">
        <f t="shared" si="83"/>
        <v>2.0053224867329766</v>
      </c>
      <c r="R94" s="24">
        <f t="shared" si="83"/>
        <v>0.30224999999999996</v>
      </c>
      <c r="S94" s="24">
        <f t="shared" si="83"/>
        <v>-88</v>
      </c>
      <c r="T94" s="24">
        <f t="shared" si="83"/>
        <v>352</v>
      </c>
      <c r="U94" s="24">
        <f t="shared" si="83"/>
        <v>273</v>
      </c>
      <c r="V94" s="24">
        <f t="shared" si="83"/>
        <v>790.5</v>
      </c>
      <c r="W94" s="24">
        <f t="shared" si="83"/>
        <v>1.8192499999999998</v>
      </c>
      <c r="X94" s="24"/>
      <c r="Y94" s="24">
        <f t="shared" si="83"/>
        <v>372.5</v>
      </c>
      <c r="Z94" s="24">
        <f t="shared" si="83"/>
        <v>431.95000000000005</v>
      </c>
      <c r="AA94" s="24">
        <f t="shared" si="83"/>
        <v>190.15</v>
      </c>
      <c r="AB94" s="24">
        <f>AC94/AC92</f>
        <v>2.6162701063775118</v>
      </c>
      <c r="AC94" s="24">
        <f t="shared" ref="AC94:AI94" si="84">AVERAGE(AC88:AC91)</f>
        <v>1272.75</v>
      </c>
      <c r="AD94" s="24">
        <f t="shared" si="84"/>
        <v>1079.4144949118486</v>
      </c>
      <c r="AE94" s="24">
        <f t="shared" si="84"/>
        <v>907.16685607004854</v>
      </c>
      <c r="AF94" s="24">
        <f t="shared" si="84"/>
        <v>667.50849060321843</v>
      </c>
      <c r="AG94" s="24">
        <f t="shared" si="84"/>
        <v>487.28612257481973</v>
      </c>
      <c r="AH94" s="24">
        <f t="shared" si="84"/>
        <v>275.08580429552609</v>
      </c>
      <c r="AI94" s="24">
        <f t="shared" si="84"/>
        <v>170.8968988040472</v>
      </c>
      <c r="AJ94" s="1">
        <f>AI94/AI92</f>
        <v>3.6062302038016507</v>
      </c>
    </row>
    <row r="95" spans="1:36">
      <c r="A95" s="26">
        <v>379</v>
      </c>
      <c r="B95" s="27">
        <v>602.5</v>
      </c>
      <c r="C95" s="27">
        <v>439.3</v>
      </c>
      <c r="D95" s="27">
        <v>346.5</v>
      </c>
      <c r="E95" s="27">
        <v>234.4</v>
      </c>
      <c r="F95" s="27">
        <v>162.1</v>
      </c>
      <c r="G95" s="27">
        <v>71.3</v>
      </c>
      <c r="H95" s="28">
        <v>37.4</v>
      </c>
      <c r="I95" s="9">
        <f t="shared" si="31"/>
        <v>0.60250000000000004</v>
      </c>
      <c r="J95" s="8">
        <f t="shared" si="32"/>
        <v>4.3992627239835471</v>
      </c>
      <c r="K95" s="8">
        <f t="shared" si="33"/>
        <v>4.6978404991950491</v>
      </c>
      <c r="L95" s="8">
        <f t="shared" si="34"/>
        <v>5.0253119829316386</v>
      </c>
      <c r="M95" s="8">
        <f t="shared" si="35"/>
        <v>5.2633680682822241</v>
      </c>
      <c r="N95" s="8">
        <f t="shared" si="36"/>
        <v>5.7014723093391204</v>
      </c>
      <c r="O95" s="8">
        <f t="shared" si="37"/>
        <v>6.0085574779284432</v>
      </c>
      <c r="P95" s="11">
        <f t="shared" si="38"/>
        <v>0.38441350219155063</v>
      </c>
      <c r="Q95" s="11">
        <f t="shared" si="39"/>
        <v>2.0677921487175355</v>
      </c>
      <c r="R95" s="11">
        <f t="shared" si="40"/>
        <v>0.56499999999999995</v>
      </c>
      <c r="S95" s="12">
        <f t="shared" si="41"/>
        <v>-99</v>
      </c>
      <c r="T95" s="12">
        <f t="shared" si="30"/>
        <v>396</v>
      </c>
      <c r="U95" s="12">
        <f t="shared" si="42"/>
        <v>200</v>
      </c>
      <c r="V95" s="13">
        <f t="shared" si="43"/>
        <v>288</v>
      </c>
      <c r="W95" s="15">
        <f t="shared" si="44"/>
        <v>1.33</v>
      </c>
      <c r="X95" s="35"/>
      <c r="Y95" s="18">
        <f t="shared" si="45"/>
        <v>256</v>
      </c>
      <c r="Z95" s="18">
        <f t="shared" si="46"/>
        <v>184.4</v>
      </c>
      <c r="AA95" s="18">
        <f t="shared" si="47"/>
        <v>90.8</v>
      </c>
      <c r="AC95" s="23">
        <f t="shared" si="48"/>
        <v>602.5</v>
      </c>
      <c r="AD95" s="23">
        <f t="shared" si="49"/>
        <v>451.37347391786903</v>
      </c>
      <c r="AE95" s="23">
        <f t="shared" si="50"/>
        <v>343.63117870722431</v>
      </c>
      <c r="AF95" s="23">
        <f t="shared" si="51"/>
        <v>223.5621521335807</v>
      </c>
      <c r="AG95" s="23">
        <f t="shared" si="52"/>
        <v>150.12458471760797</v>
      </c>
      <c r="AH95" s="23">
        <f t="shared" si="53"/>
        <v>77.442159383033413</v>
      </c>
      <c r="AI95" s="23">
        <f t="shared" si="54"/>
        <v>46.156792645556699</v>
      </c>
    </row>
    <row r="96" spans="1:36">
      <c r="A96" s="29">
        <v>384</v>
      </c>
      <c r="B96" s="30">
        <v>492.6</v>
      </c>
      <c r="C96" s="30">
        <v>365.6</v>
      </c>
      <c r="D96" s="30">
        <v>291.3</v>
      </c>
      <c r="E96" s="30">
        <v>202.1</v>
      </c>
      <c r="F96" s="30">
        <v>144.19999999999999</v>
      </c>
      <c r="G96" s="30">
        <v>68.7</v>
      </c>
      <c r="H96" s="31">
        <v>37.5</v>
      </c>
      <c r="I96" s="9">
        <f t="shared" si="31"/>
        <v>0.49260000000000004</v>
      </c>
      <c r="J96" s="8">
        <f t="shared" si="32"/>
        <v>4.3701013067251875</v>
      </c>
      <c r="K96" s="8">
        <f t="shared" si="33"/>
        <v>4.6688070630920118</v>
      </c>
      <c r="L96" s="8">
        <f t="shared" si="34"/>
        <v>4.9868835960420705</v>
      </c>
      <c r="M96" s="8">
        <f t="shared" si="35"/>
        <v>5.2124166587832406</v>
      </c>
      <c r="N96" s="8">
        <f t="shared" si="36"/>
        <v>5.6196104523396953</v>
      </c>
      <c r="O96" s="8">
        <f t="shared" si="37"/>
        <v>5.9133793406096986</v>
      </c>
      <c r="P96" s="11">
        <f t="shared" si="38"/>
        <v>0.59812039995215682</v>
      </c>
      <c r="Q96" s="11">
        <f t="shared" si="39"/>
        <v>1.9768877530075868</v>
      </c>
      <c r="R96" s="11">
        <f t="shared" si="40"/>
        <v>0.50800000000000001</v>
      </c>
      <c r="S96" s="12">
        <f t="shared" si="41"/>
        <v>-135</v>
      </c>
      <c r="T96" s="12">
        <f t="shared" si="30"/>
        <v>540</v>
      </c>
      <c r="U96" s="12">
        <f t="shared" si="42"/>
        <v>210</v>
      </c>
      <c r="V96" s="13">
        <f t="shared" si="43"/>
        <v>246</v>
      </c>
      <c r="W96" s="15">
        <f t="shared" si="44"/>
        <v>1.403</v>
      </c>
      <c r="X96" s="35"/>
      <c r="Y96" s="18">
        <f t="shared" si="45"/>
        <v>201.3</v>
      </c>
      <c r="Z96" s="18">
        <f t="shared" si="46"/>
        <v>147.1</v>
      </c>
      <c r="AA96" s="18">
        <f t="shared" si="47"/>
        <v>75.5</v>
      </c>
      <c r="AC96" s="23">
        <f t="shared" si="48"/>
        <v>492.60000000000008</v>
      </c>
      <c r="AD96" s="23">
        <f t="shared" si="49"/>
        <v>378.62104304258713</v>
      </c>
      <c r="AE96" s="23">
        <f t="shared" si="50"/>
        <v>293.68044515103344</v>
      </c>
      <c r="AF96" s="23">
        <f t="shared" si="51"/>
        <v>195.16640253565771</v>
      </c>
      <c r="AG96" s="23">
        <f t="shared" si="52"/>
        <v>132.80014378145222</v>
      </c>
      <c r="AH96" s="23">
        <f t="shared" si="53"/>
        <v>69.419391206313421</v>
      </c>
      <c r="AI96" s="23">
        <f t="shared" si="54"/>
        <v>41.61410227528723</v>
      </c>
    </row>
    <row r="97" spans="1:36">
      <c r="A97" s="29">
        <v>385</v>
      </c>
      <c r="B97" s="30">
        <v>474</v>
      </c>
      <c r="C97" s="30">
        <v>356</v>
      </c>
      <c r="D97" s="30">
        <v>285.7</v>
      </c>
      <c r="E97" s="30">
        <v>199.7</v>
      </c>
      <c r="F97" s="30">
        <v>143.5</v>
      </c>
      <c r="G97" s="30">
        <v>68.8</v>
      </c>
      <c r="H97" s="31">
        <v>38.1</v>
      </c>
      <c r="I97" s="9">
        <f t="shared" si="31"/>
        <v>0.47399999999999998</v>
      </c>
      <c r="J97" s="8">
        <f t="shared" si="32"/>
        <v>4.3497357821642755</v>
      </c>
      <c r="K97" s="8">
        <f t="shared" si="33"/>
        <v>4.6482438524649465</v>
      </c>
      <c r="L97" s="8">
        <f t="shared" si="34"/>
        <v>4.9671515155648516</v>
      </c>
      <c r="M97" s="8">
        <f t="shared" si="35"/>
        <v>5.1916233355826726</v>
      </c>
      <c r="N97" s="8">
        <f t="shared" si="36"/>
        <v>5.5993847712837566</v>
      </c>
      <c r="O97" s="8">
        <f t="shared" si="37"/>
        <v>5.8877656661730899</v>
      </c>
      <c r="P97" s="11">
        <f t="shared" si="38"/>
        <v>0.58600793600594914</v>
      </c>
      <c r="Q97" s="11">
        <f t="shared" si="39"/>
        <v>1.9723329867762989</v>
      </c>
      <c r="R97" s="11">
        <f t="shared" si="40"/>
        <v>0.48499999999999999</v>
      </c>
      <c r="S97" s="12">
        <f t="shared" si="41"/>
        <v>-147</v>
      </c>
      <c r="T97" s="12">
        <f t="shared" si="30"/>
        <v>588</v>
      </c>
      <c r="U97" s="12">
        <f t="shared" si="42"/>
        <v>215</v>
      </c>
      <c r="V97" s="13">
        <f t="shared" si="43"/>
        <v>242</v>
      </c>
      <c r="W97" s="15">
        <f t="shared" si="44"/>
        <v>1.4359999999999999</v>
      </c>
      <c r="X97" s="35"/>
      <c r="Y97" s="18">
        <f t="shared" si="45"/>
        <v>188.3</v>
      </c>
      <c r="Z97" s="18">
        <f t="shared" si="46"/>
        <v>142.19999999999999</v>
      </c>
      <c r="AA97" s="18">
        <f t="shared" si="47"/>
        <v>74.7</v>
      </c>
      <c r="AC97" s="23">
        <f t="shared" si="48"/>
        <v>474</v>
      </c>
      <c r="AD97" s="23">
        <f t="shared" si="49"/>
        <v>368.18181818181819</v>
      </c>
      <c r="AE97" s="23">
        <f t="shared" si="50"/>
        <v>287.85425101214577</v>
      </c>
      <c r="AF97" s="23">
        <f t="shared" si="51"/>
        <v>193.07535641547861</v>
      </c>
      <c r="AG97" s="23">
        <f t="shared" si="52"/>
        <v>132.15613382899627</v>
      </c>
      <c r="AH97" s="23">
        <f t="shared" si="53"/>
        <v>69.501466275659823</v>
      </c>
      <c r="AI97" s="23">
        <f t="shared" si="54"/>
        <v>41.774383078730907</v>
      </c>
    </row>
    <row r="98" spans="1:36">
      <c r="A98" s="29">
        <v>386</v>
      </c>
      <c r="B98" s="30">
        <v>467.8</v>
      </c>
      <c r="C98" s="30">
        <v>353.6</v>
      </c>
      <c r="D98" s="30">
        <v>284.5</v>
      </c>
      <c r="E98" s="30">
        <v>199.7</v>
      </c>
      <c r="F98" s="30">
        <v>143.4</v>
      </c>
      <c r="G98" s="30">
        <v>69.8</v>
      </c>
      <c r="H98" s="31">
        <v>38.799999999999997</v>
      </c>
      <c r="I98" s="9">
        <f t="shared" si="31"/>
        <v>0.46779999999999999</v>
      </c>
      <c r="J98" s="8">
        <f t="shared" si="32"/>
        <v>4.3384576203998186</v>
      </c>
      <c r="K98" s="8">
        <f t="shared" si="33"/>
        <v>4.6383839670621514</v>
      </c>
      <c r="L98" s="8">
        <f t="shared" si="34"/>
        <v>4.9572225219432022</v>
      </c>
      <c r="M98" s="8">
        <f t="shared" si="35"/>
        <v>5.183835467038362</v>
      </c>
      <c r="N98" s="8">
        <f t="shared" si="36"/>
        <v>5.585331422281552</v>
      </c>
      <c r="O98" s="8">
        <f t="shared" si="37"/>
        <v>5.8729293394215416</v>
      </c>
      <c r="P98" s="11">
        <f t="shared" si="38"/>
        <v>0.58934198157098905</v>
      </c>
      <c r="Q98" s="11">
        <f t="shared" si="39"/>
        <v>1.9672521405440291</v>
      </c>
      <c r="R98" s="11">
        <f t="shared" si="40"/>
        <v>0.47299999999999998</v>
      </c>
      <c r="S98" s="12">
        <f t="shared" si="41"/>
        <v>-153</v>
      </c>
      <c r="T98" s="12">
        <f t="shared" si="30"/>
        <v>612</v>
      </c>
      <c r="U98" s="12">
        <f t="shared" si="42"/>
        <v>218</v>
      </c>
      <c r="V98" s="13">
        <f t="shared" si="43"/>
        <v>241</v>
      </c>
      <c r="W98" s="15">
        <f t="shared" si="44"/>
        <v>1.454</v>
      </c>
      <c r="X98" s="35"/>
      <c r="Y98" s="18">
        <f t="shared" si="45"/>
        <v>183.3</v>
      </c>
      <c r="Z98" s="18">
        <f t="shared" si="46"/>
        <v>141.1</v>
      </c>
      <c r="AA98" s="18">
        <f t="shared" si="47"/>
        <v>73.599999999999994</v>
      </c>
      <c r="AC98" s="23">
        <f t="shared" si="48"/>
        <v>467.80000000000007</v>
      </c>
      <c r="AD98" s="23">
        <f t="shared" si="49"/>
        <v>365.38417033094197</v>
      </c>
      <c r="AE98" s="23">
        <f t="shared" si="50"/>
        <v>286.87653311529033</v>
      </c>
      <c r="AF98" s="23">
        <f t="shared" si="51"/>
        <v>193.38569656883013</v>
      </c>
      <c r="AG98" s="23">
        <f t="shared" si="52"/>
        <v>132.79712339137018</v>
      </c>
      <c r="AH98" s="23">
        <f t="shared" si="53"/>
        <v>70.071899340922712</v>
      </c>
      <c r="AI98" s="23">
        <f t="shared" si="54"/>
        <v>42.17961048328926</v>
      </c>
    </row>
    <row r="99" spans="1:36">
      <c r="A99" s="29">
        <v>727</v>
      </c>
      <c r="B99" s="30">
        <v>840.2</v>
      </c>
      <c r="C99" s="30">
        <v>652</v>
      </c>
      <c r="D99" s="30">
        <v>531.5</v>
      </c>
      <c r="E99" s="30">
        <v>381.5</v>
      </c>
      <c r="F99" s="30">
        <v>276.60000000000002</v>
      </c>
      <c r="G99" s="30">
        <v>135.80000000000001</v>
      </c>
      <c r="H99" s="31">
        <v>75.5</v>
      </c>
      <c r="I99" s="9">
        <f t="shared" si="31"/>
        <v>0.84020000000000006</v>
      </c>
      <c r="J99" s="8">
        <f t="shared" si="32"/>
        <v>4.2896757961903429</v>
      </c>
      <c r="K99" s="8">
        <f t="shared" si="33"/>
        <v>4.5933371334538045</v>
      </c>
      <c r="L99" s="8">
        <f t="shared" si="34"/>
        <v>4.9093379706721079</v>
      </c>
      <c r="M99" s="8">
        <f t="shared" si="35"/>
        <v>5.1384225814950515</v>
      </c>
      <c r="N99" s="8">
        <f t="shared" si="36"/>
        <v>5.544223350181781</v>
      </c>
      <c r="O99" s="8">
        <f t="shared" si="37"/>
        <v>5.8348479113907663</v>
      </c>
      <c r="P99" s="11">
        <f t="shared" si="38"/>
        <v>0.49297484029912458</v>
      </c>
      <c r="Q99" s="11">
        <f t="shared" si="39"/>
        <v>1.9794999334002785</v>
      </c>
      <c r="R99" s="11">
        <f t="shared" si="40"/>
        <v>0.42599999999999999</v>
      </c>
      <c r="S99" s="12">
        <f t="shared" si="41"/>
        <v>-94</v>
      </c>
      <c r="T99" s="12">
        <f t="shared" ref="T99:T136" si="85">-4*S99</f>
        <v>376</v>
      </c>
      <c r="U99" s="12">
        <f t="shared" si="42"/>
        <v>230</v>
      </c>
      <c r="V99" s="13">
        <f t="shared" si="43"/>
        <v>453</v>
      </c>
      <c r="W99" s="15">
        <f t="shared" si="44"/>
        <v>1.532</v>
      </c>
      <c r="X99" s="35"/>
      <c r="Y99" s="18">
        <f t="shared" si="45"/>
        <v>308.7</v>
      </c>
      <c r="Z99" s="18">
        <f t="shared" si="46"/>
        <v>254.9</v>
      </c>
      <c r="AA99" s="18">
        <f t="shared" si="47"/>
        <v>140.80000000000001</v>
      </c>
      <c r="AC99" s="23">
        <f t="shared" si="48"/>
        <v>840.20000000000016</v>
      </c>
      <c r="AD99" s="23">
        <f t="shared" si="49"/>
        <v>670.84811923349901</v>
      </c>
      <c r="AE99" s="23">
        <f t="shared" si="50"/>
        <v>535.84183673469397</v>
      </c>
      <c r="AF99" s="23">
        <f t="shared" si="51"/>
        <v>368.83230904302025</v>
      </c>
      <c r="AG99" s="23">
        <f t="shared" si="52"/>
        <v>256.78484107579465</v>
      </c>
      <c r="AH99" s="23">
        <f t="shared" si="53"/>
        <v>137.467277486911</v>
      </c>
      <c r="AI99" s="23">
        <f t="shared" si="54"/>
        <v>83.287073750991283</v>
      </c>
    </row>
    <row r="100" spans="1:36">
      <c r="A100" s="29">
        <v>711</v>
      </c>
      <c r="B100" s="30">
        <v>804.3</v>
      </c>
      <c r="C100" s="30">
        <v>629.6</v>
      </c>
      <c r="D100" s="30">
        <v>515.20000000000005</v>
      </c>
      <c r="E100" s="30">
        <v>372.4</v>
      </c>
      <c r="F100" s="30">
        <v>272.2</v>
      </c>
      <c r="G100" s="30">
        <v>135.1</v>
      </c>
      <c r="H100" s="31">
        <v>75.2</v>
      </c>
      <c r="I100" s="9">
        <f t="shared" ref="I100:I136" si="86">B100/1000</f>
        <v>0.8042999999999999</v>
      </c>
      <c r="J100" s="8">
        <f t="shared" ref="J100:J136" si="87">LOG10((((3*150*150)*B100)/C100)-((3*150*150)))</f>
        <v>4.272531958462948</v>
      </c>
      <c r="K100" s="8">
        <f t="shared" ref="K100:K136" si="88">LOG10((((3*150*150)*B100)/D100)-((3*150*150)))</f>
        <v>4.5783760101499267</v>
      </c>
      <c r="L100" s="8">
        <f t="shared" ref="L100:L136" si="89">LOG10((((3*150*150)*B100)/E100)-((3*150*150)))</f>
        <v>4.8936773045692181</v>
      </c>
      <c r="M100" s="8">
        <f t="shared" ref="M100:M136" si="90">LOG10((((3*150*150)*B100)/F100)-((3*150*150)))</f>
        <v>5.1204089108884316</v>
      </c>
      <c r="N100" s="8">
        <f t="shared" ref="N100:N136" si="91">LOG10((((3*150*150)*B100)/G100)-((3*150*150)))</f>
        <v>5.524204356099351</v>
      </c>
      <c r="O100" s="8">
        <f t="shared" ref="O100:O136" si="92">LOG10((((3*150*150)*B100)/H100)-((3*150*150)))</f>
        <v>5.8158730304747266</v>
      </c>
      <c r="P100" s="11">
        <f t="shared" ref="P100:P136" si="93">10^(INTERCEPT(J100:O100,$J$1:$O$1))</f>
        <v>0.48788800413446043</v>
      </c>
      <c r="Q100" s="11">
        <f t="shared" ref="Q100:Q136" si="94">LINEST(J100:O100,$J$1:$O$1)</f>
        <v>1.9747135160805052</v>
      </c>
      <c r="R100" s="11">
        <f t="shared" ref="R100:R136" si="95">ROUND(10^((SUM(J100:N100)-2*SUM($J$1:$N$1))/5),3)</f>
        <v>0.41</v>
      </c>
      <c r="S100" s="12">
        <f t="shared" ref="S100:S136" si="96">ROUND(-1.5*((150^2)/(R100*I100))/1000,0)</f>
        <v>-102</v>
      </c>
      <c r="T100" s="12">
        <f t="shared" si="85"/>
        <v>408</v>
      </c>
      <c r="U100" s="12">
        <f t="shared" ref="U100:U136" si="97">ROUND(150/(R100^0.5),0)</f>
        <v>234</v>
      </c>
      <c r="V100" s="13">
        <f t="shared" ref="V100:V136" si="98">ROUND(150*I100*ATAN((1800*SQRT(3*R100))/(3*150))*SQRT(3/(R100)),0)</f>
        <v>440</v>
      </c>
      <c r="W100" s="15">
        <f t="shared" ref="W100:W136" si="99">ROUND(1/SQRT(R100),3)</f>
        <v>1.5620000000000001</v>
      </c>
      <c r="X100" s="35"/>
      <c r="Y100" s="18">
        <f t="shared" ref="Y100:Y136" si="100">ROUND(B100-D100,3)</f>
        <v>289.10000000000002</v>
      </c>
      <c r="Z100" s="18">
        <f t="shared" ref="Z100:Z136" si="101">ROUND(D100-F100,3)</f>
        <v>243</v>
      </c>
      <c r="AA100" s="18">
        <f t="shared" ref="AA100:AA136" si="102">ROUND(F100-G100,3)</f>
        <v>137.1</v>
      </c>
      <c r="AC100" s="23">
        <f t="shared" ref="AC100:AC136" si="103">((B100)*3*150^2)/(R100*$AC$3^2+3*150^2)</f>
        <v>804.29999999999984</v>
      </c>
      <c r="AD100" s="23">
        <f t="shared" ref="AD100:AD136" si="104">((B100)*3*150^2)/(R100*$AD$3^2+3*150^2)</f>
        <v>647.08283671036941</v>
      </c>
      <c r="AE100" s="23">
        <f t="shared" ref="AE100:AE136" si="105">((B100)*3*150^2)/(R100*$AE$3^2+3*150^2)</f>
        <v>520.02155172413791</v>
      </c>
      <c r="AF100" s="23">
        <f t="shared" ref="AF100:AF136" si="106">((B100)*3*150^2)/(R100*$AF$3^2+3*150^2)</f>
        <v>360.67264573991025</v>
      </c>
      <c r="AG100" s="23">
        <f t="shared" ref="AG100:AG136" si="107">((B100)*3*150^2)/(R100*$AG$3^2+3*150^2)</f>
        <v>252.3953974895397</v>
      </c>
      <c r="AH100" s="23">
        <f t="shared" ref="AH100:AH136" si="108">((B100)*3*150^2)/(R100*$AH$3^2+3*150^2)</f>
        <v>135.86148648648646</v>
      </c>
      <c r="AI100" s="23">
        <f t="shared" ref="AI100:AI136" si="109">((B100)*3*150^2)/(R100*$AI$3^2+3*150^2)</f>
        <v>82.520519835841299</v>
      </c>
    </row>
    <row r="101" spans="1:36">
      <c r="A101" s="29">
        <v>706</v>
      </c>
      <c r="B101" s="30">
        <v>789.5</v>
      </c>
      <c r="C101" s="30">
        <v>622.5</v>
      </c>
      <c r="D101" s="30">
        <v>510</v>
      </c>
      <c r="E101" s="30">
        <v>370</v>
      </c>
      <c r="F101" s="30">
        <v>270.7</v>
      </c>
      <c r="G101" s="30">
        <v>134.69999999999999</v>
      </c>
      <c r="H101" s="31">
        <v>75.400000000000006</v>
      </c>
      <c r="I101" s="9">
        <f t="shared" si="86"/>
        <v>0.78949999999999998</v>
      </c>
      <c r="J101" s="8">
        <f t="shared" si="87"/>
        <v>4.2578808882108339</v>
      </c>
      <c r="K101" s="8">
        <f t="shared" si="88"/>
        <v>4.5681154089555305</v>
      </c>
      <c r="L101" s="8">
        <f t="shared" si="89"/>
        <v>4.8838340139287491</v>
      </c>
      <c r="M101" s="8">
        <f t="shared" si="90"/>
        <v>5.1118154844725607</v>
      </c>
      <c r="N101" s="8">
        <f t="shared" si="91"/>
        <v>5.5160448478479429</v>
      </c>
      <c r="O101" s="8">
        <f t="shared" si="92"/>
        <v>5.8056914600360194</v>
      </c>
      <c r="P101" s="11">
        <f t="shared" si="93"/>
        <v>0.45981742280788157</v>
      </c>
      <c r="Q101" s="11">
        <f t="shared" si="94"/>
        <v>1.9804217710271816</v>
      </c>
      <c r="R101" s="11">
        <f t="shared" si="95"/>
        <v>0.4</v>
      </c>
      <c r="S101" s="12">
        <f t="shared" si="96"/>
        <v>-107</v>
      </c>
      <c r="T101" s="12">
        <f t="shared" si="85"/>
        <v>428</v>
      </c>
      <c r="U101" s="12">
        <f t="shared" si="97"/>
        <v>237</v>
      </c>
      <c r="V101" s="13">
        <f t="shared" si="98"/>
        <v>437</v>
      </c>
      <c r="W101" s="15">
        <f t="shared" si="99"/>
        <v>1.581</v>
      </c>
      <c r="X101" s="35"/>
      <c r="Y101" s="18">
        <f t="shared" si="100"/>
        <v>279.5</v>
      </c>
      <c r="Z101" s="18">
        <f t="shared" si="101"/>
        <v>239.3</v>
      </c>
      <c r="AA101" s="18">
        <f t="shared" si="102"/>
        <v>136</v>
      </c>
      <c r="AC101" s="23">
        <f t="shared" si="103"/>
        <v>789.5</v>
      </c>
      <c r="AD101" s="23">
        <f t="shared" si="104"/>
        <v>638.21856287425146</v>
      </c>
      <c r="AE101" s="23">
        <f t="shared" si="105"/>
        <v>514.89130434782612</v>
      </c>
      <c r="AF101" s="23">
        <f t="shared" si="106"/>
        <v>358.86363636363637</v>
      </c>
      <c r="AG101" s="23">
        <f t="shared" si="107"/>
        <v>251.96808510638297</v>
      </c>
      <c r="AH101" s="23">
        <f t="shared" si="108"/>
        <v>136.12068965517241</v>
      </c>
      <c r="AI101" s="23">
        <f t="shared" si="109"/>
        <v>82.81468531468532</v>
      </c>
    </row>
    <row r="102" spans="1:36">
      <c r="A102" s="29">
        <v>704</v>
      </c>
      <c r="B102" s="30">
        <v>784.2</v>
      </c>
      <c r="C102" s="30">
        <v>619.79999999999995</v>
      </c>
      <c r="D102" s="30">
        <v>508.4</v>
      </c>
      <c r="E102" s="30">
        <v>369.7</v>
      </c>
      <c r="F102" s="30">
        <v>271.10000000000002</v>
      </c>
      <c r="G102" s="30">
        <v>134.69999999999999</v>
      </c>
      <c r="H102" s="31">
        <v>75.7</v>
      </c>
      <c r="I102" s="9">
        <f t="shared" si="86"/>
        <v>0.78420000000000001</v>
      </c>
      <c r="J102" s="8">
        <f t="shared" si="87"/>
        <v>4.2529540141317925</v>
      </c>
      <c r="K102" s="8">
        <f t="shared" si="88"/>
        <v>4.5636924927888858</v>
      </c>
      <c r="L102" s="8">
        <f t="shared" si="89"/>
        <v>4.8789788571442108</v>
      </c>
      <c r="M102" s="8">
        <f t="shared" si="90"/>
        <v>5.1063762699059243</v>
      </c>
      <c r="N102" s="8">
        <f t="shared" si="91"/>
        <v>5.5125153325170864</v>
      </c>
      <c r="O102" s="8">
        <f t="shared" si="92"/>
        <v>5.8005477479144316</v>
      </c>
      <c r="P102" s="11">
        <f t="shared" si="93"/>
        <v>0.45412521194831501</v>
      </c>
      <c r="Q102" s="11">
        <f t="shared" si="94"/>
        <v>1.9806767413530715</v>
      </c>
      <c r="R102" s="11">
        <f t="shared" si="95"/>
        <v>0.39600000000000002</v>
      </c>
      <c r="S102" s="12">
        <f t="shared" si="96"/>
        <v>-109</v>
      </c>
      <c r="T102" s="12">
        <f t="shared" si="85"/>
        <v>436</v>
      </c>
      <c r="U102" s="12">
        <f t="shared" si="97"/>
        <v>238</v>
      </c>
      <c r="V102" s="13">
        <f t="shared" si="98"/>
        <v>436</v>
      </c>
      <c r="W102" s="15">
        <f t="shared" si="99"/>
        <v>1.589</v>
      </c>
      <c r="X102" s="35"/>
      <c r="Y102" s="18">
        <f t="shared" si="100"/>
        <v>275.8</v>
      </c>
      <c r="Z102" s="18">
        <f t="shared" si="101"/>
        <v>237.3</v>
      </c>
      <c r="AA102" s="18">
        <f t="shared" si="102"/>
        <v>136.4</v>
      </c>
      <c r="AC102" s="23">
        <f t="shared" si="103"/>
        <v>784.20000000000016</v>
      </c>
      <c r="AD102" s="23">
        <f t="shared" si="104"/>
        <v>635.15118790496774</v>
      </c>
      <c r="AE102" s="23">
        <f t="shared" si="105"/>
        <v>513.21989528795814</v>
      </c>
      <c r="AF102" s="23">
        <f t="shared" si="106"/>
        <v>358.40950639853753</v>
      </c>
      <c r="AG102" s="23">
        <f t="shared" si="107"/>
        <v>251.99228791773783</v>
      </c>
      <c r="AH102" s="23">
        <f t="shared" si="108"/>
        <v>136.33518776077887</v>
      </c>
      <c r="AI102" s="23">
        <f t="shared" si="109"/>
        <v>83.001693480101622</v>
      </c>
    </row>
    <row r="103" spans="1:36">
      <c r="A103" s="29">
        <v>1382</v>
      </c>
      <c r="B103" s="30">
        <v>1330.7</v>
      </c>
      <c r="C103" s="30">
        <v>1077.0999999999999</v>
      </c>
      <c r="D103" s="30">
        <v>888</v>
      </c>
      <c r="E103" s="30">
        <v>653.4</v>
      </c>
      <c r="F103" s="30">
        <v>484.8</v>
      </c>
      <c r="G103" s="30">
        <v>248.4</v>
      </c>
      <c r="H103" s="31">
        <v>142.9</v>
      </c>
      <c r="I103" s="9">
        <f t="shared" si="86"/>
        <v>1.3307</v>
      </c>
      <c r="J103" s="8">
        <f t="shared" si="87"/>
        <v>4.2011969961502666</v>
      </c>
      <c r="K103" s="8">
        <f t="shared" si="88"/>
        <v>4.5270003290312717</v>
      </c>
      <c r="L103" s="8">
        <f t="shared" si="89"/>
        <v>4.8449057182979676</v>
      </c>
      <c r="M103" s="8">
        <f t="shared" si="90"/>
        <v>5.071060186632451</v>
      </c>
      <c r="N103" s="8">
        <f t="shared" si="91"/>
        <v>5.4684998397733304</v>
      </c>
      <c r="O103" s="8">
        <f t="shared" si="92"/>
        <v>5.7490148649810573</v>
      </c>
      <c r="P103" s="11">
        <f t="shared" si="93"/>
        <v>0.41970078784204257</v>
      </c>
      <c r="Q103" s="11">
        <f t="shared" si="94"/>
        <v>1.9777233469257594</v>
      </c>
      <c r="R103" s="11">
        <f t="shared" si="95"/>
        <v>0.36099999999999999</v>
      </c>
      <c r="S103" s="12">
        <f t="shared" si="96"/>
        <v>-70</v>
      </c>
      <c r="T103" s="12">
        <f t="shared" si="85"/>
        <v>280</v>
      </c>
      <c r="U103" s="12">
        <f t="shared" si="97"/>
        <v>250</v>
      </c>
      <c r="V103" s="13">
        <f t="shared" si="98"/>
        <v>768</v>
      </c>
      <c r="W103" s="15">
        <f t="shared" si="99"/>
        <v>1.6639999999999999</v>
      </c>
      <c r="X103" s="35"/>
      <c r="Y103" s="18">
        <f t="shared" si="100"/>
        <v>442.7</v>
      </c>
      <c r="Z103" s="18">
        <f t="shared" si="101"/>
        <v>403.2</v>
      </c>
      <c r="AA103" s="18">
        <f t="shared" si="102"/>
        <v>236.4</v>
      </c>
      <c r="AC103" s="23">
        <f t="shared" si="103"/>
        <v>1330.7000000000003</v>
      </c>
      <c r="AD103" s="23">
        <f t="shared" si="104"/>
        <v>1096.1953868684404</v>
      </c>
      <c r="AE103" s="23">
        <f t="shared" si="105"/>
        <v>898.31233123312347</v>
      </c>
      <c r="AF103" s="23">
        <f t="shared" si="106"/>
        <v>638.83821411425834</v>
      </c>
      <c r="AG103" s="23">
        <f t="shared" si="107"/>
        <v>454.88833181403834</v>
      </c>
      <c r="AH103" s="23">
        <f t="shared" si="108"/>
        <v>249.56864216054018</v>
      </c>
      <c r="AI103" s="23">
        <f t="shared" si="109"/>
        <v>152.9305853509041</v>
      </c>
    </row>
    <row r="104" spans="1:36">
      <c r="A104" s="29">
        <v>1387</v>
      </c>
      <c r="B104" s="30">
        <v>1320.4</v>
      </c>
      <c r="C104" s="30">
        <v>1077.7</v>
      </c>
      <c r="D104" s="30">
        <v>897.8</v>
      </c>
      <c r="E104" s="30">
        <v>660.8</v>
      </c>
      <c r="F104" s="30">
        <v>509.5</v>
      </c>
      <c r="G104" s="30">
        <v>245.7</v>
      </c>
      <c r="H104" s="31">
        <v>147.69999999999999</v>
      </c>
      <c r="I104" s="9">
        <f t="shared" si="86"/>
        <v>1.3204</v>
      </c>
      <c r="J104" s="8">
        <f t="shared" si="87"/>
        <v>4.1818756663058494</v>
      </c>
      <c r="K104" s="8">
        <f t="shared" si="88"/>
        <v>4.5020536644816858</v>
      </c>
      <c r="L104" s="8">
        <f t="shared" si="89"/>
        <v>4.8285143854911805</v>
      </c>
      <c r="M104" s="8">
        <f t="shared" si="90"/>
        <v>5.0311268849069677</v>
      </c>
      <c r="N104" s="8">
        <f t="shared" si="91"/>
        <v>5.4701858652279425</v>
      </c>
      <c r="O104" s="8">
        <f t="shared" si="92"/>
        <v>5.7291102026709853</v>
      </c>
      <c r="P104" s="11">
        <f t="shared" si="93"/>
        <v>0.37459366517681375</v>
      </c>
      <c r="Q104" s="11">
        <f t="shared" si="94"/>
        <v>1.9886490095429155</v>
      </c>
      <c r="R104" s="11">
        <f t="shared" si="95"/>
        <v>0.34499999999999997</v>
      </c>
      <c r="S104" s="12">
        <f t="shared" si="96"/>
        <v>-74</v>
      </c>
      <c r="T104" s="12">
        <f t="shared" si="85"/>
        <v>296</v>
      </c>
      <c r="U104" s="12">
        <f t="shared" si="97"/>
        <v>255</v>
      </c>
      <c r="V104" s="13">
        <f t="shared" si="98"/>
        <v>777</v>
      </c>
      <c r="W104" s="15">
        <f t="shared" si="99"/>
        <v>1.7030000000000001</v>
      </c>
      <c r="X104" s="35"/>
      <c r="Y104" s="18">
        <f t="shared" si="100"/>
        <v>422.6</v>
      </c>
      <c r="Z104" s="18">
        <f t="shared" si="101"/>
        <v>388.3</v>
      </c>
      <c r="AA104" s="18">
        <f t="shared" si="102"/>
        <v>263.8</v>
      </c>
      <c r="AC104" s="23">
        <f t="shared" si="103"/>
        <v>1320.4</v>
      </c>
      <c r="AD104" s="23">
        <f t="shared" si="104"/>
        <v>1096.2730627306273</v>
      </c>
      <c r="AE104" s="23">
        <f t="shared" si="105"/>
        <v>904.38356164383561</v>
      </c>
      <c r="AF104" s="23">
        <f t="shared" si="106"/>
        <v>648.84520884520884</v>
      </c>
      <c r="AG104" s="23">
        <f t="shared" si="107"/>
        <v>464.92957746478874</v>
      </c>
      <c r="AH104" s="23">
        <f t="shared" si="108"/>
        <v>256.88715953307394</v>
      </c>
      <c r="AI104" s="23">
        <f t="shared" si="109"/>
        <v>157.94258373205741</v>
      </c>
    </row>
    <row r="105" spans="1:36">
      <c r="A105" s="29">
        <v>1386</v>
      </c>
      <c r="B105" s="30">
        <v>1319.3</v>
      </c>
      <c r="C105" s="30">
        <v>1058.5999999999999</v>
      </c>
      <c r="D105" s="30">
        <v>894.3</v>
      </c>
      <c r="E105" s="30">
        <v>662.8</v>
      </c>
      <c r="F105" s="30">
        <v>503.8</v>
      </c>
      <c r="G105" s="30">
        <v>250.4</v>
      </c>
      <c r="H105" s="31">
        <v>147.6</v>
      </c>
      <c r="I105" s="9">
        <f t="shared" si="86"/>
        <v>1.3192999999999999</v>
      </c>
      <c r="J105" s="8">
        <f t="shared" si="87"/>
        <v>4.2207129143441051</v>
      </c>
      <c r="K105" s="8">
        <f t="shared" si="88"/>
        <v>4.5062094721290435</v>
      </c>
      <c r="L105" s="8">
        <f t="shared" si="89"/>
        <v>4.8251560035092238</v>
      </c>
      <c r="M105" s="8">
        <f t="shared" si="90"/>
        <v>5.0384695750452257</v>
      </c>
      <c r="N105" s="8">
        <f t="shared" si="91"/>
        <v>5.459606525363311</v>
      </c>
      <c r="O105" s="8">
        <f t="shared" si="92"/>
        <v>5.7290338452662217</v>
      </c>
      <c r="P105" s="11">
        <f t="shared" si="93"/>
        <v>0.49941039044293833</v>
      </c>
      <c r="Q105" s="11">
        <f t="shared" si="94"/>
        <v>1.9447492439737233</v>
      </c>
      <c r="R105" s="11">
        <f t="shared" si="95"/>
        <v>0.35</v>
      </c>
      <c r="S105" s="12">
        <f t="shared" si="96"/>
        <v>-73</v>
      </c>
      <c r="T105" s="12">
        <f t="shared" si="85"/>
        <v>292</v>
      </c>
      <c r="U105" s="12">
        <f t="shared" si="97"/>
        <v>254</v>
      </c>
      <c r="V105" s="13">
        <f t="shared" si="98"/>
        <v>771</v>
      </c>
      <c r="W105" s="15">
        <f t="shared" si="99"/>
        <v>1.69</v>
      </c>
      <c r="X105" s="35"/>
      <c r="Y105" s="18">
        <f t="shared" si="100"/>
        <v>425</v>
      </c>
      <c r="Z105" s="18">
        <f t="shared" si="101"/>
        <v>390.5</v>
      </c>
      <c r="AA105" s="18">
        <f t="shared" si="102"/>
        <v>253.4</v>
      </c>
      <c r="AC105" s="23">
        <f t="shared" si="103"/>
        <v>1319.2999999999997</v>
      </c>
      <c r="AD105" s="23">
        <f t="shared" si="104"/>
        <v>1092.671779141104</v>
      </c>
      <c r="AE105" s="23">
        <f t="shared" si="105"/>
        <v>899.52272727272714</v>
      </c>
      <c r="AF105" s="23">
        <f t="shared" si="106"/>
        <v>643.56097560975604</v>
      </c>
      <c r="AG105" s="23">
        <f t="shared" si="107"/>
        <v>460.22093023255809</v>
      </c>
      <c r="AH105" s="23">
        <f t="shared" si="108"/>
        <v>253.71153846153842</v>
      </c>
      <c r="AI105" s="23">
        <f t="shared" si="109"/>
        <v>155.82283464566927</v>
      </c>
    </row>
    <row r="106" spans="1:36" ht="13.5" thickBot="1">
      <c r="A106" s="32">
        <v>1383</v>
      </c>
      <c r="B106" s="33">
        <v>1312.3</v>
      </c>
      <c r="C106" s="33">
        <v>1060.4000000000001</v>
      </c>
      <c r="D106" s="33">
        <v>896.3</v>
      </c>
      <c r="E106" s="33">
        <v>662.9</v>
      </c>
      <c r="F106" s="33">
        <v>505.4</v>
      </c>
      <c r="G106" s="33">
        <v>251</v>
      </c>
      <c r="H106" s="34">
        <v>151.6</v>
      </c>
      <c r="I106" s="9">
        <f t="shared" si="86"/>
        <v>1.3123</v>
      </c>
      <c r="J106" s="8">
        <f t="shared" si="87"/>
        <v>4.2050622212680819</v>
      </c>
      <c r="K106" s="8">
        <f t="shared" si="88"/>
        <v>4.4959437070347343</v>
      </c>
      <c r="L106" s="8">
        <f t="shared" si="89"/>
        <v>4.820368038103477</v>
      </c>
      <c r="M106" s="8">
        <f t="shared" si="90"/>
        <v>5.0324882507136746</v>
      </c>
      <c r="N106" s="8">
        <f t="shared" si="91"/>
        <v>5.4554682155796872</v>
      </c>
      <c r="O106" s="8">
        <f t="shared" si="92"/>
        <v>5.7133245559758974</v>
      </c>
      <c r="P106" s="11">
        <f t="shared" si="93"/>
        <v>0.47677320827431896</v>
      </c>
      <c r="Q106" s="11">
        <f t="shared" si="94"/>
        <v>1.948710413823959</v>
      </c>
      <c r="R106" s="11">
        <f t="shared" si="95"/>
        <v>0.34399999999999997</v>
      </c>
      <c r="S106" s="12">
        <f t="shared" si="96"/>
        <v>-75</v>
      </c>
      <c r="T106" s="12">
        <f t="shared" si="85"/>
        <v>300</v>
      </c>
      <c r="U106" s="12">
        <f t="shared" si="97"/>
        <v>256</v>
      </c>
      <c r="V106" s="13">
        <f t="shared" si="98"/>
        <v>773</v>
      </c>
      <c r="W106" s="15">
        <f t="shared" si="99"/>
        <v>1.7050000000000001</v>
      </c>
      <c r="X106" s="35"/>
      <c r="Y106" s="18">
        <f t="shared" si="100"/>
        <v>416</v>
      </c>
      <c r="Z106" s="18">
        <f t="shared" si="101"/>
        <v>390.9</v>
      </c>
      <c r="AA106" s="18">
        <f t="shared" si="102"/>
        <v>254.4</v>
      </c>
      <c r="AC106" s="23">
        <f t="shared" si="103"/>
        <v>1312.2999999999997</v>
      </c>
      <c r="AD106" s="23">
        <f t="shared" si="104"/>
        <v>1090.084297317253</v>
      </c>
      <c r="AE106" s="23">
        <f t="shared" si="105"/>
        <v>899.6572212065812</v>
      </c>
      <c r="AF106" s="23">
        <f t="shared" si="106"/>
        <v>645.81692913385814</v>
      </c>
      <c r="AG106" s="23">
        <f t="shared" si="107"/>
        <v>462.94684854186255</v>
      </c>
      <c r="AH106" s="23">
        <f t="shared" si="108"/>
        <v>255.90873634945393</v>
      </c>
      <c r="AI106" s="23">
        <f t="shared" si="109"/>
        <v>157.37527982091459</v>
      </c>
    </row>
    <row r="107" spans="1:36">
      <c r="A107" s="24">
        <f>AVERAGE(A95:A98)</f>
        <v>383.5</v>
      </c>
      <c r="B107" s="24">
        <f>AVERAGE(B95:B98)</f>
        <v>509.22499999999997</v>
      </c>
      <c r="C107" s="24">
        <f t="shared" ref="C107:AA107" si="110">AVERAGE(C95:C98)</f>
        <v>378.625</v>
      </c>
      <c r="D107" s="24">
        <f t="shared" si="110"/>
        <v>302</v>
      </c>
      <c r="E107" s="24">
        <f t="shared" si="110"/>
        <v>208.97500000000002</v>
      </c>
      <c r="F107" s="24">
        <f t="shared" si="110"/>
        <v>148.29999999999998</v>
      </c>
      <c r="G107" s="24">
        <f t="shared" si="110"/>
        <v>69.650000000000006</v>
      </c>
      <c r="H107" s="24">
        <f t="shared" si="110"/>
        <v>37.950000000000003</v>
      </c>
      <c r="I107" s="24">
        <f t="shared" si="110"/>
        <v>0.50922500000000004</v>
      </c>
      <c r="J107" s="24">
        <f t="shared" si="110"/>
        <v>4.3643893583182072</v>
      </c>
      <c r="K107" s="24">
        <f t="shared" si="110"/>
        <v>4.6633188454535395</v>
      </c>
      <c r="L107" s="24">
        <f t="shared" si="110"/>
        <v>4.9841424041204405</v>
      </c>
      <c r="M107" s="24">
        <f t="shared" si="110"/>
        <v>5.2128108824216248</v>
      </c>
      <c r="N107" s="24">
        <f t="shared" si="110"/>
        <v>5.6264497388110311</v>
      </c>
      <c r="O107" s="24">
        <f t="shared" si="110"/>
        <v>5.9206579560331933</v>
      </c>
      <c r="P107" s="24">
        <f t="shared" si="110"/>
        <v>0.53947095493016139</v>
      </c>
      <c r="Q107" s="24">
        <f t="shared" si="110"/>
        <v>1.9960662572613626</v>
      </c>
      <c r="R107" s="24">
        <f t="shared" si="110"/>
        <v>0.50774999999999992</v>
      </c>
      <c r="S107" s="24">
        <f t="shared" si="110"/>
        <v>-133.5</v>
      </c>
      <c r="T107" s="24">
        <f t="shared" si="110"/>
        <v>534</v>
      </c>
      <c r="U107" s="24">
        <f t="shared" si="110"/>
        <v>210.75</v>
      </c>
      <c r="V107" s="24">
        <f t="shared" si="110"/>
        <v>254.25</v>
      </c>
      <c r="W107" s="24">
        <f t="shared" si="110"/>
        <v>1.4057500000000001</v>
      </c>
      <c r="X107" s="36">
        <f>SLOPE(W107:W109,A107:A109)</f>
        <v>2.6975505858999299E-4</v>
      </c>
      <c r="Y107" s="24">
        <f t="shared" si="110"/>
        <v>207.22500000000002</v>
      </c>
      <c r="Z107" s="24">
        <f t="shared" si="110"/>
        <v>153.69999999999999</v>
      </c>
      <c r="AA107" s="24">
        <f t="shared" si="110"/>
        <v>78.650000000000006</v>
      </c>
      <c r="AB107"/>
      <c r="AC107" s="24">
        <f t="shared" ref="AC107:AI107" si="111">AVERAGE(AC95:AC98)</f>
        <v>509.22500000000002</v>
      </c>
      <c r="AD107" s="24">
        <f t="shared" si="111"/>
        <v>390.8901263683041</v>
      </c>
      <c r="AE107" s="24">
        <f t="shared" si="111"/>
        <v>303.01060199642347</v>
      </c>
      <c r="AF107" s="24">
        <f t="shared" si="111"/>
        <v>201.29740191338678</v>
      </c>
      <c r="AG107" s="24">
        <f t="shared" si="111"/>
        <v>136.96949642985666</v>
      </c>
      <c r="AH107" s="24">
        <f t="shared" si="111"/>
        <v>71.608729051482342</v>
      </c>
      <c r="AI107" s="24">
        <f t="shared" si="111"/>
        <v>42.931222120716022</v>
      </c>
    </row>
    <row r="108" spans="1:36">
      <c r="A108" s="24">
        <f>AVERAGE(A99:A102)</f>
        <v>712</v>
      </c>
      <c r="B108" s="24">
        <f>AVERAGE(B99:B102)</f>
        <v>804.55</v>
      </c>
      <c r="C108" s="24">
        <f t="shared" ref="C108:AA108" si="112">AVERAGE(C99:C102)</f>
        <v>630.97499999999991</v>
      </c>
      <c r="D108" s="24">
        <f t="shared" si="112"/>
        <v>516.27499999999998</v>
      </c>
      <c r="E108" s="24">
        <f t="shared" si="112"/>
        <v>373.40000000000003</v>
      </c>
      <c r="F108" s="24">
        <f t="shared" si="112"/>
        <v>272.64999999999998</v>
      </c>
      <c r="G108" s="24">
        <f t="shared" si="112"/>
        <v>135.07499999999999</v>
      </c>
      <c r="H108" s="24">
        <f t="shared" si="112"/>
        <v>75.45</v>
      </c>
      <c r="I108" s="24">
        <f t="shared" si="112"/>
        <v>0.80454999999999988</v>
      </c>
      <c r="J108" s="24">
        <f t="shared" si="112"/>
        <v>4.2682606642489791</v>
      </c>
      <c r="K108" s="24">
        <f t="shared" si="112"/>
        <v>4.5758802613370371</v>
      </c>
      <c r="L108" s="24">
        <f t="shared" si="112"/>
        <v>4.8914570365785712</v>
      </c>
      <c r="M108" s="24">
        <f t="shared" si="112"/>
        <v>5.1192558116904916</v>
      </c>
      <c r="N108" s="24">
        <f t="shared" si="112"/>
        <v>5.5242469716615403</v>
      </c>
      <c r="O108" s="24">
        <f t="shared" si="112"/>
        <v>5.8142400374539864</v>
      </c>
      <c r="P108" s="24">
        <f t="shared" si="112"/>
        <v>0.47370136979744537</v>
      </c>
      <c r="Q108" s="24">
        <f t="shared" si="112"/>
        <v>1.978827990465259</v>
      </c>
      <c r="R108" s="24">
        <f t="shared" si="112"/>
        <v>0.40800000000000003</v>
      </c>
      <c r="S108" s="24">
        <f t="shared" si="112"/>
        <v>-103</v>
      </c>
      <c r="T108" s="24">
        <f t="shared" si="112"/>
        <v>412</v>
      </c>
      <c r="U108" s="24">
        <f t="shared" si="112"/>
        <v>234.75</v>
      </c>
      <c r="V108" s="24">
        <f t="shared" si="112"/>
        <v>441.5</v>
      </c>
      <c r="W108" s="24">
        <f t="shared" si="112"/>
        <v>1.5660000000000003</v>
      </c>
      <c r="X108" s="24"/>
      <c r="Y108" s="24">
        <f t="shared" si="112"/>
        <v>288.27499999999998</v>
      </c>
      <c r="Z108" s="24">
        <f t="shared" si="112"/>
        <v>243.625</v>
      </c>
      <c r="AA108" s="24">
        <f t="shared" si="112"/>
        <v>137.57499999999999</v>
      </c>
      <c r="AB108" s="24">
        <f>AC108/AC107</f>
        <v>1.5799499239039718</v>
      </c>
      <c r="AC108" s="24">
        <f t="shared" ref="AC108:AI108" si="113">AVERAGE(AC99:AC102)</f>
        <v>804.55000000000007</v>
      </c>
      <c r="AD108" s="24">
        <f t="shared" si="113"/>
        <v>647.82517668077185</v>
      </c>
      <c r="AE108" s="24">
        <f t="shared" si="113"/>
        <v>520.99364702365403</v>
      </c>
      <c r="AF108" s="24">
        <f t="shared" si="113"/>
        <v>361.6945243862761</v>
      </c>
      <c r="AG108" s="24">
        <f t="shared" si="113"/>
        <v>253.28515289736379</v>
      </c>
      <c r="AH108" s="24">
        <f t="shared" si="113"/>
        <v>136.44616034733718</v>
      </c>
      <c r="AI108" s="24">
        <f t="shared" si="113"/>
        <v>82.905993095404881</v>
      </c>
      <c r="AJ108" s="1">
        <f>AI108/AI107</f>
        <v>1.9311351738901334</v>
      </c>
    </row>
    <row r="109" spans="1:36" ht="13.5" thickBot="1">
      <c r="A109" s="24">
        <f>AVERAGE(A103:A106)</f>
        <v>1384.5</v>
      </c>
      <c r="B109" s="24">
        <f>AVERAGE(B103:B106)</f>
        <v>1320.6750000000002</v>
      </c>
      <c r="C109" s="24">
        <f t="shared" ref="C109:AA109" si="114">AVERAGE(C103:C106)</f>
        <v>1068.45</v>
      </c>
      <c r="D109" s="24">
        <f t="shared" si="114"/>
        <v>894.09999999999991</v>
      </c>
      <c r="E109" s="24">
        <f t="shared" si="114"/>
        <v>659.97499999999991</v>
      </c>
      <c r="F109" s="24">
        <f t="shared" si="114"/>
        <v>500.875</v>
      </c>
      <c r="G109" s="24">
        <f t="shared" si="114"/>
        <v>248.875</v>
      </c>
      <c r="H109" s="24">
        <f t="shared" si="114"/>
        <v>147.45000000000002</v>
      </c>
      <c r="I109" s="24">
        <f t="shared" si="114"/>
        <v>1.320675</v>
      </c>
      <c r="J109" s="24">
        <f t="shared" si="114"/>
        <v>4.2022119495170758</v>
      </c>
      <c r="K109" s="24">
        <f t="shared" si="114"/>
        <v>4.5078017931691834</v>
      </c>
      <c r="L109" s="24">
        <f t="shared" si="114"/>
        <v>4.8297360363504627</v>
      </c>
      <c r="M109" s="24">
        <f t="shared" si="114"/>
        <v>5.0432862243245804</v>
      </c>
      <c r="N109" s="24">
        <f t="shared" si="114"/>
        <v>5.4634401114860669</v>
      </c>
      <c r="O109" s="24">
        <f t="shared" si="114"/>
        <v>5.7301208672235404</v>
      </c>
      <c r="P109" s="24">
        <f t="shared" si="114"/>
        <v>0.4426195129340284</v>
      </c>
      <c r="Q109" s="24">
        <f t="shared" si="114"/>
        <v>1.9649580035665892</v>
      </c>
      <c r="R109" s="24">
        <f t="shared" si="114"/>
        <v>0.35</v>
      </c>
      <c r="S109" s="24">
        <f t="shared" si="114"/>
        <v>-73</v>
      </c>
      <c r="T109" s="24">
        <f t="shared" si="114"/>
        <v>292</v>
      </c>
      <c r="U109" s="24">
        <f t="shared" si="114"/>
        <v>253.75</v>
      </c>
      <c r="V109" s="24">
        <f t="shared" si="114"/>
        <v>772.25</v>
      </c>
      <c r="W109" s="24">
        <f t="shared" si="114"/>
        <v>1.6905000000000001</v>
      </c>
      <c r="X109" s="24"/>
      <c r="Y109" s="24">
        <f t="shared" si="114"/>
        <v>426.57499999999999</v>
      </c>
      <c r="Z109" s="24">
        <f t="shared" si="114"/>
        <v>393.22500000000002</v>
      </c>
      <c r="AA109" s="24">
        <f t="shared" si="114"/>
        <v>252</v>
      </c>
      <c r="AB109" s="24">
        <f>AC109/AC107</f>
        <v>2.5934999263586822</v>
      </c>
      <c r="AC109" s="24">
        <f t="shared" ref="AC109:AI109" si="115">AVERAGE(AC103:AC106)</f>
        <v>1320.675</v>
      </c>
      <c r="AD109" s="24">
        <f t="shared" si="115"/>
        <v>1093.8061315143561</v>
      </c>
      <c r="AE109" s="24">
        <f t="shared" si="115"/>
        <v>900.46896033906683</v>
      </c>
      <c r="AF109" s="24">
        <f t="shared" si="115"/>
        <v>644.2653319257704</v>
      </c>
      <c r="AG109" s="24">
        <f t="shared" si="115"/>
        <v>460.74642201331187</v>
      </c>
      <c r="AH109" s="24">
        <f t="shared" si="115"/>
        <v>254.01901912615165</v>
      </c>
      <c r="AI109" s="24">
        <f t="shared" si="115"/>
        <v>156.01782088738634</v>
      </c>
      <c r="AJ109" s="1">
        <f>AI109/AI107</f>
        <v>3.6341341611167768</v>
      </c>
    </row>
    <row r="110" spans="1:36">
      <c r="A110" s="26">
        <v>378</v>
      </c>
      <c r="B110" s="27">
        <v>578.4</v>
      </c>
      <c r="C110" s="27">
        <v>463.2</v>
      </c>
      <c r="D110" s="27">
        <v>347.2</v>
      </c>
      <c r="E110" s="27">
        <v>224.1</v>
      </c>
      <c r="F110" s="27">
        <v>151.6</v>
      </c>
      <c r="G110" s="27">
        <v>67.5</v>
      </c>
      <c r="H110" s="28">
        <v>37.299999999999997</v>
      </c>
      <c r="I110" s="9">
        <f t="shared" si="86"/>
        <v>0.57840000000000003</v>
      </c>
      <c r="J110" s="8">
        <f t="shared" si="87"/>
        <v>4.2249877011988382</v>
      </c>
      <c r="K110" s="8">
        <f t="shared" si="88"/>
        <v>4.6527118860750623</v>
      </c>
      <c r="L110" s="8">
        <f t="shared" si="89"/>
        <v>5.0282330686291408</v>
      </c>
      <c r="M110" s="8">
        <f t="shared" si="90"/>
        <v>5.2788289822874228</v>
      </c>
      <c r="N110" s="8">
        <f t="shared" si="91"/>
        <v>5.7083359026822631</v>
      </c>
      <c r="O110" s="8">
        <f t="shared" si="92"/>
        <v>5.9908724749549194</v>
      </c>
      <c r="P110" s="11">
        <f t="shared" si="93"/>
        <v>0.11427332379590666</v>
      </c>
      <c r="Q110" s="11">
        <f t="shared" si="94"/>
        <v>2.2493651780281509</v>
      </c>
      <c r="R110" s="11">
        <f t="shared" si="95"/>
        <v>0.51700000000000002</v>
      </c>
      <c r="S110" s="12">
        <f t="shared" si="96"/>
        <v>-113</v>
      </c>
      <c r="T110" s="12">
        <f t="shared" si="85"/>
        <v>452</v>
      </c>
      <c r="U110" s="12">
        <f t="shared" si="97"/>
        <v>209</v>
      </c>
      <c r="V110" s="13">
        <f t="shared" si="98"/>
        <v>287</v>
      </c>
      <c r="W110" s="15">
        <f t="shared" si="99"/>
        <v>1.391</v>
      </c>
      <c r="X110" s="35"/>
      <c r="Y110" s="18">
        <f t="shared" si="100"/>
        <v>231.2</v>
      </c>
      <c r="Z110" s="18">
        <f t="shared" si="101"/>
        <v>195.6</v>
      </c>
      <c r="AA110" s="18">
        <f t="shared" si="102"/>
        <v>84.1</v>
      </c>
      <c r="AC110" s="23">
        <f t="shared" si="103"/>
        <v>578.39999999999986</v>
      </c>
      <c r="AD110" s="23">
        <f t="shared" si="104"/>
        <v>442.75345883420266</v>
      </c>
      <c r="AE110" s="23">
        <f t="shared" si="105"/>
        <v>342.38358326756111</v>
      </c>
      <c r="AF110" s="23">
        <f t="shared" si="106"/>
        <v>226.73461387691097</v>
      </c>
      <c r="AG110" s="23">
        <f t="shared" si="107"/>
        <v>153.93896380411636</v>
      </c>
      <c r="AH110" s="23">
        <f t="shared" si="108"/>
        <v>80.288728484175437</v>
      </c>
      <c r="AI110" s="23">
        <f t="shared" si="109"/>
        <v>48.082465085346918</v>
      </c>
    </row>
    <row r="111" spans="1:36">
      <c r="A111" s="29">
        <v>383</v>
      </c>
      <c r="B111" s="30">
        <v>471.5</v>
      </c>
      <c r="C111" s="30">
        <v>378.5</v>
      </c>
      <c r="D111" s="30">
        <v>288.60000000000002</v>
      </c>
      <c r="E111" s="30">
        <v>192.3</v>
      </c>
      <c r="F111" s="30">
        <v>134.80000000000001</v>
      </c>
      <c r="G111" s="30">
        <v>64.900000000000006</v>
      </c>
      <c r="H111" s="31">
        <v>36.9</v>
      </c>
      <c r="I111" s="9">
        <f t="shared" si="86"/>
        <v>0.47149999999999997</v>
      </c>
      <c r="J111" s="8">
        <f t="shared" si="87"/>
        <v>4.2197208375488682</v>
      </c>
      <c r="K111" s="8">
        <f t="shared" si="88"/>
        <v>4.6312211515499664</v>
      </c>
      <c r="L111" s="8">
        <f t="shared" si="89"/>
        <v>4.9912399025436684</v>
      </c>
      <c r="M111" s="8">
        <f t="shared" si="90"/>
        <v>5.2268569970198122</v>
      </c>
      <c r="N111" s="8">
        <f t="shared" si="91"/>
        <v>5.6262264503326751</v>
      </c>
      <c r="O111" s="8">
        <f t="shared" si="92"/>
        <v>5.9003671286564705</v>
      </c>
      <c r="P111" s="11">
        <f t="shared" si="93"/>
        <v>0.20848727395281466</v>
      </c>
      <c r="Q111" s="11">
        <f t="shared" si="94"/>
        <v>2.1351527364457552</v>
      </c>
      <c r="R111" s="11">
        <f t="shared" si="95"/>
        <v>0.47199999999999998</v>
      </c>
      <c r="S111" s="12">
        <f t="shared" si="96"/>
        <v>-152</v>
      </c>
      <c r="T111" s="12">
        <f t="shared" si="85"/>
        <v>608</v>
      </c>
      <c r="U111" s="12">
        <f t="shared" si="97"/>
        <v>218</v>
      </c>
      <c r="V111" s="13">
        <f t="shared" si="98"/>
        <v>243</v>
      </c>
      <c r="W111" s="15">
        <f t="shared" si="99"/>
        <v>1.456</v>
      </c>
      <c r="X111" s="35"/>
      <c r="Y111" s="18">
        <f t="shared" si="100"/>
        <v>182.9</v>
      </c>
      <c r="Z111" s="18">
        <f t="shared" si="101"/>
        <v>153.80000000000001</v>
      </c>
      <c r="AA111" s="18">
        <f t="shared" si="102"/>
        <v>69.900000000000006</v>
      </c>
      <c r="AC111" s="23">
        <f t="shared" si="103"/>
        <v>471.5</v>
      </c>
      <c r="AD111" s="23">
        <f t="shared" si="104"/>
        <v>368.44466311646215</v>
      </c>
      <c r="AE111" s="23">
        <f t="shared" si="105"/>
        <v>289.38216039279871</v>
      </c>
      <c r="AF111" s="23">
        <f t="shared" si="106"/>
        <v>195.15728476821192</v>
      </c>
      <c r="AG111" s="23">
        <f t="shared" si="107"/>
        <v>134.05041698256255</v>
      </c>
      <c r="AH111" s="23">
        <f t="shared" si="108"/>
        <v>70.753301320528209</v>
      </c>
      <c r="AI111" s="23">
        <f t="shared" si="109"/>
        <v>42.595157793302818</v>
      </c>
    </row>
    <row r="112" spans="1:36">
      <c r="A112" s="29">
        <v>385</v>
      </c>
      <c r="B112" s="30">
        <v>458.4</v>
      </c>
      <c r="C112" s="30">
        <v>370.8</v>
      </c>
      <c r="D112" s="30">
        <v>285.2</v>
      </c>
      <c r="E112" s="30">
        <v>191.6</v>
      </c>
      <c r="F112" s="30">
        <v>135</v>
      </c>
      <c r="G112" s="30">
        <v>65.2</v>
      </c>
      <c r="H112" s="31">
        <v>36.9</v>
      </c>
      <c r="I112" s="9">
        <f t="shared" si="86"/>
        <v>0.45839999999999997</v>
      </c>
      <c r="J112" s="8">
        <f t="shared" si="87"/>
        <v>4.2026681535266466</v>
      </c>
      <c r="K112" s="8">
        <f t="shared" si="88"/>
        <v>4.6127021393325247</v>
      </c>
      <c r="L112" s="8">
        <f t="shared" si="89"/>
        <v>4.9730940933330103</v>
      </c>
      <c r="M112" s="8">
        <f t="shared" si="90"/>
        <v>5.2087100199064009</v>
      </c>
      <c r="N112" s="8">
        <f t="shared" si="91"/>
        <v>5.6096696862592026</v>
      </c>
      <c r="O112" s="8">
        <f t="shared" si="92"/>
        <v>5.8870749856327258</v>
      </c>
      <c r="P112" s="11">
        <f t="shared" si="93"/>
        <v>0.19517006457559855</v>
      </c>
      <c r="Q112" s="11">
        <f t="shared" si="94"/>
        <v>2.1394798278257414</v>
      </c>
      <c r="R112" s="11">
        <f t="shared" si="95"/>
        <v>0.45300000000000001</v>
      </c>
      <c r="S112" s="12">
        <f t="shared" si="96"/>
        <v>-163</v>
      </c>
      <c r="T112" s="12">
        <f t="shared" si="85"/>
        <v>652</v>
      </c>
      <c r="U112" s="12">
        <f t="shared" si="97"/>
        <v>223</v>
      </c>
      <c r="V112" s="13">
        <f t="shared" si="98"/>
        <v>241</v>
      </c>
      <c r="W112" s="15">
        <f t="shared" si="99"/>
        <v>1.486</v>
      </c>
      <c r="X112" s="35"/>
      <c r="Y112" s="18">
        <f t="shared" si="100"/>
        <v>173.2</v>
      </c>
      <c r="Z112" s="18">
        <f t="shared" si="101"/>
        <v>150.19999999999999</v>
      </c>
      <c r="AA112" s="18">
        <f t="shared" si="102"/>
        <v>69.8</v>
      </c>
      <c r="AC112" s="23">
        <f t="shared" si="103"/>
        <v>458.39999999999992</v>
      </c>
      <c r="AD112" s="23">
        <f t="shared" si="104"/>
        <v>361.38752627890676</v>
      </c>
      <c r="AE112" s="23">
        <f t="shared" si="105"/>
        <v>285.78553615960095</v>
      </c>
      <c r="AF112" s="23">
        <f t="shared" si="106"/>
        <v>194.3196269605765</v>
      </c>
      <c r="AG112" s="23">
        <f t="shared" si="107"/>
        <v>134.19203747072598</v>
      </c>
      <c r="AH112" s="23">
        <f t="shared" si="108"/>
        <v>71.224362958359222</v>
      </c>
      <c r="AI112" s="23">
        <f t="shared" si="109"/>
        <v>42.985746436609148</v>
      </c>
    </row>
    <row r="113" spans="1:36">
      <c r="A113" s="29">
        <v>384</v>
      </c>
      <c r="B113" s="30">
        <v>449.9</v>
      </c>
      <c r="C113" s="30">
        <v>365.6</v>
      </c>
      <c r="D113" s="30">
        <v>281.7</v>
      </c>
      <c r="E113" s="30">
        <v>190</v>
      </c>
      <c r="F113" s="30">
        <v>134.30000000000001</v>
      </c>
      <c r="G113" s="30">
        <v>65.3</v>
      </c>
      <c r="H113" s="31">
        <v>37.1</v>
      </c>
      <c r="I113" s="9">
        <f t="shared" si="86"/>
        <v>0.44989999999999997</v>
      </c>
      <c r="J113" s="8">
        <f t="shared" si="87"/>
        <v>4.1921251603939735</v>
      </c>
      <c r="K113" s="8">
        <f t="shared" si="88"/>
        <v>4.6053429173071452</v>
      </c>
      <c r="L113" s="8">
        <f t="shared" si="89"/>
        <v>4.9653564513792086</v>
      </c>
      <c r="M113" s="8">
        <f t="shared" si="90"/>
        <v>5.2003647546996925</v>
      </c>
      <c r="N113" s="8">
        <f t="shared" si="91"/>
        <v>5.5993998714584121</v>
      </c>
      <c r="O113" s="8">
        <f t="shared" si="92"/>
        <v>5.8756695518351343</v>
      </c>
      <c r="P113" s="11">
        <f t="shared" si="93"/>
        <v>0.19381243836307729</v>
      </c>
      <c r="Q113" s="11">
        <f t="shared" si="94"/>
        <v>2.1371729171529146</v>
      </c>
      <c r="R113" s="11">
        <f t="shared" si="95"/>
        <v>0.44400000000000001</v>
      </c>
      <c r="S113" s="12">
        <f t="shared" si="96"/>
        <v>-169</v>
      </c>
      <c r="T113" s="12">
        <f t="shared" si="85"/>
        <v>676</v>
      </c>
      <c r="U113" s="12">
        <f t="shared" si="97"/>
        <v>225</v>
      </c>
      <c r="V113" s="13">
        <f t="shared" si="98"/>
        <v>238</v>
      </c>
      <c r="W113" s="15">
        <f t="shared" si="99"/>
        <v>1.5009999999999999</v>
      </c>
      <c r="X113" s="35"/>
      <c r="Y113" s="18">
        <f t="shared" si="100"/>
        <v>168.2</v>
      </c>
      <c r="Z113" s="18">
        <f t="shared" si="101"/>
        <v>147.4</v>
      </c>
      <c r="AA113" s="18">
        <f t="shared" si="102"/>
        <v>69</v>
      </c>
      <c r="AC113" s="23">
        <f t="shared" si="103"/>
        <v>449.89999999999992</v>
      </c>
      <c r="AD113" s="23">
        <f t="shared" si="104"/>
        <v>356.18402533427161</v>
      </c>
      <c r="AE113" s="23">
        <f t="shared" si="105"/>
        <v>282.6005025125628</v>
      </c>
      <c r="AF113" s="23">
        <f t="shared" si="106"/>
        <v>192.92452830188677</v>
      </c>
      <c r="AG113" s="23">
        <f t="shared" si="107"/>
        <v>133.58076009501187</v>
      </c>
      <c r="AH113" s="23">
        <f t="shared" si="108"/>
        <v>71.09671302149178</v>
      </c>
      <c r="AI113" s="23">
        <f t="shared" si="109"/>
        <v>42.962184873949575</v>
      </c>
    </row>
    <row r="114" spans="1:36">
      <c r="A114" s="29">
        <v>728</v>
      </c>
      <c r="B114" s="30">
        <v>823.3</v>
      </c>
      <c r="C114" s="30">
        <v>684</v>
      </c>
      <c r="D114" s="30">
        <v>535.79999999999995</v>
      </c>
      <c r="E114" s="30">
        <v>369.8</v>
      </c>
      <c r="F114" s="30">
        <v>263.3</v>
      </c>
      <c r="G114" s="30">
        <v>130.69999999999999</v>
      </c>
      <c r="H114" s="31">
        <v>76</v>
      </c>
      <c r="I114" s="9">
        <f t="shared" si="86"/>
        <v>0.82329999999999992</v>
      </c>
      <c r="J114" s="8">
        <f t="shared" si="87"/>
        <v>4.138198787534872</v>
      </c>
      <c r="K114" s="8">
        <f t="shared" si="88"/>
        <v>4.5589389125844839</v>
      </c>
      <c r="L114" s="8">
        <f t="shared" si="89"/>
        <v>4.9179141574039846</v>
      </c>
      <c r="M114" s="8">
        <f t="shared" si="90"/>
        <v>5.1570409407311573</v>
      </c>
      <c r="N114" s="8">
        <f t="shared" si="91"/>
        <v>5.5535106724639229</v>
      </c>
      <c r="O114" s="8">
        <f t="shared" si="92"/>
        <v>5.8219851628064028</v>
      </c>
      <c r="P114" s="11">
        <f t="shared" si="93"/>
        <v>0.17146368560472372</v>
      </c>
      <c r="Q114" s="11">
        <f t="shared" si="94"/>
        <v>2.1389328740088169</v>
      </c>
      <c r="R114" s="11">
        <f t="shared" si="95"/>
        <v>0.39800000000000002</v>
      </c>
      <c r="S114" s="12">
        <f t="shared" si="96"/>
        <v>-103</v>
      </c>
      <c r="T114" s="12">
        <f t="shared" si="85"/>
        <v>412</v>
      </c>
      <c r="U114" s="12">
        <f t="shared" si="97"/>
        <v>238</v>
      </c>
      <c r="V114" s="13">
        <f t="shared" si="98"/>
        <v>456</v>
      </c>
      <c r="W114" s="15">
        <f t="shared" si="99"/>
        <v>1.585</v>
      </c>
      <c r="X114" s="35"/>
      <c r="Y114" s="18">
        <f t="shared" si="100"/>
        <v>287.5</v>
      </c>
      <c r="Z114" s="18">
        <f t="shared" si="101"/>
        <v>272.5</v>
      </c>
      <c r="AA114" s="18">
        <f t="shared" si="102"/>
        <v>132.6</v>
      </c>
      <c r="AC114" s="23">
        <f t="shared" si="103"/>
        <v>823.29999999999984</v>
      </c>
      <c r="AD114" s="23">
        <f t="shared" si="104"/>
        <v>666.18017262047465</v>
      </c>
      <c r="AE114" s="23">
        <f t="shared" si="105"/>
        <v>537.87020905923339</v>
      </c>
      <c r="AF114" s="23">
        <f t="shared" si="106"/>
        <v>375.25068368277113</v>
      </c>
      <c r="AG114" s="23">
        <f t="shared" si="107"/>
        <v>263.65286080273268</v>
      </c>
      <c r="AH114" s="23">
        <f t="shared" si="108"/>
        <v>142.53808864265926</v>
      </c>
      <c r="AI114" s="23">
        <f t="shared" si="109"/>
        <v>86.748384377634153</v>
      </c>
    </row>
    <row r="115" spans="1:36">
      <c r="A115" s="29">
        <v>711</v>
      </c>
      <c r="B115" s="30">
        <v>789.1</v>
      </c>
      <c r="C115" s="30">
        <v>657.8</v>
      </c>
      <c r="D115" s="30">
        <v>517.20000000000005</v>
      </c>
      <c r="E115" s="30">
        <v>358.9</v>
      </c>
      <c r="F115" s="30">
        <v>257</v>
      </c>
      <c r="G115" s="30">
        <v>128</v>
      </c>
      <c r="H115" s="31">
        <v>74.099999999999994</v>
      </c>
      <c r="I115" s="9">
        <f t="shared" si="86"/>
        <v>0.78910000000000002</v>
      </c>
      <c r="J115" s="8">
        <f t="shared" si="87"/>
        <v>4.1294746297738687</v>
      </c>
      <c r="K115" s="8">
        <f t="shared" si="88"/>
        <v>4.5500544642101683</v>
      </c>
      <c r="L115" s="8">
        <f t="shared" si="89"/>
        <v>4.9080007205492286</v>
      </c>
      <c r="M115" s="8">
        <f t="shared" si="90"/>
        <v>5.1453639084244527</v>
      </c>
      <c r="N115" s="8">
        <f t="shared" si="91"/>
        <v>5.5423609603441211</v>
      </c>
      <c r="O115" s="8">
        <f t="shared" si="92"/>
        <v>5.8137916066527771</v>
      </c>
      <c r="P115" s="11">
        <f t="shared" si="93"/>
        <v>0.1689137933190914</v>
      </c>
      <c r="Q115" s="11">
        <f t="shared" si="94"/>
        <v>2.1377323458105377</v>
      </c>
      <c r="R115" s="11">
        <f t="shared" si="95"/>
        <v>0.38900000000000001</v>
      </c>
      <c r="S115" s="12">
        <f t="shared" si="96"/>
        <v>-110</v>
      </c>
      <c r="T115" s="12">
        <f t="shared" si="85"/>
        <v>440</v>
      </c>
      <c r="U115" s="12">
        <f t="shared" si="97"/>
        <v>241</v>
      </c>
      <c r="V115" s="13">
        <f t="shared" si="98"/>
        <v>442</v>
      </c>
      <c r="W115" s="15">
        <f t="shared" si="99"/>
        <v>1.603</v>
      </c>
      <c r="X115" s="35"/>
      <c r="Y115" s="18">
        <f t="shared" si="100"/>
        <v>271.89999999999998</v>
      </c>
      <c r="Z115" s="18">
        <f t="shared" si="101"/>
        <v>260.2</v>
      </c>
      <c r="AA115" s="18">
        <f t="shared" si="102"/>
        <v>129</v>
      </c>
      <c r="AC115" s="23">
        <f t="shared" si="103"/>
        <v>789.10000000000014</v>
      </c>
      <c r="AD115" s="23">
        <f t="shared" si="104"/>
        <v>641.27437996628953</v>
      </c>
      <c r="AE115" s="23">
        <f t="shared" si="105"/>
        <v>519.60052677787542</v>
      </c>
      <c r="AF115" s="23">
        <f t="shared" si="106"/>
        <v>364.14397784956168</v>
      </c>
      <c r="AG115" s="23">
        <f t="shared" si="107"/>
        <v>256.64570685169127</v>
      </c>
      <c r="AH115" s="23">
        <f t="shared" si="108"/>
        <v>139.22018348623854</v>
      </c>
      <c r="AI115" s="23">
        <f t="shared" si="109"/>
        <v>84.861628907370246</v>
      </c>
    </row>
    <row r="116" spans="1:36">
      <c r="A116" s="29">
        <v>704</v>
      </c>
      <c r="B116" s="30">
        <v>776.8</v>
      </c>
      <c r="C116" s="30">
        <v>649.70000000000005</v>
      </c>
      <c r="D116" s="30">
        <v>512.29999999999995</v>
      </c>
      <c r="E116" s="30">
        <v>356.3</v>
      </c>
      <c r="F116" s="30">
        <v>255.3</v>
      </c>
      <c r="G116" s="30">
        <v>127.7</v>
      </c>
      <c r="H116" s="31">
        <v>73.900000000000006</v>
      </c>
      <c r="I116" s="9">
        <f t="shared" si="86"/>
        <v>0.77679999999999993</v>
      </c>
      <c r="J116" s="8">
        <f t="shared" si="87"/>
        <v>4.1207364566196647</v>
      </c>
      <c r="K116" s="8">
        <f t="shared" si="88"/>
        <v>4.5422050933258884</v>
      </c>
      <c r="L116" s="8">
        <f t="shared" si="89"/>
        <v>4.9012539506139401</v>
      </c>
      <c r="M116" s="8">
        <f t="shared" si="90"/>
        <v>5.1395072707893243</v>
      </c>
      <c r="N116" s="8">
        <f t="shared" si="91"/>
        <v>5.5354244846987335</v>
      </c>
      <c r="O116" s="8">
        <f t="shared" si="92"/>
        <v>5.8075528777528245</v>
      </c>
      <c r="P116" s="11">
        <f t="shared" si="93"/>
        <v>0.16313001956338924</v>
      </c>
      <c r="Q116" s="11">
        <f t="shared" si="94"/>
        <v>2.140713407621893</v>
      </c>
      <c r="R116" s="11">
        <f t="shared" si="95"/>
        <v>0.38200000000000001</v>
      </c>
      <c r="S116" s="12">
        <f t="shared" si="96"/>
        <v>-114</v>
      </c>
      <c r="T116" s="12">
        <f t="shared" si="85"/>
        <v>456</v>
      </c>
      <c r="U116" s="12">
        <f t="shared" si="97"/>
        <v>243</v>
      </c>
      <c r="V116" s="13">
        <f t="shared" si="98"/>
        <v>438</v>
      </c>
      <c r="W116" s="15">
        <f t="shared" si="99"/>
        <v>1.6180000000000001</v>
      </c>
      <c r="X116" s="35"/>
      <c r="Y116" s="18">
        <f t="shared" si="100"/>
        <v>264.5</v>
      </c>
      <c r="Z116" s="18">
        <f t="shared" si="101"/>
        <v>257</v>
      </c>
      <c r="AA116" s="18">
        <f t="shared" si="102"/>
        <v>127.6</v>
      </c>
      <c r="AC116" s="23">
        <f t="shared" si="103"/>
        <v>776.79999999999984</v>
      </c>
      <c r="AD116" s="23">
        <f t="shared" si="104"/>
        <v>633.41386808407822</v>
      </c>
      <c r="AE116" s="23">
        <f t="shared" si="105"/>
        <v>514.66431095406358</v>
      </c>
      <c r="AF116" s="23">
        <f t="shared" si="106"/>
        <v>361.97576887232054</v>
      </c>
      <c r="AG116" s="23">
        <f t="shared" si="107"/>
        <v>255.75065847234413</v>
      </c>
      <c r="AH116" s="23">
        <f t="shared" si="108"/>
        <v>139.11174785100283</v>
      </c>
      <c r="AI116" s="23">
        <f t="shared" si="109"/>
        <v>84.902360827747003</v>
      </c>
    </row>
    <row r="117" spans="1:36">
      <c r="A117" s="29">
        <v>706</v>
      </c>
      <c r="B117" s="30">
        <v>774.9</v>
      </c>
      <c r="C117" s="30">
        <v>650.1</v>
      </c>
      <c r="D117" s="30">
        <v>513.6</v>
      </c>
      <c r="E117" s="30">
        <v>357.5</v>
      </c>
      <c r="F117" s="30">
        <v>256</v>
      </c>
      <c r="G117" s="30">
        <v>128.5</v>
      </c>
      <c r="H117" s="31">
        <v>74.900000000000006</v>
      </c>
      <c r="I117" s="9">
        <f t="shared" si="86"/>
        <v>0.77489999999999992</v>
      </c>
      <c r="J117" s="8">
        <f t="shared" si="87"/>
        <v>4.1125381921379498</v>
      </c>
      <c r="K117" s="8">
        <f t="shared" si="88"/>
        <v>4.5358181674975535</v>
      </c>
      <c r="L117" s="8">
        <f t="shared" si="89"/>
        <v>4.896580171423361</v>
      </c>
      <c r="M117" s="8">
        <f t="shared" si="90"/>
        <v>5.1361474782141023</v>
      </c>
      <c r="N117" s="8">
        <f t="shared" si="91"/>
        <v>5.5309019929302412</v>
      </c>
      <c r="O117" s="8">
        <f t="shared" si="92"/>
        <v>5.7999199951458156</v>
      </c>
      <c r="P117" s="11">
        <f t="shared" si="93"/>
        <v>0.15896209720757079</v>
      </c>
      <c r="Q117" s="11">
        <f t="shared" si="94"/>
        <v>2.142724600951484</v>
      </c>
      <c r="R117" s="11">
        <f t="shared" si="95"/>
        <v>0.377</v>
      </c>
      <c r="S117" s="12">
        <f t="shared" si="96"/>
        <v>-116</v>
      </c>
      <c r="T117" s="12">
        <f t="shared" si="85"/>
        <v>464</v>
      </c>
      <c r="U117" s="12">
        <f t="shared" si="97"/>
        <v>244</v>
      </c>
      <c r="V117" s="13">
        <f t="shared" si="98"/>
        <v>439</v>
      </c>
      <c r="W117" s="15">
        <f t="shared" si="99"/>
        <v>1.629</v>
      </c>
      <c r="X117" s="35"/>
      <c r="Y117" s="18">
        <f t="shared" si="100"/>
        <v>261.3</v>
      </c>
      <c r="Z117" s="18">
        <f t="shared" si="101"/>
        <v>257.60000000000002</v>
      </c>
      <c r="AA117" s="18">
        <f t="shared" si="102"/>
        <v>127.5</v>
      </c>
      <c r="AC117" s="23">
        <f t="shared" si="103"/>
        <v>774.89999999999986</v>
      </c>
      <c r="AD117" s="23">
        <f t="shared" si="104"/>
        <v>633.39488980382646</v>
      </c>
      <c r="AE117" s="23">
        <f t="shared" si="105"/>
        <v>515.68322981366452</v>
      </c>
      <c r="AF117" s="23">
        <f t="shared" si="106"/>
        <v>363.63209760675733</v>
      </c>
      <c r="AG117" s="23">
        <f t="shared" si="107"/>
        <v>257.38485385296718</v>
      </c>
      <c r="AH117" s="23">
        <f t="shared" si="108"/>
        <v>140.27878349022444</v>
      </c>
      <c r="AI117" s="23">
        <f t="shared" si="109"/>
        <v>85.69374815688586</v>
      </c>
    </row>
    <row r="118" spans="1:36">
      <c r="A118" s="29">
        <v>1383</v>
      </c>
      <c r="B118" s="30">
        <v>1339.2</v>
      </c>
      <c r="C118" s="30">
        <v>1154.0999999999999</v>
      </c>
      <c r="D118" s="30">
        <v>897.2</v>
      </c>
      <c r="E118" s="30">
        <v>635.1</v>
      </c>
      <c r="F118" s="30">
        <v>460.5</v>
      </c>
      <c r="G118" s="30">
        <v>241.4</v>
      </c>
      <c r="H118" s="31">
        <v>145.30000000000001</v>
      </c>
      <c r="I118" s="9">
        <f t="shared" si="86"/>
        <v>1.3391999999999999</v>
      </c>
      <c r="J118" s="8">
        <f t="shared" si="87"/>
        <v>4.0344667505574519</v>
      </c>
      <c r="K118" s="8">
        <f t="shared" si="88"/>
        <v>4.5218367772691863</v>
      </c>
      <c r="L118" s="8">
        <f t="shared" si="89"/>
        <v>4.8740960044102053</v>
      </c>
      <c r="M118" s="8">
        <f t="shared" si="90"/>
        <v>5.1099147646994183</v>
      </c>
      <c r="N118" s="8">
        <f t="shared" si="91"/>
        <v>5.4870897335152904</v>
      </c>
      <c r="O118" s="8">
        <f t="shared" si="92"/>
        <v>5.7440061107309219</v>
      </c>
      <c r="P118" s="11">
        <f t="shared" si="93"/>
        <v>0.1394316670654793</v>
      </c>
      <c r="Q118" s="11">
        <f t="shared" si="94"/>
        <v>2.1489486672362852</v>
      </c>
      <c r="R118" s="11">
        <f t="shared" si="95"/>
        <v>0.34699999999999998</v>
      </c>
      <c r="S118" s="12">
        <f t="shared" si="96"/>
        <v>-73</v>
      </c>
      <c r="T118" s="12">
        <f t="shared" si="85"/>
        <v>292</v>
      </c>
      <c r="U118" s="12">
        <f t="shared" si="97"/>
        <v>255</v>
      </c>
      <c r="V118" s="13">
        <f t="shared" si="98"/>
        <v>786</v>
      </c>
      <c r="W118" s="15">
        <f t="shared" si="99"/>
        <v>1.698</v>
      </c>
      <c r="X118" s="35"/>
      <c r="Y118" s="18">
        <f t="shared" si="100"/>
        <v>442</v>
      </c>
      <c r="Z118" s="18">
        <f t="shared" si="101"/>
        <v>436.7</v>
      </c>
      <c r="AA118" s="18">
        <f t="shared" si="102"/>
        <v>219.1</v>
      </c>
      <c r="AC118" s="23">
        <f t="shared" si="103"/>
        <v>1339.2000000000003</v>
      </c>
      <c r="AD118" s="23">
        <f t="shared" si="104"/>
        <v>1110.7888916195627</v>
      </c>
      <c r="AE118" s="23">
        <f t="shared" si="105"/>
        <v>915.58796718322708</v>
      </c>
      <c r="AF118" s="23">
        <f t="shared" si="106"/>
        <v>656.1489465948066</v>
      </c>
      <c r="AG118" s="23">
        <f t="shared" si="107"/>
        <v>469.78484565014037</v>
      </c>
      <c r="AH118" s="23">
        <f t="shared" si="108"/>
        <v>259.33384972889235</v>
      </c>
      <c r="AI118" s="23">
        <f t="shared" si="109"/>
        <v>159.37797524595368</v>
      </c>
    </row>
    <row r="119" spans="1:36">
      <c r="A119" s="29">
        <v>1387</v>
      </c>
      <c r="B119" s="30">
        <v>1336.3</v>
      </c>
      <c r="C119" s="30">
        <v>1147.5999999999999</v>
      </c>
      <c r="D119" s="30">
        <v>903.3</v>
      </c>
      <c r="E119" s="30">
        <v>641.5</v>
      </c>
      <c r="F119" s="30">
        <v>466.4</v>
      </c>
      <c r="G119" s="30">
        <v>245.7</v>
      </c>
      <c r="H119" s="31">
        <v>146.80000000000001</v>
      </c>
      <c r="I119" s="9">
        <f t="shared" si="86"/>
        <v>1.3363</v>
      </c>
      <c r="J119" s="8">
        <f t="shared" si="87"/>
        <v>4.0452851334219959</v>
      </c>
      <c r="K119" s="8">
        <f t="shared" si="88"/>
        <v>4.5099596589519688</v>
      </c>
      <c r="L119" s="8">
        <f t="shared" si="89"/>
        <v>4.8639669218951385</v>
      </c>
      <c r="M119" s="8">
        <f t="shared" si="90"/>
        <v>5.1000145619235973</v>
      </c>
      <c r="N119" s="8">
        <f t="shared" si="91"/>
        <v>5.4765641097017461</v>
      </c>
      <c r="O119" s="8">
        <f t="shared" si="92"/>
        <v>5.7379421636242585</v>
      </c>
      <c r="P119" s="11">
        <f t="shared" si="93"/>
        <v>0.1515555048918997</v>
      </c>
      <c r="Q119" s="11">
        <f t="shared" si="94"/>
        <v>2.1332532705997087</v>
      </c>
      <c r="R119" s="11">
        <f t="shared" si="95"/>
        <v>0.34200000000000003</v>
      </c>
      <c r="S119" s="12">
        <f t="shared" si="96"/>
        <v>-74</v>
      </c>
      <c r="T119" s="12">
        <f t="shared" si="85"/>
        <v>296</v>
      </c>
      <c r="U119" s="12">
        <f t="shared" si="97"/>
        <v>256</v>
      </c>
      <c r="V119" s="13">
        <f t="shared" si="98"/>
        <v>789</v>
      </c>
      <c r="W119" s="15">
        <f t="shared" si="99"/>
        <v>1.71</v>
      </c>
      <c r="X119" s="35"/>
      <c r="Y119" s="18">
        <f t="shared" si="100"/>
        <v>433</v>
      </c>
      <c r="Z119" s="18">
        <f t="shared" si="101"/>
        <v>436.9</v>
      </c>
      <c r="AA119" s="18">
        <f t="shared" si="102"/>
        <v>220.7</v>
      </c>
      <c r="AC119" s="23">
        <f t="shared" si="103"/>
        <v>1336.2999999999997</v>
      </c>
      <c r="AD119" s="23">
        <f t="shared" si="104"/>
        <v>1111.1141906873613</v>
      </c>
      <c r="AE119" s="23">
        <f t="shared" si="105"/>
        <v>917.78846153846143</v>
      </c>
      <c r="AF119" s="23">
        <f t="shared" si="106"/>
        <v>659.57551826258623</v>
      </c>
      <c r="AG119" s="23">
        <f t="shared" si="107"/>
        <v>473.19405099150134</v>
      </c>
      <c r="AH119" s="23">
        <f t="shared" si="108"/>
        <v>261.81426332288396</v>
      </c>
      <c r="AI119" s="23">
        <f t="shared" si="109"/>
        <v>161.07762777242041</v>
      </c>
    </row>
    <row r="120" spans="1:36">
      <c r="A120" s="29">
        <v>1379</v>
      </c>
      <c r="B120" s="30">
        <v>1341.6</v>
      </c>
      <c r="C120" s="30">
        <v>1137.9000000000001</v>
      </c>
      <c r="D120" s="30">
        <v>902.8</v>
      </c>
      <c r="E120" s="30">
        <v>640.6</v>
      </c>
      <c r="F120" s="30">
        <v>466.8</v>
      </c>
      <c r="G120" s="30">
        <v>246.7</v>
      </c>
      <c r="H120" s="31">
        <v>148.19999999999999</v>
      </c>
      <c r="I120" s="9">
        <f t="shared" si="86"/>
        <v>1.3415999999999999</v>
      </c>
      <c r="J120" s="8">
        <f t="shared" si="87"/>
        <v>4.0821907044087355</v>
      </c>
      <c r="K120" s="8">
        <f t="shared" si="88"/>
        <v>4.515978841327974</v>
      </c>
      <c r="L120" s="8">
        <f t="shared" si="89"/>
        <v>4.8684348564698805</v>
      </c>
      <c r="M120" s="8">
        <f t="shared" si="90"/>
        <v>5.1020816998232918</v>
      </c>
      <c r="N120" s="8">
        <f t="shared" si="91"/>
        <v>5.4765090791097633</v>
      </c>
      <c r="O120" s="8">
        <f t="shared" si="92"/>
        <v>5.7352416026957949</v>
      </c>
      <c r="P120" s="11">
        <f t="shared" si="93"/>
        <v>0.19937312327587453</v>
      </c>
      <c r="Q120" s="11">
        <f t="shared" si="94"/>
        <v>2.0921360100441952</v>
      </c>
      <c r="R120" s="11">
        <f t="shared" si="95"/>
        <v>0.35</v>
      </c>
      <c r="S120" s="12">
        <f t="shared" si="96"/>
        <v>-72</v>
      </c>
      <c r="T120" s="12">
        <f t="shared" si="85"/>
        <v>288</v>
      </c>
      <c r="U120" s="12">
        <f t="shared" si="97"/>
        <v>254</v>
      </c>
      <c r="V120" s="13">
        <f t="shared" si="98"/>
        <v>784</v>
      </c>
      <c r="W120" s="15">
        <f t="shared" si="99"/>
        <v>1.69</v>
      </c>
      <c r="X120" s="35"/>
      <c r="Y120" s="18">
        <f t="shared" si="100"/>
        <v>438.8</v>
      </c>
      <c r="Z120" s="18">
        <f t="shared" si="101"/>
        <v>436</v>
      </c>
      <c r="AA120" s="18">
        <f t="shared" si="102"/>
        <v>220.1</v>
      </c>
      <c r="AC120" s="23">
        <f t="shared" si="103"/>
        <v>1341.6</v>
      </c>
      <c r="AD120" s="23">
        <f t="shared" si="104"/>
        <v>1111.1411042944785</v>
      </c>
      <c r="AE120" s="23">
        <f t="shared" si="105"/>
        <v>914.72727272727275</v>
      </c>
      <c r="AF120" s="23">
        <f t="shared" si="106"/>
        <v>654.43902439024396</v>
      </c>
      <c r="AG120" s="23">
        <f t="shared" si="107"/>
        <v>468</v>
      </c>
      <c r="AH120" s="23">
        <f t="shared" si="108"/>
        <v>258</v>
      </c>
      <c r="AI120" s="23">
        <f t="shared" si="109"/>
        <v>158.45669291338584</v>
      </c>
    </row>
    <row r="121" spans="1:36" ht="13.5" thickBot="1">
      <c r="A121" s="32">
        <v>1385</v>
      </c>
      <c r="B121" s="33">
        <v>1324.5</v>
      </c>
      <c r="C121" s="33">
        <v>1144.5</v>
      </c>
      <c r="D121" s="33">
        <v>905.1</v>
      </c>
      <c r="E121" s="33">
        <v>643.6</v>
      </c>
      <c r="F121" s="33">
        <v>470.1</v>
      </c>
      <c r="G121" s="33">
        <v>248.4</v>
      </c>
      <c r="H121" s="34">
        <v>148.19999999999999</v>
      </c>
      <c r="I121" s="9">
        <f t="shared" si="86"/>
        <v>1.3245</v>
      </c>
      <c r="J121" s="8">
        <f t="shared" si="87"/>
        <v>4.0259604809237697</v>
      </c>
      <c r="K121" s="8">
        <f t="shared" si="88"/>
        <v>4.4952356340656987</v>
      </c>
      <c r="L121" s="8">
        <f t="shared" si="89"/>
        <v>4.8537710715823756</v>
      </c>
      <c r="M121" s="8">
        <f t="shared" si="90"/>
        <v>5.0887747613272536</v>
      </c>
      <c r="N121" s="8">
        <f t="shared" si="91"/>
        <v>5.4660048127221117</v>
      </c>
      <c r="O121" s="8">
        <f t="shared" si="92"/>
        <v>5.728973666207585</v>
      </c>
      <c r="P121" s="11">
        <f t="shared" si="93"/>
        <v>0.13676477565684036</v>
      </c>
      <c r="Q121" s="11">
        <f t="shared" si="94"/>
        <v>2.1451090455764743</v>
      </c>
      <c r="R121" s="11">
        <f t="shared" si="95"/>
        <v>0.33100000000000002</v>
      </c>
      <c r="S121" s="12">
        <f t="shared" si="96"/>
        <v>-77</v>
      </c>
      <c r="T121" s="12">
        <f t="shared" si="85"/>
        <v>308</v>
      </c>
      <c r="U121" s="12">
        <f t="shared" si="97"/>
        <v>261</v>
      </c>
      <c r="V121" s="13">
        <f t="shared" si="98"/>
        <v>793</v>
      </c>
      <c r="W121" s="15">
        <f t="shared" si="99"/>
        <v>1.738</v>
      </c>
      <c r="X121" s="35"/>
      <c r="Y121" s="18">
        <f t="shared" si="100"/>
        <v>419.4</v>
      </c>
      <c r="Z121" s="18">
        <f t="shared" si="101"/>
        <v>435</v>
      </c>
      <c r="AA121" s="18">
        <f t="shared" si="102"/>
        <v>221.7</v>
      </c>
      <c r="AC121" s="23">
        <f t="shared" si="103"/>
        <v>1324.5</v>
      </c>
      <c r="AD121" s="23">
        <f t="shared" si="104"/>
        <v>1107.3043101312855</v>
      </c>
      <c r="AE121" s="23">
        <f t="shared" si="105"/>
        <v>918.94079555966698</v>
      </c>
      <c r="AF121" s="23">
        <f t="shared" si="106"/>
        <v>664.57601605619664</v>
      </c>
      <c r="AG121" s="23">
        <f t="shared" si="107"/>
        <v>478.96576663452265</v>
      </c>
      <c r="AH121" s="23">
        <f t="shared" si="108"/>
        <v>266.39179404666129</v>
      </c>
      <c r="AI121" s="23">
        <f t="shared" si="109"/>
        <v>164.30284485610321</v>
      </c>
    </row>
    <row r="122" spans="1:36">
      <c r="A122" s="24">
        <f>AVERAGE(A110:A113)</f>
        <v>382.5</v>
      </c>
      <c r="B122" s="24">
        <f>AVERAGE(B110:B113)</f>
        <v>489.55000000000007</v>
      </c>
      <c r="C122" s="24">
        <f t="shared" ref="C122:AA122" si="116">AVERAGE(C110:C113)</f>
        <v>394.52499999999998</v>
      </c>
      <c r="D122" s="24">
        <f t="shared" si="116"/>
        <v>300.67500000000001</v>
      </c>
      <c r="E122" s="24">
        <f t="shared" si="116"/>
        <v>199.5</v>
      </c>
      <c r="F122" s="24">
        <f t="shared" si="116"/>
        <v>138.92500000000001</v>
      </c>
      <c r="G122" s="24">
        <f t="shared" si="116"/>
        <v>65.725000000000009</v>
      </c>
      <c r="H122" s="24">
        <f t="shared" si="116"/>
        <v>37.049999999999997</v>
      </c>
      <c r="I122" s="24">
        <f t="shared" si="116"/>
        <v>0.48954999999999999</v>
      </c>
      <c r="J122" s="24">
        <f t="shared" si="116"/>
        <v>4.2098754631670818</v>
      </c>
      <c r="K122" s="24">
        <f t="shared" si="116"/>
        <v>4.6254945235661751</v>
      </c>
      <c r="L122" s="24">
        <f t="shared" si="116"/>
        <v>4.989480878971257</v>
      </c>
      <c r="M122" s="24">
        <f t="shared" si="116"/>
        <v>5.2286901884783319</v>
      </c>
      <c r="N122" s="24">
        <f t="shared" si="116"/>
        <v>5.6359079776831384</v>
      </c>
      <c r="O122" s="24">
        <f t="shared" si="116"/>
        <v>5.9134960352698123</v>
      </c>
      <c r="P122" s="24">
        <f t="shared" si="116"/>
        <v>0.17793577517184928</v>
      </c>
      <c r="Q122" s="24">
        <f t="shared" si="116"/>
        <v>2.1652926648631405</v>
      </c>
      <c r="R122" s="24">
        <f t="shared" si="116"/>
        <v>0.47149999999999997</v>
      </c>
      <c r="S122" s="24">
        <f t="shared" si="116"/>
        <v>-149.25</v>
      </c>
      <c r="T122" s="24">
        <f t="shared" si="116"/>
        <v>597</v>
      </c>
      <c r="U122" s="24">
        <f t="shared" si="116"/>
        <v>218.75</v>
      </c>
      <c r="V122" s="24">
        <f t="shared" si="116"/>
        <v>252.25</v>
      </c>
      <c r="W122" s="24">
        <f t="shared" si="116"/>
        <v>1.4584999999999999</v>
      </c>
      <c r="X122" s="36">
        <f>SLOPE(W122:W124,A122:A124)</f>
        <v>2.3543539206313674E-4</v>
      </c>
      <c r="Y122" s="24">
        <f t="shared" si="116"/>
        <v>188.875</v>
      </c>
      <c r="Z122" s="24">
        <f t="shared" si="116"/>
        <v>161.75</v>
      </c>
      <c r="AA122" s="24">
        <f t="shared" si="116"/>
        <v>73.2</v>
      </c>
      <c r="AB122"/>
      <c r="AC122" s="24">
        <f t="shared" ref="AC122:AI122" si="117">AVERAGE(AC110:AC113)</f>
        <v>489.5499999999999</v>
      </c>
      <c r="AD122" s="24">
        <f t="shared" si="117"/>
        <v>382.19241839096082</v>
      </c>
      <c r="AE122" s="24">
        <f t="shared" si="117"/>
        <v>300.03794558313086</v>
      </c>
      <c r="AF122" s="24">
        <f t="shared" si="117"/>
        <v>202.28401347689652</v>
      </c>
      <c r="AG122" s="24">
        <f t="shared" si="117"/>
        <v>138.94054458810419</v>
      </c>
      <c r="AH122" s="24">
        <f t="shared" si="117"/>
        <v>73.340776446138662</v>
      </c>
      <c r="AI122" s="24">
        <f t="shared" si="117"/>
        <v>44.156388547302114</v>
      </c>
    </row>
    <row r="123" spans="1:36">
      <c r="A123" s="24">
        <f>AVERAGE(A114:A117)</f>
        <v>712.25</v>
      </c>
      <c r="B123" s="24">
        <f>AVERAGE(B114:B117)</f>
        <v>791.02499999999998</v>
      </c>
      <c r="C123" s="24">
        <f t="shared" ref="C123:AA123" si="118">AVERAGE(C114:C117)</f>
        <v>660.4</v>
      </c>
      <c r="D123" s="24">
        <f t="shared" si="118"/>
        <v>519.72500000000002</v>
      </c>
      <c r="E123" s="24">
        <f t="shared" si="118"/>
        <v>360.625</v>
      </c>
      <c r="F123" s="24">
        <f t="shared" si="118"/>
        <v>257.89999999999998</v>
      </c>
      <c r="G123" s="24">
        <f t="shared" si="118"/>
        <v>128.72499999999999</v>
      </c>
      <c r="H123" s="24">
        <f t="shared" si="118"/>
        <v>74.724999999999994</v>
      </c>
      <c r="I123" s="24">
        <f t="shared" si="118"/>
        <v>0.79102499999999987</v>
      </c>
      <c r="J123" s="24">
        <f t="shared" si="118"/>
        <v>4.1252370165165893</v>
      </c>
      <c r="K123" s="24">
        <f t="shared" si="118"/>
        <v>4.5467541594045233</v>
      </c>
      <c r="L123" s="24">
        <f t="shared" si="118"/>
        <v>4.9059372499976286</v>
      </c>
      <c r="M123" s="24">
        <f t="shared" si="118"/>
        <v>5.1445148995397592</v>
      </c>
      <c r="N123" s="24">
        <f t="shared" si="118"/>
        <v>5.5405495276092545</v>
      </c>
      <c r="O123" s="24">
        <f t="shared" si="118"/>
        <v>5.8108124105894543</v>
      </c>
      <c r="P123" s="24">
        <f t="shared" si="118"/>
        <v>0.16561739892369379</v>
      </c>
      <c r="Q123" s="24">
        <f t="shared" si="118"/>
        <v>2.140025807098183</v>
      </c>
      <c r="R123" s="24">
        <f t="shared" si="118"/>
        <v>0.38650000000000001</v>
      </c>
      <c r="S123" s="24">
        <f t="shared" si="118"/>
        <v>-110.75</v>
      </c>
      <c r="T123" s="24">
        <f t="shared" si="118"/>
        <v>443</v>
      </c>
      <c r="U123" s="24">
        <f t="shared" si="118"/>
        <v>241.5</v>
      </c>
      <c r="V123" s="24">
        <f t="shared" si="118"/>
        <v>443.75</v>
      </c>
      <c r="W123" s="24">
        <f t="shared" si="118"/>
        <v>1.6087500000000001</v>
      </c>
      <c r="X123" s="24"/>
      <c r="Y123" s="24">
        <f t="shared" si="118"/>
        <v>271.3</v>
      </c>
      <c r="Z123" s="24">
        <f t="shared" si="118"/>
        <v>261.82500000000005</v>
      </c>
      <c r="AA123" s="24">
        <f t="shared" si="118"/>
        <v>129.17500000000001</v>
      </c>
      <c r="AB123" s="24">
        <f>AC123/AC122</f>
        <v>1.6158206516188336</v>
      </c>
      <c r="AC123" s="24">
        <f t="shared" ref="AC123:AI123" si="119">AVERAGE(AC114:AC117)</f>
        <v>791.02499999999986</v>
      </c>
      <c r="AD123" s="24">
        <f t="shared" si="119"/>
        <v>643.5658276186673</v>
      </c>
      <c r="AE123" s="24">
        <f t="shared" si="119"/>
        <v>521.95456915120928</v>
      </c>
      <c r="AF123" s="24">
        <f t="shared" si="119"/>
        <v>366.25063200285263</v>
      </c>
      <c r="AG123" s="24">
        <f t="shared" si="119"/>
        <v>258.35851999493383</v>
      </c>
      <c r="AH123" s="24">
        <f t="shared" si="119"/>
        <v>140.28720086753128</v>
      </c>
      <c r="AI123" s="24">
        <f t="shared" si="119"/>
        <v>85.55153056740933</v>
      </c>
      <c r="AJ123" s="1">
        <f>AI123/AI122</f>
        <v>1.9374666584375002</v>
      </c>
    </row>
    <row r="124" spans="1:36" ht="13.5" thickBot="1">
      <c r="A124" s="24">
        <f>AVERAGE(A118:A121)</f>
        <v>1383.5</v>
      </c>
      <c r="B124" s="24">
        <f>AVERAGE(B118:B121)</f>
        <v>1335.4</v>
      </c>
      <c r="C124" s="24">
        <f t="shared" ref="C124:AA124" si="120">AVERAGE(C118:C121)</f>
        <v>1146.0250000000001</v>
      </c>
      <c r="D124" s="24">
        <f t="shared" si="120"/>
        <v>902.1</v>
      </c>
      <c r="E124" s="24">
        <f t="shared" si="120"/>
        <v>640.19999999999993</v>
      </c>
      <c r="F124" s="24">
        <f t="shared" si="120"/>
        <v>465.95000000000005</v>
      </c>
      <c r="G124" s="24">
        <f t="shared" si="120"/>
        <v>245.54999999999998</v>
      </c>
      <c r="H124" s="24">
        <f t="shared" si="120"/>
        <v>147.125</v>
      </c>
      <c r="I124" s="24">
        <f t="shared" si="120"/>
        <v>1.3353999999999999</v>
      </c>
      <c r="J124" s="24">
        <f t="shared" si="120"/>
        <v>4.0469757673279876</v>
      </c>
      <c r="K124" s="24">
        <f t="shared" si="120"/>
        <v>4.5107527279037072</v>
      </c>
      <c r="L124" s="24">
        <f t="shared" si="120"/>
        <v>4.8650672135894002</v>
      </c>
      <c r="M124" s="24">
        <f t="shared" si="120"/>
        <v>5.1001964469433902</v>
      </c>
      <c r="N124" s="24">
        <f t="shared" si="120"/>
        <v>5.4765419337622276</v>
      </c>
      <c r="O124" s="24">
        <f t="shared" si="120"/>
        <v>5.7365408858146392</v>
      </c>
      <c r="P124" s="24">
        <f t="shared" si="120"/>
        <v>0.15678126772252349</v>
      </c>
      <c r="Q124" s="24">
        <f t="shared" si="120"/>
        <v>2.1298617483641658</v>
      </c>
      <c r="R124" s="24">
        <f t="shared" si="120"/>
        <v>0.34250000000000003</v>
      </c>
      <c r="S124" s="24">
        <f t="shared" si="120"/>
        <v>-74</v>
      </c>
      <c r="T124" s="24">
        <f t="shared" si="120"/>
        <v>296</v>
      </c>
      <c r="U124" s="24">
        <f t="shared" si="120"/>
        <v>256.5</v>
      </c>
      <c r="V124" s="24">
        <f t="shared" si="120"/>
        <v>788</v>
      </c>
      <c r="W124" s="24">
        <f t="shared" si="120"/>
        <v>1.7090000000000001</v>
      </c>
      <c r="X124" s="24"/>
      <c r="Y124" s="24">
        <f t="shared" si="120"/>
        <v>433.29999999999995</v>
      </c>
      <c r="Z124" s="24">
        <f t="shared" si="120"/>
        <v>436.15</v>
      </c>
      <c r="AA124" s="24">
        <f t="shared" si="120"/>
        <v>220.39999999999998</v>
      </c>
      <c r="AB124" s="24">
        <f>AC124/AC122</f>
        <v>2.7278112552343998</v>
      </c>
      <c r="AC124" s="24">
        <f t="shared" ref="AC124:AI124" si="121">AVERAGE(AC118:AC121)</f>
        <v>1335.4</v>
      </c>
      <c r="AD124" s="24">
        <f t="shared" si="121"/>
        <v>1110.0871241831719</v>
      </c>
      <c r="AE124" s="24">
        <f t="shared" si="121"/>
        <v>916.76112425215706</v>
      </c>
      <c r="AF124" s="24">
        <f t="shared" si="121"/>
        <v>658.68487632595838</v>
      </c>
      <c r="AG124" s="24">
        <f t="shared" si="121"/>
        <v>472.4861658190411</v>
      </c>
      <c r="AH124" s="24">
        <f t="shared" si="121"/>
        <v>261.38497677460941</v>
      </c>
      <c r="AI124" s="24">
        <f t="shared" si="121"/>
        <v>160.80378519696578</v>
      </c>
      <c r="AJ124" s="1">
        <f>AI124/AI122</f>
        <v>3.6416878845222191</v>
      </c>
    </row>
    <row r="125" spans="1:36">
      <c r="A125" s="26">
        <v>372</v>
      </c>
      <c r="B125" s="27">
        <v>695</v>
      </c>
      <c r="C125" s="27">
        <v>502.8</v>
      </c>
      <c r="D125" s="27">
        <v>373.2</v>
      </c>
      <c r="E125" s="27">
        <v>220.8</v>
      </c>
      <c r="F125" s="27">
        <v>143.69999999999999</v>
      </c>
      <c r="G125" s="27">
        <v>67.8</v>
      </c>
      <c r="H125" s="28">
        <v>35.9</v>
      </c>
      <c r="I125" s="9">
        <f t="shared" si="86"/>
        <v>0.69499999999999995</v>
      </c>
      <c r="J125" s="8">
        <f t="shared" si="87"/>
        <v>4.4116618871496316</v>
      </c>
      <c r="K125" s="8">
        <f t="shared" si="88"/>
        <v>4.7649481775195737</v>
      </c>
      <c r="L125" s="8">
        <f t="shared" si="89"/>
        <v>5.1612662534160334</v>
      </c>
      <c r="M125" s="8">
        <f t="shared" si="90"/>
        <v>5.413234997176068</v>
      </c>
      <c r="N125" s="8">
        <f t="shared" si="91"/>
        <v>5.7954801286403432</v>
      </c>
      <c r="O125" s="8">
        <f t="shared" si="92"/>
        <v>6.0931606358928789</v>
      </c>
      <c r="P125" s="11">
        <f t="shared" si="93"/>
        <v>0.27321674105998517</v>
      </c>
      <c r="Q125" s="11">
        <f t="shared" si="94"/>
        <v>2.1560573942394425</v>
      </c>
      <c r="R125" s="11">
        <f t="shared" si="95"/>
        <v>0.69799999999999995</v>
      </c>
      <c r="S125" s="12">
        <f t="shared" si="96"/>
        <v>-70</v>
      </c>
      <c r="T125" s="12">
        <f t="shared" si="85"/>
        <v>280</v>
      </c>
      <c r="U125" s="12">
        <f t="shared" si="97"/>
        <v>180</v>
      </c>
      <c r="V125" s="13">
        <f t="shared" si="98"/>
        <v>303</v>
      </c>
      <c r="W125" s="15">
        <f t="shared" si="99"/>
        <v>1.1970000000000001</v>
      </c>
      <c r="X125" s="35"/>
      <c r="Y125" s="18">
        <f t="shared" si="100"/>
        <v>321.8</v>
      </c>
      <c r="Z125" s="18">
        <f t="shared" si="101"/>
        <v>229.5</v>
      </c>
      <c r="AA125" s="18">
        <f t="shared" si="102"/>
        <v>75.900000000000006</v>
      </c>
      <c r="AC125" s="23">
        <f t="shared" si="103"/>
        <v>695</v>
      </c>
      <c r="AD125" s="23">
        <f t="shared" si="104"/>
        <v>491.64221337245863</v>
      </c>
      <c r="AE125" s="23">
        <f t="shared" si="105"/>
        <v>359.9792817679558</v>
      </c>
      <c r="AF125" s="23">
        <f t="shared" si="106"/>
        <v>224.62831286360699</v>
      </c>
      <c r="AG125" s="23">
        <f t="shared" si="107"/>
        <v>147.16261998870695</v>
      </c>
      <c r="AH125" s="23">
        <f t="shared" si="108"/>
        <v>74.125426621160415</v>
      </c>
      <c r="AI125" s="23">
        <f t="shared" si="109"/>
        <v>43.736365161939922</v>
      </c>
    </row>
    <row r="126" spans="1:36">
      <c r="A126" s="29">
        <v>377</v>
      </c>
      <c r="B126" s="30">
        <v>543.4</v>
      </c>
      <c r="C126" s="30">
        <v>405</v>
      </c>
      <c r="D126" s="30">
        <v>311.60000000000002</v>
      </c>
      <c r="E126" s="30">
        <v>197.1</v>
      </c>
      <c r="F126" s="30">
        <v>135.69999999999999</v>
      </c>
      <c r="G126" s="30">
        <v>66.2</v>
      </c>
      <c r="H126" s="31">
        <v>36.200000000000003</v>
      </c>
      <c r="I126" s="9">
        <f t="shared" si="86"/>
        <v>0.54339999999999999</v>
      </c>
      <c r="J126" s="8">
        <f t="shared" si="87"/>
        <v>4.3629848397370958</v>
      </c>
      <c r="K126" s="8">
        <f t="shared" si="88"/>
        <v>4.7008197554580748</v>
      </c>
      <c r="L126" s="8">
        <f t="shared" si="89"/>
        <v>5.0740696401010421</v>
      </c>
      <c r="M126" s="8">
        <f t="shared" si="90"/>
        <v>5.3070646366234442</v>
      </c>
      <c r="N126" s="8">
        <f t="shared" si="91"/>
        <v>5.6871462183896293</v>
      </c>
      <c r="O126" s="8">
        <f t="shared" si="92"/>
        <v>5.9757744471715357</v>
      </c>
      <c r="P126" s="11">
        <f t="shared" si="93"/>
        <v>0.39313865426747457</v>
      </c>
      <c r="Q126" s="11">
        <f t="shared" si="94"/>
        <v>2.0649332939092759</v>
      </c>
      <c r="R126" s="11">
        <f t="shared" si="95"/>
        <v>0.57699999999999996</v>
      </c>
      <c r="S126" s="12">
        <f t="shared" si="96"/>
        <v>-108</v>
      </c>
      <c r="T126" s="12">
        <f t="shared" si="85"/>
        <v>432</v>
      </c>
      <c r="U126" s="12">
        <f t="shared" si="97"/>
        <v>197</v>
      </c>
      <c r="V126" s="13">
        <f t="shared" si="98"/>
        <v>257</v>
      </c>
      <c r="W126" s="15">
        <f t="shared" si="99"/>
        <v>1.3160000000000001</v>
      </c>
      <c r="X126" s="35"/>
      <c r="Y126" s="18">
        <f t="shared" si="100"/>
        <v>231.8</v>
      </c>
      <c r="Z126" s="18">
        <f t="shared" si="101"/>
        <v>175.9</v>
      </c>
      <c r="AA126" s="18">
        <f t="shared" si="102"/>
        <v>69.5</v>
      </c>
      <c r="AC126" s="23">
        <f t="shared" si="103"/>
        <v>543.39999999999986</v>
      </c>
      <c r="AD126" s="23">
        <f t="shared" si="104"/>
        <v>404.94038419077049</v>
      </c>
      <c r="AE126" s="23">
        <f t="shared" si="105"/>
        <v>307.12132629992459</v>
      </c>
      <c r="AF126" s="23">
        <f t="shared" si="106"/>
        <v>198.97473452947634</v>
      </c>
      <c r="AG126" s="23">
        <f t="shared" si="107"/>
        <v>133.273381294964</v>
      </c>
      <c r="AH126" s="23">
        <f t="shared" si="108"/>
        <v>68.576476527006548</v>
      </c>
      <c r="AI126" s="23">
        <f t="shared" si="109"/>
        <v>40.82849128431176</v>
      </c>
    </row>
    <row r="127" spans="1:36">
      <c r="A127" s="29">
        <v>376</v>
      </c>
      <c r="B127" s="30">
        <v>521.9</v>
      </c>
      <c r="C127" s="30">
        <v>395.5</v>
      </c>
      <c r="D127" s="30">
        <v>306.7</v>
      </c>
      <c r="E127" s="30">
        <v>197.1</v>
      </c>
      <c r="F127" s="30">
        <v>135.69999999999999</v>
      </c>
      <c r="G127" s="30">
        <v>66.900000000000006</v>
      </c>
      <c r="H127" s="31">
        <v>37</v>
      </c>
      <c r="I127" s="9">
        <f t="shared" si="86"/>
        <v>0.52190000000000003</v>
      </c>
      <c r="J127" s="8">
        <f t="shared" si="87"/>
        <v>4.3339043589436956</v>
      </c>
      <c r="K127" s="8">
        <f t="shared" si="88"/>
        <v>4.6754322638428913</v>
      </c>
      <c r="L127" s="8">
        <f t="shared" si="89"/>
        <v>5.0462331691207192</v>
      </c>
      <c r="M127" s="8">
        <f t="shared" si="90"/>
        <v>5.2835361946146637</v>
      </c>
      <c r="N127" s="8">
        <f t="shared" si="91"/>
        <v>5.6618890517203146</v>
      </c>
      <c r="O127" s="8">
        <f t="shared" si="92"/>
        <v>5.9467542328795542</v>
      </c>
      <c r="P127" s="11">
        <f t="shared" si="93"/>
        <v>0.36730776288189693</v>
      </c>
      <c r="Q127" s="11">
        <f t="shared" si="94"/>
        <v>2.0659788911285326</v>
      </c>
      <c r="R127" s="11">
        <f t="shared" si="95"/>
        <v>0.54300000000000004</v>
      </c>
      <c r="S127" s="12">
        <f t="shared" si="96"/>
        <v>-119</v>
      </c>
      <c r="T127" s="12">
        <f t="shared" si="85"/>
        <v>476</v>
      </c>
      <c r="U127" s="12">
        <f t="shared" si="97"/>
        <v>204</v>
      </c>
      <c r="V127" s="13">
        <f t="shared" si="98"/>
        <v>253</v>
      </c>
      <c r="W127" s="15">
        <f t="shared" si="99"/>
        <v>1.357</v>
      </c>
      <c r="X127" s="35"/>
      <c r="Y127" s="18">
        <f t="shared" si="100"/>
        <v>215.2</v>
      </c>
      <c r="Z127" s="18">
        <f t="shared" si="101"/>
        <v>171</v>
      </c>
      <c r="AA127" s="18">
        <f t="shared" si="102"/>
        <v>68.8</v>
      </c>
      <c r="AC127" s="23">
        <f t="shared" si="103"/>
        <v>521.89999999999986</v>
      </c>
      <c r="AD127" s="23">
        <f t="shared" si="104"/>
        <v>394.84700739744443</v>
      </c>
      <c r="AE127" s="23">
        <f t="shared" si="105"/>
        <v>302.72621809744771</v>
      </c>
      <c r="AF127" s="23">
        <f t="shared" si="106"/>
        <v>198.51654621529093</v>
      </c>
      <c r="AG127" s="23">
        <f t="shared" si="107"/>
        <v>133.95790554414782</v>
      </c>
      <c r="AH127" s="23">
        <f t="shared" si="108"/>
        <v>69.438531133581677</v>
      </c>
      <c r="AI127" s="23">
        <f t="shared" si="109"/>
        <v>41.473299427844871</v>
      </c>
    </row>
    <row r="128" spans="1:36">
      <c r="A128" s="29">
        <v>376</v>
      </c>
      <c r="B128" s="30">
        <v>512.1</v>
      </c>
      <c r="C128" s="30">
        <v>391.5</v>
      </c>
      <c r="D128" s="30">
        <v>304.7</v>
      </c>
      <c r="E128" s="30">
        <v>197</v>
      </c>
      <c r="F128" s="30">
        <v>135.30000000000001</v>
      </c>
      <c r="G128" s="30">
        <v>67.7</v>
      </c>
      <c r="H128" s="31">
        <v>37.4</v>
      </c>
      <c r="I128" s="9">
        <f t="shared" si="86"/>
        <v>0.5121</v>
      </c>
      <c r="J128" s="8">
        <f t="shared" si="87"/>
        <v>4.3179193142411947</v>
      </c>
      <c r="K128" s="8">
        <f t="shared" si="88"/>
        <v>4.6622400706613734</v>
      </c>
      <c r="L128" s="8">
        <f t="shared" si="89"/>
        <v>5.0332859498434317</v>
      </c>
      <c r="M128" s="8">
        <f t="shared" si="90"/>
        <v>5.2741168703542414</v>
      </c>
      <c r="N128" s="8">
        <f t="shared" si="91"/>
        <v>5.6464891544147102</v>
      </c>
      <c r="O128" s="8">
        <f t="shared" si="92"/>
        <v>5.9328514023489047</v>
      </c>
      <c r="P128" s="11">
        <f t="shared" si="93"/>
        <v>0.35307721300824707</v>
      </c>
      <c r="Q128" s="11">
        <f t="shared" si="94"/>
        <v>2.0673404670280151</v>
      </c>
      <c r="R128" s="11">
        <f t="shared" si="95"/>
        <v>0.52600000000000002</v>
      </c>
      <c r="S128" s="12">
        <f t="shared" si="96"/>
        <v>-125</v>
      </c>
      <c r="T128" s="12">
        <f t="shared" si="85"/>
        <v>500</v>
      </c>
      <c r="U128" s="12">
        <f t="shared" si="97"/>
        <v>207</v>
      </c>
      <c r="V128" s="13">
        <f t="shared" si="98"/>
        <v>252</v>
      </c>
      <c r="W128" s="15">
        <f t="shared" si="99"/>
        <v>1.379</v>
      </c>
      <c r="X128" s="35"/>
      <c r="Y128" s="18">
        <f t="shared" si="100"/>
        <v>207.4</v>
      </c>
      <c r="Z128" s="18">
        <f t="shared" si="101"/>
        <v>169.4</v>
      </c>
      <c r="AA128" s="18">
        <f t="shared" si="102"/>
        <v>67.599999999999994</v>
      </c>
      <c r="AC128" s="23">
        <f t="shared" si="103"/>
        <v>512.10000000000014</v>
      </c>
      <c r="AD128" s="23">
        <f t="shared" si="104"/>
        <v>390.40829003840082</v>
      </c>
      <c r="AE128" s="23">
        <f t="shared" si="105"/>
        <v>300.99921630094053</v>
      </c>
      <c r="AF128" s="23">
        <f t="shared" si="106"/>
        <v>198.64235841737786</v>
      </c>
      <c r="AG128" s="23">
        <f t="shared" si="107"/>
        <v>134.57428170988089</v>
      </c>
      <c r="AH128" s="23">
        <f t="shared" si="108"/>
        <v>70.035557986870913</v>
      </c>
      <c r="AI128" s="23">
        <f t="shared" si="109"/>
        <v>41.902138337333632</v>
      </c>
    </row>
    <row r="129" spans="1:36">
      <c r="A129" s="29">
        <v>723</v>
      </c>
      <c r="B129" s="30">
        <v>911.5</v>
      </c>
      <c r="C129" s="30">
        <v>716.2</v>
      </c>
      <c r="D129" s="30">
        <v>567.29999999999995</v>
      </c>
      <c r="E129" s="30">
        <v>375.1</v>
      </c>
      <c r="F129" s="30">
        <v>260.8</v>
      </c>
      <c r="G129" s="30">
        <v>132.9</v>
      </c>
      <c r="H129" s="31">
        <v>74.099999999999994</v>
      </c>
      <c r="I129" s="9">
        <f t="shared" si="86"/>
        <v>0.91149999999999998</v>
      </c>
      <c r="J129" s="8">
        <f t="shared" si="87"/>
        <v>4.2649716994429951</v>
      </c>
      <c r="K129" s="8">
        <f t="shared" si="88"/>
        <v>4.6123018552578641</v>
      </c>
      <c r="L129" s="8">
        <f t="shared" si="89"/>
        <v>4.9846454778598632</v>
      </c>
      <c r="M129" s="8">
        <f t="shared" si="90"/>
        <v>5.2263769925049983</v>
      </c>
      <c r="N129" s="8">
        <f t="shared" si="91"/>
        <v>5.597093191270436</v>
      </c>
      <c r="O129" s="8">
        <f t="shared" si="92"/>
        <v>5.8824185214069082</v>
      </c>
      <c r="P129" s="11">
        <f t="shared" si="93"/>
        <v>0.30903725418827016</v>
      </c>
      <c r="Q129" s="11">
        <f t="shared" si="94"/>
        <v>2.0702991740163919</v>
      </c>
      <c r="R129" s="11">
        <f t="shared" si="95"/>
        <v>0.46899999999999997</v>
      </c>
      <c r="S129" s="12">
        <f t="shared" si="96"/>
        <v>-79</v>
      </c>
      <c r="T129" s="12">
        <f t="shared" si="85"/>
        <v>316</v>
      </c>
      <c r="U129" s="12">
        <f t="shared" si="97"/>
        <v>219</v>
      </c>
      <c r="V129" s="13">
        <f t="shared" si="98"/>
        <v>471</v>
      </c>
      <c r="W129" s="15">
        <f t="shared" si="99"/>
        <v>1.46</v>
      </c>
      <c r="X129" s="35"/>
      <c r="Y129" s="18">
        <f t="shared" si="100"/>
        <v>344.2</v>
      </c>
      <c r="Z129" s="18">
        <f t="shared" si="101"/>
        <v>306.5</v>
      </c>
      <c r="AA129" s="18">
        <f t="shared" si="102"/>
        <v>127.9</v>
      </c>
      <c r="AC129" s="23">
        <f t="shared" si="103"/>
        <v>911.5</v>
      </c>
      <c r="AD129" s="23">
        <f t="shared" si="104"/>
        <v>713.26512868073269</v>
      </c>
      <c r="AE129" s="23">
        <f t="shared" si="105"/>
        <v>560.80803937653809</v>
      </c>
      <c r="AF129" s="23">
        <f t="shared" si="106"/>
        <v>378.68716244287492</v>
      </c>
      <c r="AG129" s="23">
        <f t="shared" si="107"/>
        <v>260.32939832444782</v>
      </c>
      <c r="AH129" s="23">
        <f t="shared" si="108"/>
        <v>137.52263126131564</v>
      </c>
      <c r="AI129" s="23">
        <f t="shared" si="109"/>
        <v>82.823479525078753</v>
      </c>
    </row>
    <row r="130" spans="1:36">
      <c r="A130" s="29">
        <v>708</v>
      </c>
      <c r="B130" s="30">
        <v>871.7</v>
      </c>
      <c r="C130" s="30">
        <v>693.6</v>
      </c>
      <c r="D130" s="30">
        <v>553.4</v>
      </c>
      <c r="E130" s="30">
        <v>370.8</v>
      </c>
      <c r="F130" s="30">
        <v>258.10000000000002</v>
      </c>
      <c r="G130" s="30">
        <v>134.19999999999999</v>
      </c>
      <c r="H130" s="31">
        <v>76.2</v>
      </c>
      <c r="I130" s="9">
        <f t="shared" si="86"/>
        <v>0.87170000000000003</v>
      </c>
      <c r="J130" s="8">
        <f t="shared" si="87"/>
        <v>4.2388586078261143</v>
      </c>
      <c r="K130" s="8">
        <f t="shared" si="88"/>
        <v>4.589101256647095</v>
      </c>
      <c r="L130" s="8">
        <f t="shared" si="89"/>
        <v>4.9599150790480797</v>
      </c>
      <c r="M130" s="8">
        <f t="shared" si="90"/>
        <v>5.2054011192280809</v>
      </c>
      <c r="N130" s="8">
        <f t="shared" si="91"/>
        <v>5.5693132816482525</v>
      </c>
      <c r="O130" s="8">
        <f t="shared" si="92"/>
        <v>5.847988985474025</v>
      </c>
      <c r="P130" s="11">
        <f t="shared" si="93"/>
        <v>0.30799338919629127</v>
      </c>
      <c r="Q130" s="11">
        <f t="shared" si="94"/>
        <v>2.0611621107941058</v>
      </c>
      <c r="R130" s="11">
        <f t="shared" si="95"/>
        <v>0.44400000000000001</v>
      </c>
      <c r="S130" s="12">
        <f t="shared" si="96"/>
        <v>-87</v>
      </c>
      <c r="T130" s="12">
        <f t="shared" si="85"/>
        <v>348</v>
      </c>
      <c r="U130" s="12">
        <f t="shared" si="97"/>
        <v>225</v>
      </c>
      <c r="V130" s="13">
        <f t="shared" si="98"/>
        <v>461</v>
      </c>
      <c r="W130" s="15">
        <f t="shared" si="99"/>
        <v>1.5009999999999999</v>
      </c>
      <c r="X130" s="35"/>
      <c r="Y130" s="18">
        <f t="shared" si="100"/>
        <v>318.3</v>
      </c>
      <c r="Z130" s="18">
        <f t="shared" si="101"/>
        <v>295.3</v>
      </c>
      <c r="AA130" s="18">
        <f t="shared" si="102"/>
        <v>123.9</v>
      </c>
      <c r="AC130" s="23">
        <f t="shared" si="103"/>
        <v>871.70000000000016</v>
      </c>
      <c r="AD130" s="23">
        <f t="shared" si="104"/>
        <v>690.12139338494023</v>
      </c>
      <c r="AE130" s="23">
        <f t="shared" si="105"/>
        <v>547.55025125628151</v>
      </c>
      <c r="AF130" s="23">
        <f t="shared" si="106"/>
        <v>373.79931389365356</v>
      </c>
      <c r="AG130" s="23">
        <f t="shared" si="107"/>
        <v>258.81828978622332</v>
      </c>
      <c r="AH130" s="23">
        <f t="shared" si="108"/>
        <v>137.75284450063214</v>
      </c>
      <c r="AI130" s="23">
        <f t="shared" si="109"/>
        <v>83.241023682200165</v>
      </c>
    </row>
    <row r="131" spans="1:36">
      <c r="A131" s="29">
        <v>706</v>
      </c>
      <c r="B131" s="30">
        <v>862.3</v>
      </c>
      <c r="C131" s="30">
        <v>690</v>
      </c>
      <c r="D131" s="30">
        <v>553.1</v>
      </c>
      <c r="E131" s="30">
        <v>371.7</v>
      </c>
      <c r="F131" s="30">
        <v>260.2</v>
      </c>
      <c r="G131" s="30">
        <v>132.4</v>
      </c>
      <c r="H131" s="31">
        <v>74.099999999999994</v>
      </c>
      <c r="I131" s="9">
        <f t="shared" si="86"/>
        <v>0.86229999999999996</v>
      </c>
      <c r="J131" s="8">
        <f t="shared" si="87"/>
        <v>4.2267399595417983</v>
      </c>
      <c r="K131" s="8">
        <f t="shared" si="88"/>
        <v>4.576739599608147</v>
      </c>
      <c r="L131" s="8">
        <f t="shared" si="89"/>
        <v>4.9498387556056658</v>
      </c>
      <c r="M131" s="8">
        <f t="shared" si="90"/>
        <v>5.1936651078126053</v>
      </c>
      <c r="N131" s="8">
        <f t="shared" si="91"/>
        <v>5.5706791513778251</v>
      </c>
      <c r="O131" s="8">
        <f t="shared" si="92"/>
        <v>5.8561219953812813</v>
      </c>
      <c r="P131" s="11">
        <f t="shared" si="93"/>
        <v>0.25906579368768856</v>
      </c>
      <c r="Q131" s="11">
        <f t="shared" si="94"/>
        <v>2.0866497501858787</v>
      </c>
      <c r="R131" s="11">
        <f t="shared" si="95"/>
        <v>0.435</v>
      </c>
      <c r="S131" s="12">
        <f t="shared" si="96"/>
        <v>-90</v>
      </c>
      <c r="T131" s="12">
        <f t="shared" si="85"/>
        <v>360</v>
      </c>
      <c r="U131" s="12">
        <f t="shared" si="97"/>
        <v>227</v>
      </c>
      <c r="V131" s="13">
        <f t="shared" si="98"/>
        <v>460</v>
      </c>
      <c r="W131" s="15">
        <f t="shared" si="99"/>
        <v>1.516</v>
      </c>
      <c r="X131" s="35"/>
      <c r="Y131" s="18">
        <f t="shared" si="100"/>
        <v>309.2</v>
      </c>
      <c r="Z131" s="18">
        <f t="shared" si="101"/>
        <v>292.89999999999998</v>
      </c>
      <c r="AA131" s="18">
        <f t="shared" si="102"/>
        <v>127.8</v>
      </c>
      <c r="AC131" s="23">
        <f t="shared" si="103"/>
        <v>862.29999999999984</v>
      </c>
      <c r="AD131" s="23">
        <f t="shared" si="104"/>
        <v>685.57420494699636</v>
      </c>
      <c r="AE131" s="23">
        <f t="shared" si="105"/>
        <v>545.75949367088606</v>
      </c>
      <c r="AF131" s="23">
        <f t="shared" si="106"/>
        <v>374.09978308026024</v>
      </c>
      <c r="AG131" s="23">
        <f t="shared" si="107"/>
        <v>259.72891566265059</v>
      </c>
      <c r="AH131" s="23">
        <f t="shared" si="108"/>
        <v>138.63344051446944</v>
      </c>
      <c r="AI131" s="23">
        <f t="shared" si="109"/>
        <v>83.881322957198435</v>
      </c>
    </row>
    <row r="132" spans="1:36">
      <c r="A132" s="29">
        <v>706</v>
      </c>
      <c r="B132" s="30">
        <v>857.2</v>
      </c>
      <c r="C132" s="30">
        <v>690.4</v>
      </c>
      <c r="D132" s="30">
        <v>554.20000000000005</v>
      </c>
      <c r="E132" s="30">
        <v>373.3</v>
      </c>
      <c r="F132" s="30">
        <v>261.89999999999998</v>
      </c>
      <c r="G132" s="30">
        <v>132.6</v>
      </c>
      <c r="H132" s="31">
        <v>74.3</v>
      </c>
      <c r="I132" s="9">
        <f t="shared" si="86"/>
        <v>0.85720000000000007</v>
      </c>
      <c r="J132" s="8">
        <f t="shared" si="87"/>
        <v>4.2123990364255919</v>
      </c>
      <c r="K132" s="8">
        <f t="shared" si="88"/>
        <v>4.5670798798871166</v>
      </c>
      <c r="L132" s="8">
        <f t="shared" si="89"/>
        <v>4.9420014050133441</v>
      </c>
      <c r="M132" s="8">
        <f t="shared" si="90"/>
        <v>5.1859041569575464</v>
      </c>
      <c r="N132" s="8">
        <f t="shared" si="91"/>
        <v>5.5668585784607885</v>
      </c>
      <c r="O132" s="8">
        <f t="shared" si="92"/>
        <v>5.8520212521351631</v>
      </c>
      <c r="P132" s="11">
        <f t="shared" si="93"/>
        <v>0.23485801587820029</v>
      </c>
      <c r="Q132" s="11">
        <f t="shared" si="94"/>
        <v>2.0994619549026479</v>
      </c>
      <c r="R132" s="11">
        <f t="shared" si="95"/>
        <v>0.42599999999999999</v>
      </c>
      <c r="S132" s="12">
        <f t="shared" si="96"/>
        <v>-92</v>
      </c>
      <c r="T132" s="12">
        <f t="shared" si="85"/>
        <v>368</v>
      </c>
      <c r="U132" s="12">
        <f t="shared" si="97"/>
        <v>230</v>
      </c>
      <c r="V132" s="13">
        <f t="shared" si="98"/>
        <v>462</v>
      </c>
      <c r="W132" s="15">
        <f t="shared" si="99"/>
        <v>1.532</v>
      </c>
      <c r="X132" s="35"/>
      <c r="Y132" s="18">
        <f t="shared" si="100"/>
        <v>303</v>
      </c>
      <c r="Z132" s="18">
        <f t="shared" si="101"/>
        <v>292.3</v>
      </c>
      <c r="AA132" s="18">
        <f t="shared" si="102"/>
        <v>129.30000000000001</v>
      </c>
      <c r="AC132" s="23">
        <f t="shared" si="103"/>
        <v>857.20000000000016</v>
      </c>
      <c r="AD132" s="23">
        <f t="shared" si="104"/>
        <v>684.42157558552174</v>
      </c>
      <c r="AE132" s="23">
        <f t="shared" si="105"/>
        <v>546.68367346938783</v>
      </c>
      <c r="AF132" s="23">
        <f t="shared" si="106"/>
        <v>376.2949956101844</v>
      </c>
      <c r="AG132" s="23">
        <f t="shared" si="107"/>
        <v>261.98044009779954</v>
      </c>
      <c r="AH132" s="23">
        <f t="shared" si="108"/>
        <v>140.24869109947645</v>
      </c>
      <c r="AI132" s="23">
        <f t="shared" si="109"/>
        <v>84.972244250594784</v>
      </c>
    </row>
    <row r="133" spans="1:36">
      <c r="A133" s="29">
        <v>1373</v>
      </c>
      <c r="B133" s="30">
        <v>1399.1</v>
      </c>
      <c r="C133" s="30">
        <v>1165.9000000000001</v>
      </c>
      <c r="D133" s="30">
        <v>866.7</v>
      </c>
      <c r="E133" s="30">
        <v>640.6</v>
      </c>
      <c r="F133" s="30">
        <v>477.4</v>
      </c>
      <c r="G133" s="30">
        <v>240.5</v>
      </c>
      <c r="H133" s="31">
        <v>139.1</v>
      </c>
      <c r="I133" s="9">
        <f t="shared" si="86"/>
        <v>1.3991</v>
      </c>
      <c r="J133" s="8">
        <f t="shared" si="87"/>
        <v>4.1303710166173246</v>
      </c>
      <c r="K133" s="8">
        <f t="shared" si="88"/>
        <v>4.6176730230698029</v>
      </c>
      <c r="L133" s="8">
        <f t="shared" si="89"/>
        <v>4.9026724236259716</v>
      </c>
      <c r="M133" s="8">
        <f t="shared" si="90"/>
        <v>5.1150109456501927</v>
      </c>
      <c r="N133" s="8">
        <f t="shared" si="91"/>
        <v>5.5121222162842125</v>
      </c>
      <c r="O133" s="8">
        <f t="shared" si="92"/>
        <v>5.7863471879565411</v>
      </c>
      <c r="P133" s="11">
        <f t="shared" si="93"/>
        <v>0.28138933176575909</v>
      </c>
      <c r="Q133" s="11">
        <f t="shared" si="94"/>
        <v>2.0543296700725198</v>
      </c>
      <c r="R133" s="11">
        <f t="shared" si="95"/>
        <v>0.38900000000000001</v>
      </c>
      <c r="S133" s="12">
        <f t="shared" si="96"/>
        <v>-62</v>
      </c>
      <c r="T133" s="12">
        <f t="shared" si="85"/>
        <v>248</v>
      </c>
      <c r="U133" s="12">
        <f t="shared" si="97"/>
        <v>241</v>
      </c>
      <c r="V133" s="13">
        <f t="shared" si="98"/>
        <v>783</v>
      </c>
      <c r="W133" s="15">
        <f t="shared" si="99"/>
        <v>1.603</v>
      </c>
      <c r="X133" s="35"/>
      <c r="Y133" s="18">
        <f t="shared" si="100"/>
        <v>532.4</v>
      </c>
      <c r="Z133" s="18">
        <f t="shared" si="101"/>
        <v>389.3</v>
      </c>
      <c r="AA133" s="18">
        <f t="shared" si="102"/>
        <v>236.9</v>
      </c>
      <c r="AC133" s="23">
        <f t="shared" si="103"/>
        <v>1399.0999999999997</v>
      </c>
      <c r="AD133" s="23">
        <f t="shared" si="104"/>
        <v>1137.0003611846855</v>
      </c>
      <c r="AE133" s="23">
        <f t="shared" si="105"/>
        <v>921.26865671641781</v>
      </c>
      <c r="AF133" s="23">
        <f t="shared" si="106"/>
        <v>645.63913244116281</v>
      </c>
      <c r="AG133" s="23">
        <f t="shared" si="107"/>
        <v>455.04119687771026</v>
      </c>
      <c r="AH133" s="23">
        <f t="shared" si="108"/>
        <v>246.84191954834154</v>
      </c>
      <c r="AI133" s="23">
        <f t="shared" si="109"/>
        <v>150.46243188987665</v>
      </c>
    </row>
    <row r="134" spans="1:36">
      <c r="A134" s="29">
        <v>1377</v>
      </c>
      <c r="B134" s="30">
        <v>1367.7</v>
      </c>
      <c r="C134" s="30">
        <v>1124</v>
      </c>
      <c r="D134" s="30">
        <v>928.7</v>
      </c>
      <c r="E134" s="30">
        <v>617.5</v>
      </c>
      <c r="F134" s="30">
        <v>465.6</v>
      </c>
      <c r="G134" s="30">
        <v>212.1</v>
      </c>
      <c r="H134" s="31">
        <v>138.5</v>
      </c>
      <c r="I134" s="9">
        <f t="shared" si="86"/>
        <v>1.3677000000000001</v>
      </c>
      <c r="J134" s="8">
        <f t="shared" si="87"/>
        <v>4.1653929907827072</v>
      </c>
      <c r="K134" s="8">
        <f t="shared" si="88"/>
        <v>4.5038928475251128</v>
      </c>
      <c r="L134" s="8">
        <f t="shared" si="89"/>
        <v>4.9138438707140253</v>
      </c>
      <c r="M134" s="8">
        <f t="shared" si="90"/>
        <v>5.1165454840093725</v>
      </c>
      <c r="N134" s="8">
        <f t="shared" si="91"/>
        <v>5.5655706374866227</v>
      </c>
      <c r="O134" s="8">
        <f t="shared" si="92"/>
        <v>5.7774765510148978</v>
      </c>
      <c r="P134" s="11">
        <f t="shared" si="93"/>
        <v>0.20404969290379679</v>
      </c>
      <c r="Q134" s="11">
        <f t="shared" si="94"/>
        <v>2.1045641550804821</v>
      </c>
      <c r="R134" s="11">
        <f t="shared" si="95"/>
        <v>0.38700000000000001</v>
      </c>
      <c r="S134" s="12">
        <f t="shared" si="96"/>
        <v>-64</v>
      </c>
      <c r="T134" s="12">
        <f t="shared" si="85"/>
        <v>256</v>
      </c>
      <c r="U134" s="12">
        <f t="shared" si="97"/>
        <v>241</v>
      </c>
      <c r="V134" s="13">
        <f t="shared" si="98"/>
        <v>767</v>
      </c>
      <c r="W134" s="15">
        <f t="shared" si="99"/>
        <v>1.607</v>
      </c>
      <c r="X134" s="35"/>
      <c r="Y134" s="18">
        <f t="shared" si="100"/>
        <v>439</v>
      </c>
      <c r="Z134" s="18">
        <f t="shared" si="101"/>
        <v>463.1</v>
      </c>
      <c r="AA134" s="18">
        <f t="shared" si="102"/>
        <v>253.5</v>
      </c>
      <c r="AC134" s="23">
        <f t="shared" si="103"/>
        <v>1367.7000000000003</v>
      </c>
      <c r="AD134" s="23">
        <f t="shared" si="104"/>
        <v>1112.5542299349243</v>
      </c>
      <c r="AE134" s="23">
        <f t="shared" si="105"/>
        <v>902.17678100263868</v>
      </c>
      <c r="AF134" s="23">
        <f t="shared" si="106"/>
        <v>632.90143452105519</v>
      </c>
      <c r="AG134" s="23">
        <f t="shared" si="107"/>
        <v>446.37728459530035</v>
      </c>
      <c r="AH134" s="23">
        <f t="shared" si="108"/>
        <v>242.32813607370662</v>
      </c>
      <c r="AI134" s="23">
        <f t="shared" si="109"/>
        <v>147.76361279170271</v>
      </c>
    </row>
    <row r="135" spans="1:36">
      <c r="A135" s="29">
        <v>1374</v>
      </c>
      <c r="B135" s="30">
        <v>1383.2</v>
      </c>
      <c r="C135" s="30">
        <v>1112.3</v>
      </c>
      <c r="D135" s="30">
        <v>860.5</v>
      </c>
      <c r="E135" s="30">
        <v>624.6</v>
      </c>
      <c r="F135" s="30">
        <v>488.5</v>
      </c>
      <c r="G135" s="30">
        <v>203.1</v>
      </c>
      <c r="H135" s="31">
        <v>142.80000000000001</v>
      </c>
      <c r="I135" s="9">
        <f t="shared" si="86"/>
        <v>1.3832</v>
      </c>
      <c r="J135" s="8">
        <f t="shared" si="87"/>
        <v>4.2158908406425573</v>
      </c>
      <c r="K135" s="8">
        <f t="shared" si="88"/>
        <v>4.6128053982651966</v>
      </c>
      <c r="L135" s="8">
        <f t="shared" si="89"/>
        <v>4.9137146313036171</v>
      </c>
      <c r="M135" s="8">
        <f t="shared" si="90"/>
        <v>5.0921166421195334</v>
      </c>
      <c r="N135" s="8">
        <f t="shared" si="91"/>
        <v>5.5935126597900249</v>
      </c>
      <c r="O135" s="8">
        <f t="shared" si="92"/>
        <v>5.7681373229561581</v>
      </c>
      <c r="P135" s="11">
        <f t="shared" si="93"/>
        <v>0.41164198289528287</v>
      </c>
      <c r="Q135" s="11">
        <f t="shared" si="94"/>
        <v>2.0014272039108212</v>
      </c>
      <c r="R135" s="11">
        <f t="shared" si="95"/>
        <v>0.41699999999999998</v>
      </c>
      <c r="S135" s="12">
        <f t="shared" si="96"/>
        <v>-59</v>
      </c>
      <c r="T135" s="12">
        <f t="shared" si="85"/>
        <v>236</v>
      </c>
      <c r="U135" s="12">
        <f t="shared" si="97"/>
        <v>232</v>
      </c>
      <c r="V135" s="13">
        <f t="shared" si="98"/>
        <v>752</v>
      </c>
      <c r="W135" s="15">
        <f t="shared" si="99"/>
        <v>1.5489999999999999</v>
      </c>
      <c r="X135" s="35"/>
      <c r="Y135" s="18">
        <f t="shared" si="100"/>
        <v>522.70000000000005</v>
      </c>
      <c r="Z135" s="18">
        <f t="shared" si="101"/>
        <v>372</v>
      </c>
      <c r="AA135" s="18">
        <f t="shared" si="102"/>
        <v>285.39999999999998</v>
      </c>
      <c r="AC135" s="23">
        <f t="shared" si="103"/>
        <v>1383.2000000000003</v>
      </c>
      <c r="AD135" s="23">
        <f t="shared" si="104"/>
        <v>1109.1233071988597</v>
      </c>
      <c r="AE135" s="23">
        <f t="shared" si="105"/>
        <v>888.94601542416467</v>
      </c>
      <c r="AF135" s="23">
        <f t="shared" si="106"/>
        <v>614.48245224344748</v>
      </c>
      <c r="AG135" s="23">
        <f t="shared" si="107"/>
        <v>429.03225806451621</v>
      </c>
      <c r="AH135" s="23">
        <f t="shared" si="108"/>
        <v>230.37974683544309</v>
      </c>
      <c r="AI135" s="23">
        <f t="shared" si="109"/>
        <v>139.77364591754247</v>
      </c>
    </row>
    <row r="136" spans="1:36" ht="13.5" thickBot="1">
      <c r="A136" s="32">
        <v>1372</v>
      </c>
      <c r="B136" s="33">
        <v>1364.8</v>
      </c>
      <c r="C136" s="33">
        <v>1138.9000000000001</v>
      </c>
      <c r="D136" s="33">
        <v>885.1</v>
      </c>
      <c r="E136" s="33">
        <v>637</v>
      </c>
      <c r="F136" s="33">
        <v>499.8</v>
      </c>
      <c r="G136" s="33">
        <v>224.9</v>
      </c>
      <c r="H136" s="34">
        <v>145.19999999999999</v>
      </c>
      <c r="I136" s="9">
        <f t="shared" si="86"/>
        <v>1.3648</v>
      </c>
      <c r="J136" s="8">
        <f t="shared" si="87"/>
        <v>4.1267344108002719</v>
      </c>
      <c r="K136" s="8">
        <f t="shared" si="88"/>
        <v>4.5632811505485495</v>
      </c>
      <c r="L136" s="8">
        <f t="shared" si="89"/>
        <v>4.887176391745891</v>
      </c>
      <c r="M136" s="8">
        <f t="shared" si="90"/>
        <v>5.0675236285054082</v>
      </c>
      <c r="N136" s="8">
        <f t="shared" si="91"/>
        <v>5.5341810710537054</v>
      </c>
      <c r="O136" s="8">
        <f t="shared" si="92"/>
        <v>5.7535545721602928</v>
      </c>
      <c r="P136" s="11">
        <f t="shared" si="93"/>
        <v>0.24969101591791615</v>
      </c>
      <c r="Q136" s="11">
        <f t="shared" si="94"/>
        <v>2.065391872836027</v>
      </c>
      <c r="R136" s="11">
        <f t="shared" si="95"/>
        <v>0.372</v>
      </c>
      <c r="S136" s="12">
        <f t="shared" si="96"/>
        <v>-66</v>
      </c>
      <c r="T136" s="12">
        <f t="shared" si="85"/>
        <v>264</v>
      </c>
      <c r="U136" s="12">
        <f t="shared" si="97"/>
        <v>246</v>
      </c>
      <c r="V136" s="13">
        <f t="shared" si="98"/>
        <v>778</v>
      </c>
      <c r="W136" s="15">
        <f t="shared" si="99"/>
        <v>1.64</v>
      </c>
      <c r="X136" s="35"/>
      <c r="Y136" s="18">
        <f t="shared" si="100"/>
        <v>479.7</v>
      </c>
      <c r="Z136" s="18">
        <f t="shared" si="101"/>
        <v>385.3</v>
      </c>
      <c r="AA136" s="18">
        <f t="shared" si="102"/>
        <v>274.89999999999998</v>
      </c>
      <c r="AC136" s="23">
        <f t="shared" si="103"/>
        <v>1364.7999999999997</v>
      </c>
      <c r="AD136" s="23">
        <f t="shared" si="104"/>
        <v>1118.2811361981062</v>
      </c>
      <c r="AE136" s="23">
        <f t="shared" si="105"/>
        <v>912.29946524064155</v>
      </c>
      <c r="AF136" s="23">
        <f t="shared" si="106"/>
        <v>644.9905482041587</v>
      </c>
      <c r="AG136" s="23">
        <f t="shared" si="107"/>
        <v>457.37265415549592</v>
      </c>
      <c r="AH136" s="23">
        <f t="shared" si="108"/>
        <v>249.78038067349922</v>
      </c>
      <c r="AI136" s="23">
        <f t="shared" si="109"/>
        <v>152.73052820053712</v>
      </c>
    </row>
    <row r="137" spans="1:36">
      <c r="A137" s="24">
        <f>AVERAGE(A125:A128)</f>
        <v>375.25</v>
      </c>
      <c r="B137" s="24">
        <f>AVERAGE(B125:B128)</f>
        <v>568.1</v>
      </c>
      <c r="C137" s="24">
        <f t="shared" ref="C137:AA137" si="122">AVERAGE(C125:C128)</f>
        <v>423.7</v>
      </c>
      <c r="D137" s="24">
        <f t="shared" si="122"/>
        <v>324.05</v>
      </c>
      <c r="E137" s="24">
        <f t="shared" si="122"/>
        <v>203</v>
      </c>
      <c r="F137" s="24">
        <f t="shared" si="122"/>
        <v>137.6</v>
      </c>
      <c r="G137" s="24">
        <f t="shared" si="122"/>
        <v>67.150000000000006</v>
      </c>
      <c r="H137" s="24">
        <f t="shared" si="122"/>
        <v>36.625</v>
      </c>
      <c r="I137" s="24">
        <f t="shared" si="122"/>
        <v>0.56810000000000005</v>
      </c>
      <c r="J137" s="24">
        <f t="shared" si="122"/>
        <v>4.3566176000179047</v>
      </c>
      <c r="K137" s="24">
        <f t="shared" si="122"/>
        <v>4.7008600668704785</v>
      </c>
      <c r="L137" s="24">
        <f t="shared" si="122"/>
        <v>5.0787137531203062</v>
      </c>
      <c r="M137" s="24">
        <f t="shared" si="122"/>
        <v>5.3194881746921041</v>
      </c>
      <c r="N137" s="24">
        <f t="shared" si="122"/>
        <v>5.6977511382912489</v>
      </c>
      <c r="O137" s="24">
        <f t="shared" si="122"/>
        <v>5.9871351795732179</v>
      </c>
      <c r="P137" s="24">
        <f t="shared" si="122"/>
        <v>0.34668509280440091</v>
      </c>
      <c r="Q137" s="24">
        <f t="shared" si="122"/>
        <v>2.0885775115763163</v>
      </c>
      <c r="R137" s="24">
        <f t="shared" si="122"/>
        <v>0.58600000000000008</v>
      </c>
      <c r="S137" s="24">
        <f t="shared" si="122"/>
        <v>-105.5</v>
      </c>
      <c r="T137" s="24">
        <f t="shared" si="122"/>
        <v>422</v>
      </c>
      <c r="U137" s="24">
        <f t="shared" si="122"/>
        <v>197</v>
      </c>
      <c r="V137" s="24">
        <f t="shared" si="122"/>
        <v>266.25</v>
      </c>
      <c r="W137" s="24">
        <f t="shared" si="122"/>
        <v>1.3122500000000001</v>
      </c>
      <c r="X137" s="36">
        <f>SLOPE(W137:W139,A137:A139)</f>
        <v>2.6810489512688962E-4</v>
      </c>
      <c r="Y137" s="24">
        <f t="shared" si="122"/>
        <v>244.04999999999998</v>
      </c>
      <c r="Z137" s="24">
        <f t="shared" si="122"/>
        <v>186.45</v>
      </c>
      <c r="AA137" s="24">
        <f t="shared" si="122"/>
        <v>70.449999999999989</v>
      </c>
      <c r="AB137"/>
      <c r="AC137" s="24">
        <f t="shared" ref="AC137:AI137" si="123">AVERAGE(AC125:AC128)</f>
        <v>568.09999999999991</v>
      </c>
      <c r="AD137" s="24">
        <f t="shared" si="123"/>
        <v>420.45947374976856</v>
      </c>
      <c r="AE137" s="24">
        <f t="shared" si="123"/>
        <v>317.70651061656713</v>
      </c>
      <c r="AF137" s="24">
        <f t="shared" si="123"/>
        <v>205.19048800643804</v>
      </c>
      <c r="AG137" s="24">
        <f t="shared" si="123"/>
        <v>137.24204713442492</v>
      </c>
      <c r="AH137" s="24">
        <f t="shared" si="123"/>
        <v>70.543998067154888</v>
      </c>
      <c r="AI137" s="24">
        <f t="shared" si="123"/>
        <v>41.98507355285755</v>
      </c>
    </row>
    <row r="138" spans="1:36">
      <c r="A138" s="24">
        <f>AVERAGE(A129:A132)</f>
        <v>710.75</v>
      </c>
      <c r="B138" s="24">
        <f>AVERAGE(B129:B132)</f>
        <v>875.67499999999995</v>
      </c>
      <c r="C138" s="24">
        <f t="shared" ref="C138:AA138" si="124">AVERAGE(C129:C132)</f>
        <v>697.55000000000007</v>
      </c>
      <c r="D138" s="24">
        <f t="shared" si="124"/>
        <v>557</v>
      </c>
      <c r="E138" s="24">
        <f t="shared" si="124"/>
        <v>372.72500000000002</v>
      </c>
      <c r="F138" s="24">
        <f t="shared" si="124"/>
        <v>260.25</v>
      </c>
      <c r="G138" s="24">
        <f t="shared" si="124"/>
        <v>133.02500000000001</v>
      </c>
      <c r="H138" s="24">
        <f t="shared" si="124"/>
        <v>74.674999999999997</v>
      </c>
      <c r="I138" s="24">
        <f t="shared" si="124"/>
        <v>0.87567499999999998</v>
      </c>
      <c r="J138" s="24">
        <f t="shared" si="124"/>
        <v>4.2357423258091247</v>
      </c>
      <c r="K138" s="24">
        <f t="shared" si="124"/>
        <v>4.5863056478500557</v>
      </c>
      <c r="L138" s="24">
        <f t="shared" si="124"/>
        <v>4.9591001793817382</v>
      </c>
      <c r="M138" s="24">
        <f t="shared" si="124"/>
        <v>5.202836844125807</v>
      </c>
      <c r="N138" s="24">
        <f t="shared" si="124"/>
        <v>5.5759860506893251</v>
      </c>
      <c r="O138" s="24">
        <f t="shared" si="124"/>
        <v>5.8596376885993449</v>
      </c>
      <c r="P138" s="24">
        <f t="shared" si="124"/>
        <v>0.27773861323761256</v>
      </c>
      <c r="Q138" s="24">
        <f t="shared" si="124"/>
        <v>2.0793932474747558</v>
      </c>
      <c r="R138" s="24">
        <f t="shared" si="124"/>
        <v>0.44350000000000001</v>
      </c>
      <c r="S138" s="24">
        <f t="shared" si="124"/>
        <v>-87</v>
      </c>
      <c r="T138" s="24">
        <f t="shared" si="124"/>
        <v>348</v>
      </c>
      <c r="U138" s="24">
        <f t="shared" si="124"/>
        <v>225.25</v>
      </c>
      <c r="V138" s="24">
        <f t="shared" si="124"/>
        <v>463.5</v>
      </c>
      <c r="W138" s="24">
        <f t="shared" si="124"/>
        <v>1.5022500000000001</v>
      </c>
      <c r="X138" s="24"/>
      <c r="Y138" s="24">
        <f t="shared" si="124"/>
        <v>318.67500000000001</v>
      </c>
      <c r="Z138" s="24">
        <f t="shared" si="124"/>
        <v>296.75</v>
      </c>
      <c r="AA138" s="24">
        <f t="shared" si="124"/>
        <v>127.22500000000001</v>
      </c>
      <c r="AB138" s="24">
        <f>AC138/AC137</f>
        <v>1.5414099630346774</v>
      </c>
      <c r="AC138" s="24">
        <f t="shared" ref="AC138:AI138" si="125">AVERAGE(AC129:AC132)</f>
        <v>875.67500000000007</v>
      </c>
      <c r="AD138" s="24">
        <f t="shared" si="125"/>
        <v>693.34557564954775</v>
      </c>
      <c r="AE138" s="24">
        <f t="shared" si="125"/>
        <v>550.20036444327343</v>
      </c>
      <c r="AF138" s="24">
        <f t="shared" si="125"/>
        <v>375.72031375674328</v>
      </c>
      <c r="AG138" s="24">
        <f t="shared" si="125"/>
        <v>260.21426096778032</v>
      </c>
      <c r="AH138" s="24">
        <f t="shared" si="125"/>
        <v>138.53940184397339</v>
      </c>
      <c r="AI138" s="24">
        <f t="shared" si="125"/>
        <v>83.729517603768031</v>
      </c>
      <c r="AJ138" s="1">
        <f>AI138/AI137</f>
        <v>1.9942686892844399</v>
      </c>
    </row>
    <row r="139" spans="1:36">
      <c r="A139" s="24">
        <f>AVERAGE(A133:A136)</f>
        <v>1374</v>
      </c>
      <c r="B139" s="24">
        <f>AVERAGE(B133:B136)</f>
        <v>1378.7</v>
      </c>
      <c r="C139" s="24">
        <f t="shared" ref="C139:AA139" si="126">AVERAGE(C133:C136)</f>
        <v>1135.2750000000001</v>
      </c>
      <c r="D139" s="24">
        <f t="shared" si="126"/>
        <v>885.25</v>
      </c>
      <c r="E139" s="24">
        <f t="shared" si="126"/>
        <v>629.92499999999995</v>
      </c>
      <c r="F139" s="24">
        <f t="shared" si="126"/>
        <v>482.82499999999999</v>
      </c>
      <c r="G139" s="24">
        <f t="shared" si="126"/>
        <v>220.15</v>
      </c>
      <c r="H139" s="24">
        <f t="shared" si="126"/>
        <v>141.4</v>
      </c>
      <c r="I139" s="24">
        <f t="shared" si="126"/>
        <v>1.3787</v>
      </c>
      <c r="J139" s="24">
        <f t="shared" si="126"/>
        <v>4.159597314710715</v>
      </c>
      <c r="K139" s="24">
        <f t="shared" si="126"/>
        <v>4.5744131048521659</v>
      </c>
      <c r="L139" s="24">
        <f t="shared" si="126"/>
        <v>4.9043518293473767</v>
      </c>
      <c r="M139" s="24">
        <f t="shared" si="126"/>
        <v>5.0977991750711267</v>
      </c>
      <c r="N139" s="24">
        <f t="shared" si="126"/>
        <v>5.5513466461536414</v>
      </c>
      <c r="O139" s="24">
        <f t="shared" si="126"/>
        <v>5.7713789085219727</v>
      </c>
      <c r="P139" s="24">
        <f t="shared" si="126"/>
        <v>0.28669300587068874</v>
      </c>
      <c r="Q139" s="24">
        <f t="shared" si="126"/>
        <v>2.0564282254749626</v>
      </c>
      <c r="R139" s="24">
        <f t="shared" si="126"/>
        <v>0.39124999999999999</v>
      </c>
      <c r="S139" s="24">
        <f t="shared" si="126"/>
        <v>-62.75</v>
      </c>
      <c r="T139" s="24">
        <f t="shared" si="126"/>
        <v>251</v>
      </c>
      <c r="U139" s="24">
        <f t="shared" si="126"/>
        <v>240</v>
      </c>
      <c r="V139" s="24">
        <f t="shared" si="126"/>
        <v>770</v>
      </c>
      <c r="W139" s="24">
        <f t="shared" si="126"/>
        <v>1.59975</v>
      </c>
      <c r="X139" s="24"/>
      <c r="Y139" s="24">
        <f t="shared" si="126"/>
        <v>493.45</v>
      </c>
      <c r="Z139" s="24">
        <f t="shared" si="126"/>
        <v>402.42500000000001</v>
      </c>
      <c r="AA139" s="24">
        <f t="shared" si="126"/>
        <v>262.67499999999995</v>
      </c>
      <c r="AB139" s="24">
        <f>AC139/AC137</f>
        <v>2.4268614680513996</v>
      </c>
      <c r="AC139" s="24">
        <f t="shared" ref="AC139:AI139" si="127">AVERAGE(AC133:AC136)</f>
        <v>1378.6999999999998</v>
      </c>
      <c r="AD139" s="24">
        <f t="shared" si="127"/>
        <v>1119.239758629144</v>
      </c>
      <c r="AE139" s="24">
        <f t="shared" si="127"/>
        <v>906.17272959596562</v>
      </c>
      <c r="AF139" s="24">
        <f t="shared" si="127"/>
        <v>634.50339185245605</v>
      </c>
      <c r="AG139" s="24">
        <f t="shared" si="127"/>
        <v>446.95584842325565</v>
      </c>
      <c r="AH139" s="24">
        <f t="shared" si="127"/>
        <v>242.33254578274762</v>
      </c>
      <c r="AI139" s="24">
        <f t="shared" si="127"/>
        <v>147.68255469991473</v>
      </c>
      <c r="AJ139" s="1">
        <f>AI139/AI137</f>
        <v>3.5175013928220995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9"/>
  <sheetViews>
    <sheetView zoomScaleNormal="55" workbookViewId="0">
      <pane ySplit="2" topLeftCell="A12" activePane="bottomLeft" state="frozen"/>
      <selection pane="bottomLeft" activeCell="I20" sqref="I20:I31"/>
    </sheetView>
  </sheetViews>
  <sheetFormatPr defaultRowHeight="12.75"/>
  <cols>
    <col min="1" max="8" width="9.140625" style="1"/>
    <col min="9" max="9" width="6.7109375" style="2" customWidth="1"/>
    <col min="10" max="17" width="6.7109375" style="1" customWidth="1"/>
    <col min="18" max="18" width="13.42578125" style="1" customWidth="1"/>
    <col min="19" max="19" width="14.42578125" style="1" customWidth="1"/>
    <col min="20" max="21" width="7.7109375" style="1" customWidth="1"/>
    <col min="22" max="22" width="8.85546875" style="1" customWidth="1"/>
    <col min="23" max="23" width="6.7109375" style="1" customWidth="1"/>
    <col min="24" max="24" width="18.28515625" style="1" customWidth="1"/>
    <col min="25" max="25" width="7.5703125" style="1" customWidth="1"/>
    <col min="26" max="27" width="7.42578125" style="1" customWidth="1"/>
    <col min="28" max="16384" width="9.140625" style="1"/>
  </cols>
  <sheetData>
    <row r="1" spans="1:36" ht="18" customHeight="1">
      <c r="B1" s="3">
        <v>0</v>
      </c>
      <c r="C1" s="4">
        <v>200</v>
      </c>
      <c r="D1" s="4">
        <v>300</v>
      </c>
      <c r="E1" s="4">
        <v>450</v>
      </c>
      <c r="F1" s="4">
        <v>600</v>
      </c>
      <c r="G1" s="4">
        <v>900</v>
      </c>
      <c r="H1" s="4">
        <v>1200</v>
      </c>
      <c r="I1" s="14">
        <v>0</v>
      </c>
      <c r="J1" s="7">
        <f t="shared" ref="J1:O1" si="0">LOG10(C1)</f>
        <v>2.3010299956639813</v>
      </c>
      <c r="K1" s="7">
        <f t="shared" si="0"/>
        <v>2.4771212547196626</v>
      </c>
      <c r="L1" s="7">
        <f t="shared" si="0"/>
        <v>2.6532125137753435</v>
      </c>
      <c r="M1" s="7">
        <f t="shared" si="0"/>
        <v>2.7781512503836434</v>
      </c>
      <c r="N1" s="7">
        <f t="shared" si="0"/>
        <v>2.9542425094393248</v>
      </c>
      <c r="O1" s="7">
        <f t="shared" si="0"/>
        <v>3.0791812460476247</v>
      </c>
      <c r="P1" s="4"/>
      <c r="Q1" s="4"/>
      <c r="R1" s="4"/>
      <c r="S1" s="4"/>
    </row>
    <row r="2" spans="1:36" ht="17.25" customHeight="1">
      <c r="B2" s="17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7" t="s">
        <v>0</v>
      </c>
      <c r="J2" s="16" t="s">
        <v>1</v>
      </c>
      <c r="K2" s="16" t="s">
        <v>2</v>
      </c>
      <c r="L2" s="16" t="s">
        <v>3</v>
      </c>
      <c r="M2" s="16" t="s">
        <v>4</v>
      </c>
      <c r="N2" s="16" t="s">
        <v>5</v>
      </c>
      <c r="O2" s="16" t="s">
        <v>6</v>
      </c>
      <c r="P2" s="10" t="s">
        <v>9</v>
      </c>
      <c r="Q2" s="10" t="s">
        <v>8</v>
      </c>
      <c r="R2" s="10" t="s">
        <v>10</v>
      </c>
      <c r="S2" s="10" t="s">
        <v>15</v>
      </c>
      <c r="T2" s="10" t="s">
        <v>7</v>
      </c>
      <c r="U2" s="10" t="s">
        <v>12</v>
      </c>
      <c r="V2" s="10" t="s">
        <v>11</v>
      </c>
      <c r="W2" s="10" t="s">
        <v>13</v>
      </c>
      <c r="X2" s="10"/>
      <c r="Y2" s="10" t="s">
        <v>14</v>
      </c>
      <c r="Z2" s="10" t="s">
        <v>16</v>
      </c>
      <c r="AA2" s="10" t="s">
        <v>17</v>
      </c>
      <c r="AC2" s="17" t="s">
        <v>0</v>
      </c>
      <c r="AD2" s="16" t="s">
        <v>1</v>
      </c>
      <c r="AE2" s="16" t="s">
        <v>2</v>
      </c>
      <c r="AF2" s="16" t="s">
        <v>3</v>
      </c>
      <c r="AG2" s="16" t="s">
        <v>4</v>
      </c>
      <c r="AH2" s="16" t="s">
        <v>5</v>
      </c>
      <c r="AI2" s="16" t="s">
        <v>6</v>
      </c>
    </row>
    <row r="3" spans="1:36" ht="17.25" customHeight="1">
      <c r="B3" s="3">
        <v>0</v>
      </c>
      <c r="C3" s="4">
        <v>200</v>
      </c>
      <c r="D3" s="4">
        <v>300</v>
      </c>
      <c r="E3" s="4">
        <v>450</v>
      </c>
      <c r="F3" s="4">
        <v>600</v>
      </c>
      <c r="G3" s="4">
        <v>900</v>
      </c>
      <c r="H3" s="4">
        <v>1200</v>
      </c>
      <c r="I3" s="20"/>
      <c r="J3" s="21"/>
      <c r="K3" s="21"/>
      <c r="L3" s="21"/>
      <c r="M3" s="21"/>
      <c r="N3" s="21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C3" s="19">
        <v>0</v>
      </c>
      <c r="AD3" s="19">
        <v>200</v>
      </c>
      <c r="AE3" s="19">
        <v>300</v>
      </c>
      <c r="AF3" s="19">
        <v>450</v>
      </c>
      <c r="AG3" s="19">
        <v>600</v>
      </c>
      <c r="AH3" s="19">
        <v>900</v>
      </c>
      <c r="AI3" s="19">
        <v>1200</v>
      </c>
    </row>
    <row r="4" spans="1:36" ht="12.75" customHeight="1">
      <c r="A4" s="25">
        <v>378</v>
      </c>
      <c r="B4" s="6">
        <v>213.8</v>
      </c>
      <c r="C4" s="5">
        <v>186.4</v>
      </c>
      <c r="D4" s="5">
        <v>167.8</v>
      </c>
      <c r="E4" s="5">
        <v>136.19999999999999</v>
      </c>
      <c r="F4" s="5">
        <v>115.7</v>
      </c>
      <c r="G4" s="5">
        <v>72.7</v>
      </c>
      <c r="H4" s="5">
        <v>45.2</v>
      </c>
      <c r="I4" s="9">
        <f t="shared" ref="I4:I15" si="1">B4/1000</f>
        <v>0.21380000000000002</v>
      </c>
      <c r="J4" s="8">
        <f t="shared" ref="J4:J15" si="2">LOG10((((3*150*150)*B4)/C4)-((3*150*150)))</f>
        <v>3.9966084276334506</v>
      </c>
      <c r="K4" s="8">
        <f t="shared" ref="K4:K15" si="3">LOG10((((3*150*150)*B4)/D4)-((3*150*150)))</f>
        <v>4.2672696480199175</v>
      </c>
      <c r="L4" s="8">
        <f t="shared" ref="L4:L15" si="4">LOG10((((3*150*150)*B4)/E4)-((3*150*150)))</f>
        <v>4.584988386512447</v>
      </c>
      <c r="M4" s="8">
        <f t="shared" ref="M4:M15" si="5">LOG10((((3*150*150)*B4)/F4)-((3*150*150)))</f>
        <v>4.7576394212592241</v>
      </c>
      <c r="N4" s="8">
        <f t="shared" ref="N4:N15" si="6">LOG10((((3*150*150)*B4)/G4)-((3*150*150)))</f>
        <v>5.117296375726335</v>
      </c>
      <c r="O4" s="8">
        <f t="shared" ref="O4:O15" si="7">LOG10((((3*150*150)*B4)/H4)-((3*150*150)))</f>
        <v>5.4010229083083665</v>
      </c>
      <c r="P4" s="11">
        <f t="shared" ref="P4:P15" si="8">10^(INTERCEPT(J4:O4,$J$1:$O$1))</f>
        <v>0.71307303852645509</v>
      </c>
      <c r="Q4" s="11">
        <f t="shared" ref="Q4:Q15" si="9">LINEST(J4:O4,$J$1:$O$1)</f>
        <v>1.7857618921239324</v>
      </c>
      <c r="R4" s="11">
        <f t="shared" ref="R4:R15" si="10">ROUND(10^((SUM(J4:N4)-2*SUM($J$1:$N$1))/5),3)</f>
        <v>0.19</v>
      </c>
      <c r="S4" s="12">
        <f t="shared" ref="S4:S15" si="11">ROUND(-1.5*((150^2)/(R4*I4))/1000,0)</f>
        <v>-831</v>
      </c>
      <c r="T4" s="12">
        <f t="shared" ref="T4:T15" si="12">-4*S4</f>
        <v>3324</v>
      </c>
      <c r="U4" s="12">
        <f t="shared" ref="U4:U15" si="13">ROUND(150/(R4^0.5),0)</f>
        <v>344</v>
      </c>
      <c r="V4" s="13">
        <f t="shared" ref="V4:V15" si="14">ROUND(150*I4*ATAN((1800*SQRT(3*R4))/(3*150))*SQRT(3/(R4)),0)</f>
        <v>159</v>
      </c>
      <c r="W4" s="15">
        <f t="shared" ref="W4:W15" si="15">ROUND(1/SQRT(R4),3)</f>
        <v>2.294</v>
      </c>
      <c r="X4" s="36">
        <f>SLOPE(W4:W15,A4:A15)</f>
        <v>1.4753155516488331E-4</v>
      </c>
      <c r="Y4" s="18">
        <f t="shared" ref="Y4:Y15" si="16">ROUND(B4-D4,3)</f>
        <v>46</v>
      </c>
      <c r="Z4" s="18">
        <f t="shared" ref="Z4:Z15" si="17">ROUND(D4-F4,3)</f>
        <v>52.1</v>
      </c>
      <c r="AA4" s="18">
        <f t="shared" ref="AA4:AA15" si="18">ROUND(F4-G4,3)</f>
        <v>43</v>
      </c>
      <c r="AC4" s="23">
        <f t="shared" ref="AC4:AC15" si="19">((B4)*3*150^2)/(R4*$AC$3^2+3*150^2)</f>
        <v>213.80000000000004</v>
      </c>
      <c r="AD4" s="23">
        <f t="shared" ref="AD4:AD15" si="20">((B4)*3*150^2)/(R4*$AD$3^2+3*150^2)</f>
        <v>192.1637816245007</v>
      </c>
      <c r="AE4" s="23">
        <f t="shared" ref="AE4:AE15" si="21">((B4)*3*150^2)/(R4*$AE$3^2+3*150^2)</f>
        <v>170.58510638297875</v>
      </c>
      <c r="AF4" s="23">
        <f t="shared" ref="AF4:AF15" si="22">((B4)*3*150^2)/(R4*$AF$3^2+3*150^2)</f>
        <v>136.1783439490446</v>
      </c>
      <c r="AG4" s="23">
        <f t="shared" ref="AG4:AG15" si="23">((B4)*3*150^2)/(R4*$AG$3^2+3*150^2)</f>
        <v>106.19205298013246</v>
      </c>
      <c r="AH4" s="23">
        <f t="shared" ref="AH4:AH15" si="24">((B4)*3*150^2)/(R4*$AH$3^2+3*150^2)</f>
        <v>65.182926829268297</v>
      </c>
      <c r="AI4" s="23">
        <f t="shared" ref="AI4:AI15" si="25">((B4)*3*150^2)/(R4*$AI$3^2+3*150^2)</f>
        <v>42.30870712401056</v>
      </c>
      <c r="AJ4" s="18">
        <f t="shared" ref="AJ4:AJ15" si="26">ROUND((-0.07/(2*S4))*1000000,0)</f>
        <v>42</v>
      </c>
    </row>
    <row r="5" spans="1:36">
      <c r="A5" s="25">
        <v>380</v>
      </c>
      <c r="B5" s="6">
        <v>201.6</v>
      </c>
      <c r="C5" s="5">
        <v>175.2</v>
      </c>
      <c r="D5" s="5">
        <v>156.69999999999999</v>
      </c>
      <c r="E5" s="5">
        <v>127.5</v>
      </c>
      <c r="F5" s="5">
        <v>108.1</v>
      </c>
      <c r="G5" s="5">
        <v>68.099999999999994</v>
      </c>
      <c r="H5" s="5">
        <v>41.6</v>
      </c>
      <c r="I5" s="9">
        <f t="shared" si="1"/>
        <v>0.2016</v>
      </c>
      <c r="J5" s="8">
        <f t="shared" si="2"/>
        <v>4.0073735978687948</v>
      </c>
      <c r="K5" s="8">
        <f t="shared" si="3"/>
        <v>4.2864811173657582</v>
      </c>
      <c r="L5" s="8">
        <f t="shared" si="4"/>
        <v>4.5936117960403795</v>
      </c>
      <c r="M5" s="8">
        <f t="shared" si="5"/>
        <v>4.7662896897502325</v>
      </c>
      <c r="N5" s="8">
        <f t="shared" si="6"/>
        <v>5.1216379266188339</v>
      </c>
      <c r="O5" s="8">
        <f t="shared" si="7"/>
        <v>5.4143304248602071</v>
      </c>
      <c r="P5" s="11">
        <f t="shared" si="8"/>
        <v>0.75966552696007827</v>
      </c>
      <c r="Q5" s="11">
        <f t="shared" si="9"/>
        <v>1.7796034602086466</v>
      </c>
      <c r="R5" s="11">
        <f t="shared" si="10"/>
        <v>0.19500000000000001</v>
      </c>
      <c r="S5" s="12">
        <f t="shared" si="11"/>
        <v>-859</v>
      </c>
      <c r="T5" s="12">
        <f t="shared" si="12"/>
        <v>3436</v>
      </c>
      <c r="U5" s="12">
        <f t="shared" si="13"/>
        <v>340</v>
      </c>
      <c r="V5" s="13">
        <f t="shared" si="14"/>
        <v>149</v>
      </c>
      <c r="W5" s="15">
        <f t="shared" si="15"/>
        <v>2.2650000000000001</v>
      </c>
      <c r="X5" s="35"/>
      <c r="Y5" s="18">
        <f t="shared" si="16"/>
        <v>44.9</v>
      </c>
      <c r="Z5" s="18">
        <f t="shared" si="17"/>
        <v>48.6</v>
      </c>
      <c r="AA5" s="18">
        <f t="shared" si="18"/>
        <v>40</v>
      </c>
      <c r="AC5" s="23">
        <f t="shared" si="19"/>
        <v>201.59999999999997</v>
      </c>
      <c r="AD5" s="23">
        <f t="shared" si="20"/>
        <v>180.71713147410355</v>
      </c>
      <c r="AE5" s="23">
        <f t="shared" si="21"/>
        <v>159.99999999999997</v>
      </c>
      <c r="AF5" s="23">
        <f t="shared" si="22"/>
        <v>127.192429022082</v>
      </c>
      <c r="AG5" s="23">
        <f t="shared" si="23"/>
        <v>98.823529411764696</v>
      </c>
      <c r="AH5" s="23">
        <f t="shared" si="24"/>
        <v>60.359281437125738</v>
      </c>
      <c r="AI5" s="23">
        <f t="shared" si="25"/>
        <v>39.069767441860456</v>
      </c>
      <c r="AJ5" s="18">
        <f t="shared" si="26"/>
        <v>41</v>
      </c>
    </row>
    <row r="6" spans="1:36">
      <c r="A6" s="25">
        <v>383</v>
      </c>
      <c r="B6" s="6">
        <v>199.6</v>
      </c>
      <c r="C6" s="5">
        <v>173.1</v>
      </c>
      <c r="D6" s="5">
        <v>155</v>
      </c>
      <c r="E6" s="5">
        <v>125.7</v>
      </c>
      <c r="F6" s="5">
        <v>107.1</v>
      </c>
      <c r="G6" s="5">
        <v>67.099999999999994</v>
      </c>
      <c r="H6" s="5">
        <v>40.799999999999997</v>
      </c>
      <c r="I6" s="9">
        <f t="shared" si="1"/>
        <v>0.1996</v>
      </c>
      <c r="J6" s="8">
        <f t="shared" si="2"/>
        <v>4.0142525788924388</v>
      </c>
      <c r="K6" s="8">
        <f t="shared" si="3"/>
        <v>4.2883069333728754</v>
      </c>
      <c r="L6" s="8">
        <f t="shared" si="4"/>
        <v>4.5986129335398926</v>
      </c>
      <c r="M6" s="8">
        <f t="shared" si="5"/>
        <v>4.7656560347382015</v>
      </c>
      <c r="N6" s="8">
        <f t="shared" si="6"/>
        <v>5.1247971309348594</v>
      </c>
      <c r="O6" s="8">
        <f t="shared" si="7"/>
        <v>5.4194941078322225</v>
      </c>
      <c r="P6" s="11">
        <f t="shared" si="8"/>
        <v>0.77526859631086409</v>
      </c>
      <c r="Q6" s="11">
        <f t="shared" si="9"/>
        <v>1.7776590168549327</v>
      </c>
      <c r="R6" s="11">
        <f t="shared" si="10"/>
        <v>0.19600000000000001</v>
      </c>
      <c r="S6" s="12">
        <f t="shared" si="11"/>
        <v>-863</v>
      </c>
      <c r="T6" s="12">
        <f t="shared" si="12"/>
        <v>3452</v>
      </c>
      <c r="U6" s="12">
        <f t="shared" si="13"/>
        <v>339</v>
      </c>
      <c r="V6" s="13">
        <f t="shared" si="14"/>
        <v>147</v>
      </c>
      <c r="W6" s="15">
        <f t="shared" si="15"/>
        <v>2.2589999999999999</v>
      </c>
      <c r="X6" s="35"/>
      <c r="Y6" s="18">
        <f t="shared" si="16"/>
        <v>44.6</v>
      </c>
      <c r="Z6" s="18">
        <f t="shared" si="17"/>
        <v>47.9</v>
      </c>
      <c r="AA6" s="18">
        <f t="shared" si="18"/>
        <v>40</v>
      </c>
      <c r="AC6" s="23">
        <f t="shared" si="19"/>
        <v>199.59999999999997</v>
      </c>
      <c r="AD6" s="23">
        <f t="shared" si="20"/>
        <v>178.82930714096096</v>
      </c>
      <c r="AE6" s="23">
        <f t="shared" si="21"/>
        <v>158.24524312896403</v>
      </c>
      <c r="AF6" s="23">
        <f t="shared" si="22"/>
        <v>125.69269521410578</v>
      </c>
      <c r="AG6" s="23">
        <f t="shared" si="23"/>
        <v>97.588005215123843</v>
      </c>
      <c r="AH6" s="23">
        <f t="shared" si="24"/>
        <v>59.546539379474929</v>
      </c>
      <c r="AI6" s="23">
        <f t="shared" si="25"/>
        <v>38.5229027277406</v>
      </c>
      <c r="AJ6" s="18">
        <f t="shared" si="26"/>
        <v>41</v>
      </c>
    </row>
    <row r="7" spans="1:36">
      <c r="A7" s="25">
        <v>383</v>
      </c>
      <c r="B7" s="6">
        <v>197.5</v>
      </c>
      <c r="C7" s="5">
        <v>171.5</v>
      </c>
      <c r="D7" s="5">
        <v>153.69999999999999</v>
      </c>
      <c r="E7" s="5">
        <v>125</v>
      </c>
      <c r="F7" s="5">
        <v>106.7</v>
      </c>
      <c r="G7" s="5">
        <v>67</v>
      </c>
      <c r="H7" s="5">
        <v>40.799999999999997</v>
      </c>
      <c r="I7" s="9">
        <f t="shared" si="1"/>
        <v>0.19750000000000001</v>
      </c>
      <c r="J7" s="8">
        <f t="shared" si="2"/>
        <v>4.010012996423054</v>
      </c>
      <c r="K7" s="8">
        <f t="shared" si="3"/>
        <v>4.2841040158353794</v>
      </c>
      <c r="L7" s="8">
        <f t="shared" si="4"/>
        <v>4.5927317663939622</v>
      </c>
      <c r="M7" s="8">
        <f t="shared" si="5"/>
        <v>4.7592252019276398</v>
      </c>
      <c r="N7" s="8">
        <f t="shared" si="6"/>
        <v>5.118839481804498</v>
      </c>
      <c r="O7" s="8">
        <f t="shared" si="7"/>
        <v>5.4137126062097352</v>
      </c>
      <c r="P7" s="11">
        <f t="shared" si="8"/>
        <v>0.77780539811272742</v>
      </c>
      <c r="Q7" s="11">
        <f t="shared" si="9"/>
        <v>1.7751344605424608</v>
      </c>
      <c r="R7" s="11">
        <f t="shared" si="10"/>
        <v>0.19400000000000001</v>
      </c>
      <c r="S7" s="12">
        <f t="shared" si="11"/>
        <v>-881</v>
      </c>
      <c r="T7" s="12">
        <f t="shared" si="12"/>
        <v>3524</v>
      </c>
      <c r="U7" s="12">
        <f t="shared" si="13"/>
        <v>341</v>
      </c>
      <c r="V7" s="13">
        <f t="shared" si="14"/>
        <v>146</v>
      </c>
      <c r="W7" s="15">
        <f t="shared" si="15"/>
        <v>2.27</v>
      </c>
      <c r="X7" s="35"/>
      <c r="Y7" s="18">
        <f t="shared" si="16"/>
        <v>43.8</v>
      </c>
      <c r="Z7" s="18">
        <f t="shared" si="17"/>
        <v>47</v>
      </c>
      <c r="AA7" s="18">
        <f t="shared" si="18"/>
        <v>39.700000000000003</v>
      </c>
      <c r="AC7" s="23">
        <f t="shared" si="19"/>
        <v>197.5</v>
      </c>
      <c r="AD7" s="23">
        <f t="shared" si="20"/>
        <v>177.13592878022854</v>
      </c>
      <c r="AE7" s="23">
        <f t="shared" si="21"/>
        <v>156.91207627118644</v>
      </c>
      <c r="AF7" s="23">
        <f t="shared" si="22"/>
        <v>124.84197218710493</v>
      </c>
      <c r="AG7" s="23">
        <f t="shared" si="23"/>
        <v>97.067496723460025</v>
      </c>
      <c r="AH7" s="23">
        <f t="shared" si="24"/>
        <v>59.34495192307692</v>
      </c>
      <c r="AI7" s="23">
        <f t="shared" si="25"/>
        <v>38.434094447327453</v>
      </c>
      <c r="AJ7" s="18">
        <f t="shared" si="26"/>
        <v>40</v>
      </c>
    </row>
    <row r="8" spans="1:36">
      <c r="A8" s="25">
        <v>724</v>
      </c>
      <c r="B8" s="6">
        <v>363</v>
      </c>
      <c r="C8" s="5">
        <v>319.2</v>
      </c>
      <c r="D8" s="5">
        <v>287</v>
      </c>
      <c r="E8" s="5">
        <v>240.5</v>
      </c>
      <c r="F8" s="5">
        <v>200.4</v>
      </c>
      <c r="G8" s="5">
        <v>134.5</v>
      </c>
      <c r="H8" s="5">
        <v>87.7</v>
      </c>
      <c r="I8" s="9">
        <f t="shared" si="1"/>
        <v>0.36299999999999999</v>
      </c>
      <c r="J8" s="8">
        <f t="shared" si="2"/>
        <v>3.9667150006564325</v>
      </c>
      <c r="K8" s="8">
        <f t="shared" si="3"/>
        <v>4.2522354683778243</v>
      </c>
      <c r="L8" s="8">
        <f t="shared" si="4"/>
        <v>4.536324780821726</v>
      </c>
      <c r="M8" s="8">
        <f t="shared" si="5"/>
        <v>4.7385265968938661</v>
      </c>
      <c r="N8" s="8">
        <f t="shared" si="6"/>
        <v>5.0594676928984672</v>
      </c>
      <c r="O8" s="8">
        <f t="shared" si="7"/>
        <v>5.3261103908583145</v>
      </c>
      <c r="P8" s="11">
        <f t="shared" si="8"/>
        <v>0.94021168720078974</v>
      </c>
      <c r="Q8" s="11">
        <f t="shared" si="9"/>
        <v>1.7262902024985147</v>
      </c>
      <c r="R8" s="11">
        <f t="shared" si="10"/>
        <v>0.17599999999999999</v>
      </c>
      <c r="S8" s="12">
        <f t="shared" si="11"/>
        <v>-528</v>
      </c>
      <c r="T8" s="12">
        <f t="shared" si="12"/>
        <v>2112</v>
      </c>
      <c r="U8" s="12">
        <f t="shared" si="13"/>
        <v>358</v>
      </c>
      <c r="V8" s="13">
        <f t="shared" si="14"/>
        <v>279</v>
      </c>
      <c r="W8" s="15">
        <f t="shared" si="15"/>
        <v>2.3839999999999999</v>
      </c>
      <c r="X8" s="35"/>
      <c r="Y8" s="18">
        <f t="shared" si="16"/>
        <v>76</v>
      </c>
      <c r="Z8" s="18">
        <f t="shared" si="17"/>
        <v>86.6</v>
      </c>
      <c r="AA8" s="18">
        <f t="shared" si="18"/>
        <v>65.900000000000006</v>
      </c>
      <c r="AC8" s="23">
        <f t="shared" si="19"/>
        <v>363</v>
      </c>
      <c r="AD8" s="23">
        <f t="shared" si="20"/>
        <v>328.71612557016368</v>
      </c>
      <c r="AE8" s="23">
        <f t="shared" si="21"/>
        <v>294.00647948164146</v>
      </c>
      <c r="AF8" s="23">
        <f t="shared" si="22"/>
        <v>237.565445026178</v>
      </c>
      <c r="AG8" s="23">
        <f t="shared" si="23"/>
        <v>187.24209078404402</v>
      </c>
      <c r="AH8" s="23">
        <f t="shared" si="24"/>
        <v>116.64524421593831</v>
      </c>
      <c r="AI8" s="23">
        <f t="shared" si="25"/>
        <v>76.346045989904653</v>
      </c>
      <c r="AJ8" s="18">
        <f t="shared" si="26"/>
        <v>66</v>
      </c>
    </row>
    <row r="9" spans="1:36">
      <c r="A9" s="25">
        <v>715</v>
      </c>
      <c r="B9" s="6">
        <v>350.2</v>
      </c>
      <c r="C9" s="5">
        <v>308</v>
      </c>
      <c r="D9" s="5">
        <v>276.60000000000002</v>
      </c>
      <c r="E9" s="5">
        <v>231.3</v>
      </c>
      <c r="F9" s="5">
        <v>194</v>
      </c>
      <c r="G9" s="5">
        <v>129.69999999999999</v>
      </c>
      <c r="H9" s="5">
        <v>84.6</v>
      </c>
      <c r="I9" s="9">
        <f t="shared" si="1"/>
        <v>0.35020000000000001</v>
      </c>
      <c r="J9" s="8">
        <f t="shared" si="2"/>
        <v>3.9660655072922544</v>
      </c>
      <c r="K9" s="8">
        <f t="shared" si="3"/>
        <v>4.2543294113952319</v>
      </c>
      <c r="L9" s="8">
        <f t="shared" si="4"/>
        <v>4.540309994679097</v>
      </c>
      <c r="M9" s="8">
        <f t="shared" si="5"/>
        <v>4.73518307244208</v>
      </c>
      <c r="N9" s="8">
        <f t="shared" si="6"/>
        <v>5.0597723905508021</v>
      </c>
      <c r="O9" s="8">
        <f t="shared" si="7"/>
        <v>5.3261614804879809</v>
      </c>
      <c r="P9" s="11">
        <f t="shared" si="8"/>
        <v>0.94907197476215854</v>
      </c>
      <c r="Q9" s="11">
        <f t="shared" si="9"/>
        <v>1.724935823372594</v>
      </c>
      <c r="R9" s="11">
        <f t="shared" si="10"/>
        <v>0.17599999999999999</v>
      </c>
      <c r="S9" s="12">
        <f t="shared" si="11"/>
        <v>-548</v>
      </c>
      <c r="T9" s="12">
        <f t="shared" si="12"/>
        <v>2192</v>
      </c>
      <c r="U9" s="12">
        <f t="shared" si="13"/>
        <v>358</v>
      </c>
      <c r="V9" s="13">
        <f t="shared" si="14"/>
        <v>269</v>
      </c>
      <c r="W9" s="15">
        <f t="shared" si="15"/>
        <v>2.3839999999999999</v>
      </c>
      <c r="X9" s="35"/>
      <c r="Y9" s="18">
        <f t="shared" si="16"/>
        <v>73.599999999999994</v>
      </c>
      <c r="Z9" s="18">
        <f t="shared" si="17"/>
        <v>82.6</v>
      </c>
      <c r="AA9" s="18">
        <f t="shared" si="18"/>
        <v>64.3</v>
      </c>
      <c r="AC9" s="23">
        <f t="shared" si="19"/>
        <v>350.19999999999993</v>
      </c>
      <c r="AD9" s="23">
        <f t="shared" si="20"/>
        <v>317.12503353903941</v>
      </c>
      <c r="AE9" s="23">
        <f t="shared" si="21"/>
        <v>283.63930885529152</v>
      </c>
      <c r="AF9" s="23">
        <f t="shared" si="22"/>
        <v>229.18848167539264</v>
      </c>
      <c r="AG9" s="23">
        <f t="shared" si="23"/>
        <v>180.63961485557081</v>
      </c>
      <c r="AH9" s="23">
        <f t="shared" si="24"/>
        <v>112.53213367609253</v>
      </c>
      <c r="AI9" s="23">
        <f t="shared" si="25"/>
        <v>73.653954010095333</v>
      </c>
      <c r="AJ9" s="18">
        <f t="shared" si="26"/>
        <v>64</v>
      </c>
    </row>
    <row r="10" spans="1:36">
      <c r="A10" s="25">
        <v>712</v>
      </c>
      <c r="B10" s="6">
        <v>347.3</v>
      </c>
      <c r="C10" s="5">
        <v>305.60000000000002</v>
      </c>
      <c r="D10" s="5">
        <v>274.60000000000002</v>
      </c>
      <c r="E10" s="5">
        <v>229.3</v>
      </c>
      <c r="F10" s="5">
        <v>193.1</v>
      </c>
      <c r="G10" s="5">
        <v>128.9</v>
      </c>
      <c r="H10" s="5">
        <v>84.6</v>
      </c>
      <c r="I10" s="9">
        <f t="shared" si="1"/>
        <v>0.3473</v>
      </c>
      <c r="J10" s="8">
        <f t="shared" si="2"/>
        <v>3.9642864779011302</v>
      </c>
      <c r="K10" s="8">
        <f t="shared" si="3"/>
        <v>4.2521376507893267</v>
      </c>
      <c r="L10" s="8">
        <f t="shared" si="4"/>
        <v>4.5407817254072116</v>
      </c>
      <c r="M10" s="8">
        <f t="shared" si="5"/>
        <v>4.7316058727665684</v>
      </c>
      <c r="N10" s="8">
        <f t="shared" si="6"/>
        <v>5.0583034895103216</v>
      </c>
      <c r="O10" s="8">
        <f t="shared" si="7"/>
        <v>5.3213934825780713</v>
      </c>
      <c r="P10" s="11">
        <f t="shared" si="8"/>
        <v>0.96084285957241633</v>
      </c>
      <c r="Q10" s="11">
        <f t="shared" si="9"/>
        <v>1.7221387639643788</v>
      </c>
      <c r="R10" s="11">
        <f t="shared" si="10"/>
        <v>0.17499999999999999</v>
      </c>
      <c r="S10" s="12">
        <f t="shared" si="11"/>
        <v>-555</v>
      </c>
      <c r="T10" s="12">
        <f t="shared" si="12"/>
        <v>2220</v>
      </c>
      <c r="U10" s="12">
        <f t="shared" si="13"/>
        <v>359</v>
      </c>
      <c r="V10" s="13">
        <f t="shared" si="14"/>
        <v>267</v>
      </c>
      <c r="W10" s="15">
        <f t="shared" si="15"/>
        <v>2.39</v>
      </c>
      <c r="X10" s="35"/>
      <c r="Y10" s="18">
        <f t="shared" si="16"/>
        <v>72.7</v>
      </c>
      <c r="Z10" s="18">
        <f t="shared" si="17"/>
        <v>81.5</v>
      </c>
      <c r="AA10" s="18">
        <f t="shared" si="18"/>
        <v>64.2</v>
      </c>
      <c r="AC10" s="23">
        <f t="shared" si="19"/>
        <v>347.30000000000007</v>
      </c>
      <c r="AD10" s="23">
        <f t="shared" si="20"/>
        <v>314.66778523489938</v>
      </c>
      <c r="AE10" s="23">
        <f t="shared" si="21"/>
        <v>281.59459459459464</v>
      </c>
      <c r="AF10" s="23">
        <f t="shared" si="22"/>
        <v>227.73770491803282</v>
      </c>
      <c r="AG10" s="23">
        <f t="shared" si="23"/>
        <v>179.63793103448279</v>
      </c>
      <c r="AH10" s="23">
        <f t="shared" si="24"/>
        <v>112.03225806451614</v>
      </c>
      <c r="AI10" s="23">
        <f t="shared" si="25"/>
        <v>73.373239436619727</v>
      </c>
      <c r="AJ10" s="18">
        <f t="shared" si="26"/>
        <v>63</v>
      </c>
    </row>
    <row r="11" spans="1:36">
      <c r="A11" s="25">
        <v>710</v>
      </c>
      <c r="B11" s="6">
        <v>345.8</v>
      </c>
      <c r="C11" s="5">
        <v>304.2</v>
      </c>
      <c r="D11" s="5">
        <v>273</v>
      </c>
      <c r="E11" s="5">
        <v>227.4</v>
      </c>
      <c r="F11" s="5">
        <v>192.9</v>
      </c>
      <c r="G11" s="5">
        <v>127.8</v>
      </c>
      <c r="H11" s="5">
        <v>83.9</v>
      </c>
      <c r="I11" s="9">
        <f t="shared" si="1"/>
        <v>0.3458</v>
      </c>
      <c r="J11" s="8">
        <f t="shared" si="2"/>
        <v>3.9652378937407882</v>
      </c>
      <c r="K11" s="8">
        <f t="shared" si="3"/>
        <v>4.2552725051033065</v>
      </c>
      <c r="L11" s="8">
        <f t="shared" si="4"/>
        <v>4.5458650148662096</v>
      </c>
      <c r="M11" s="8">
        <f t="shared" si="5"/>
        <v>4.7283790305994602</v>
      </c>
      <c r="N11" s="8">
        <f t="shared" si="6"/>
        <v>5.0612294126132484</v>
      </c>
      <c r="O11" s="8">
        <f t="shared" si="7"/>
        <v>5.3236773104275565</v>
      </c>
      <c r="P11" s="11">
        <f t="shared" si="8"/>
        <v>0.96550487212777947</v>
      </c>
      <c r="Q11" s="11">
        <f t="shared" si="9"/>
        <v>1.722048869692373</v>
      </c>
      <c r="R11" s="11">
        <f t="shared" si="10"/>
        <v>0.17599999999999999</v>
      </c>
      <c r="S11" s="12">
        <f t="shared" si="11"/>
        <v>-555</v>
      </c>
      <c r="T11" s="12">
        <f t="shared" si="12"/>
        <v>2220</v>
      </c>
      <c r="U11" s="12">
        <f t="shared" si="13"/>
        <v>358</v>
      </c>
      <c r="V11" s="13">
        <f t="shared" si="14"/>
        <v>265</v>
      </c>
      <c r="W11" s="15">
        <f t="shared" si="15"/>
        <v>2.3839999999999999</v>
      </c>
      <c r="X11" s="35"/>
      <c r="Y11" s="18">
        <f t="shared" si="16"/>
        <v>72.8</v>
      </c>
      <c r="Z11" s="18">
        <f t="shared" si="17"/>
        <v>80.099999999999994</v>
      </c>
      <c r="AA11" s="18">
        <f t="shared" si="18"/>
        <v>65.099999999999994</v>
      </c>
      <c r="AC11" s="23">
        <f t="shared" si="19"/>
        <v>345.80000000000007</v>
      </c>
      <c r="AD11" s="23">
        <f t="shared" si="20"/>
        <v>313.14059565334054</v>
      </c>
      <c r="AE11" s="23">
        <f t="shared" si="21"/>
        <v>280.07559395248387</v>
      </c>
      <c r="AF11" s="23">
        <f t="shared" si="22"/>
        <v>226.30890052356025</v>
      </c>
      <c r="AG11" s="23">
        <f t="shared" si="23"/>
        <v>178.37001375515823</v>
      </c>
      <c r="AH11" s="23">
        <f t="shared" si="24"/>
        <v>111.11825192802058</v>
      </c>
      <c r="AI11" s="23">
        <f t="shared" si="25"/>
        <v>72.728547392035907</v>
      </c>
      <c r="AJ11" s="18">
        <f t="shared" si="26"/>
        <v>63</v>
      </c>
    </row>
    <row r="12" spans="1:36">
      <c r="A12" s="25">
        <v>1372</v>
      </c>
      <c r="B12" s="6">
        <v>584</v>
      </c>
      <c r="C12" s="5">
        <v>515.70000000000005</v>
      </c>
      <c r="D12" s="5">
        <v>464.1</v>
      </c>
      <c r="E12" s="5">
        <v>390.3</v>
      </c>
      <c r="F12" s="5">
        <v>330.2</v>
      </c>
      <c r="G12" s="5">
        <v>223.2</v>
      </c>
      <c r="H12" s="5">
        <v>149.4</v>
      </c>
      <c r="I12" s="9">
        <f t="shared" si="1"/>
        <v>0.58399999999999996</v>
      </c>
      <c r="J12" s="8">
        <f t="shared" si="2"/>
        <v>3.9513273451058422</v>
      </c>
      <c r="K12" s="8">
        <f t="shared" si="3"/>
        <v>4.2415113875108439</v>
      </c>
      <c r="L12" s="8">
        <f t="shared" si="4"/>
        <v>4.5250348422688873</v>
      </c>
      <c r="M12" s="8">
        <f t="shared" si="5"/>
        <v>4.715018321662936</v>
      </c>
      <c r="N12" s="8">
        <f t="shared" si="6"/>
        <v>5.0378761114353878</v>
      </c>
      <c r="O12" s="8">
        <f t="shared" si="7"/>
        <v>5.293042897336151</v>
      </c>
      <c r="P12" s="11">
        <f t="shared" si="8"/>
        <v>1.0411171846430707</v>
      </c>
      <c r="Q12" s="11">
        <f t="shared" si="9"/>
        <v>1.7028207522668508</v>
      </c>
      <c r="R12" s="11">
        <f t="shared" si="10"/>
        <v>0.16900000000000001</v>
      </c>
      <c r="S12" s="12">
        <f t="shared" si="11"/>
        <v>-342</v>
      </c>
      <c r="T12" s="12">
        <f t="shared" si="12"/>
        <v>1368</v>
      </c>
      <c r="U12" s="12">
        <f t="shared" si="13"/>
        <v>365</v>
      </c>
      <c r="V12" s="13">
        <f t="shared" si="14"/>
        <v>455</v>
      </c>
      <c r="W12" s="15">
        <f t="shared" si="15"/>
        <v>2.4329999999999998</v>
      </c>
      <c r="X12" s="35"/>
      <c r="Y12" s="18">
        <f t="shared" si="16"/>
        <v>119.9</v>
      </c>
      <c r="Z12" s="18">
        <f t="shared" si="17"/>
        <v>133.9</v>
      </c>
      <c r="AA12" s="18">
        <f t="shared" si="18"/>
        <v>107</v>
      </c>
      <c r="AC12" s="23">
        <f t="shared" si="19"/>
        <v>584</v>
      </c>
      <c r="AD12" s="23">
        <f t="shared" si="20"/>
        <v>530.83759762994885</v>
      </c>
      <c r="AE12" s="23">
        <f t="shared" si="21"/>
        <v>476.6050054406964</v>
      </c>
      <c r="AF12" s="23">
        <f t="shared" si="22"/>
        <v>387.52488387524886</v>
      </c>
      <c r="AG12" s="23">
        <f t="shared" si="23"/>
        <v>307.15287517531556</v>
      </c>
      <c r="AH12" s="23">
        <f t="shared" si="24"/>
        <v>192.86657859973579</v>
      </c>
      <c r="AI12" s="23">
        <f t="shared" si="25"/>
        <v>126.80949623624782</v>
      </c>
      <c r="AJ12" s="18">
        <f t="shared" si="26"/>
        <v>102</v>
      </c>
    </row>
    <row r="13" spans="1:36">
      <c r="A13" s="25">
        <v>1407</v>
      </c>
      <c r="B13" s="6">
        <v>580.29999999999995</v>
      </c>
      <c r="C13" s="5">
        <v>512.70000000000005</v>
      </c>
      <c r="D13" s="5">
        <v>459.6</v>
      </c>
      <c r="E13" s="5">
        <v>387.3</v>
      </c>
      <c r="F13" s="5">
        <v>329.9</v>
      </c>
      <c r="G13" s="5">
        <v>223</v>
      </c>
      <c r="H13" s="5">
        <v>148.69999999999999</v>
      </c>
      <c r="I13" s="9">
        <f t="shared" si="1"/>
        <v>0.58029999999999993</v>
      </c>
      <c r="J13" s="8">
        <f t="shared" si="2"/>
        <v>3.9493871513322611</v>
      </c>
      <c r="K13" s="8">
        <f t="shared" si="3"/>
        <v>4.2486310229121269</v>
      </c>
      <c r="L13" s="8">
        <f t="shared" si="4"/>
        <v>4.5268135848527162</v>
      </c>
      <c r="M13" s="8">
        <f t="shared" si="5"/>
        <v>4.709555781824073</v>
      </c>
      <c r="N13" s="8">
        <f t="shared" si="6"/>
        <v>5.0340319259853041</v>
      </c>
      <c r="O13" s="8">
        <f t="shared" si="7"/>
        <v>5.2920742403199439</v>
      </c>
      <c r="P13" s="11">
        <f t="shared" si="8"/>
        <v>1.0808782080846286</v>
      </c>
      <c r="Q13" s="11">
        <f t="shared" si="9"/>
        <v>1.6966038924035598</v>
      </c>
      <c r="R13" s="11">
        <f t="shared" si="10"/>
        <v>0.16900000000000001</v>
      </c>
      <c r="S13" s="12">
        <f t="shared" si="11"/>
        <v>-344</v>
      </c>
      <c r="T13" s="12">
        <f t="shared" si="12"/>
        <v>1376</v>
      </c>
      <c r="U13" s="12">
        <f t="shared" si="13"/>
        <v>365</v>
      </c>
      <c r="V13" s="13">
        <f t="shared" si="14"/>
        <v>452</v>
      </c>
      <c r="W13" s="15">
        <f t="shared" si="15"/>
        <v>2.4329999999999998</v>
      </c>
      <c r="X13" s="35"/>
      <c r="Y13" s="18">
        <f t="shared" si="16"/>
        <v>120.7</v>
      </c>
      <c r="Z13" s="18">
        <f t="shared" si="17"/>
        <v>129.69999999999999</v>
      </c>
      <c r="AA13" s="18">
        <f t="shared" si="18"/>
        <v>106.9</v>
      </c>
      <c r="AC13" s="23">
        <f t="shared" si="19"/>
        <v>580.29999999999995</v>
      </c>
      <c r="AD13" s="23">
        <f t="shared" si="20"/>
        <v>527.47441422030704</v>
      </c>
      <c r="AE13" s="23">
        <f t="shared" si="21"/>
        <v>473.58541893362349</v>
      </c>
      <c r="AF13" s="23">
        <f t="shared" si="22"/>
        <v>385.06967485069674</v>
      </c>
      <c r="AG13" s="23">
        <f t="shared" si="23"/>
        <v>305.20687237026647</v>
      </c>
      <c r="AH13" s="23">
        <f t="shared" si="24"/>
        <v>191.64464993394981</v>
      </c>
      <c r="AI13" s="23">
        <f t="shared" si="25"/>
        <v>126.00607990735379</v>
      </c>
      <c r="AJ13" s="18">
        <f t="shared" si="26"/>
        <v>102</v>
      </c>
    </row>
    <row r="14" spans="1:36">
      <c r="A14" s="25">
        <v>1404</v>
      </c>
      <c r="B14" s="6">
        <v>577.4</v>
      </c>
      <c r="C14" s="5">
        <v>509.5</v>
      </c>
      <c r="D14" s="5">
        <v>459</v>
      </c>
      <c r="E14" s="5">
        <v>385.3</v>
      </c>
      <c r="F14" s="5">
        <v>328</v>
      </c>
      <c r="G14" s="5">
        <v>221.7</v>
      </c>
      <c r="H14" s="5">
        <v>147.80000000000001</v>
      </c>
      <c r="I14" s="9">
        <f t="shared" si="1"/>
        <v>0.57740000000000002</v>
      </c>
      <c r="J14" s="8">
        <f t="shared" si="2"/>
        <v>3.9540293587690813</v>
      </c>
      <c r="K14" s="8">
        <f t="shared" si="3"/>
        <v>4.2408427896806646</v>
      </c>
      <c r="L14" s="8">
        <f t="shared" si="4"/>
        <v>4.5270321286797177</v>
      </c>
      <c r="M14" s="8">
        <f t="shared" si="5"/>
        <v>4.7103263782618701</v>
      </c>
      <c r="N14" s="8">
        <f t="shared" si="6"/>
        <v>5.0346219449023168</v>
      </c>
      <c r="O14" s="8">
        <f t="shared" si="7"/>
        <v>5.2926936114637169</v>
      </c>
      <c r="P14" s="11">
        <f t="shared" si="8"/>
        <v>1.0753443768609563</v>
      </c>
      <c r="Q14" s="11">
        <f t="shared" si="9"/>
        <v>1.6973690039325318</v>
      </c>
      <c r="R14" s="11">
        <f t="shared" si="10"/>
        <v>0.16900000000000001</v>
      </c>
      <c r="S14" s="12">
        <f t="shared" si="11"/>
        <v>-346</v>
      </c>
      <c r="T14" s="12">
        <f t="shared" si="12"/>
        <v>1384</v>
      </c>
      <c r="U14" s="12">
        <f t="shared" si="13"/>
        <v>365</v>
      </c>
      <c r="V14" s="13">
        <f t="shared" si="14"/>
        <v>450</v>
      </c>
      <c r="W14" s="15">
        <f t="shared" si="15"/>
        <v>2.4329999999999998</v>
      </c>
      <c r="X14" s="35"/>
      <c r="Y14" s="18">
        <f t="shared" si="16"/>
        <v>118.4</v>
      </c>
      <c r="Z14" s="18">
        <f t="shared" si="17"/>
        <v>131</v>
      </c>
      <c r="AA14" s="18">
        <f t="shared" si="18"/>
        <v>106.3</v>
      </c>
      <c r="AC14" s="23">
        <f t="shared" si="19"/>
        <v>577.39999999999986</v>
      </c>
      <c r="AD14" s="23">
        <f t="shared" si="20"/>
        <v>524.83840560193903</v>
      </c>
      <c r="AE14" s="23">
        <f t="shared" si="21"/>
        <v>471.21871599564736</v>
      </c>
      <c r="AF14" s="23">
        <f t="shared" si="22"/>
        <v>383.14532183145315</v>
      </c>
      <c r="AG14" s="23">
        <f t="shared" si="23"/>
        <v>303.68162692847119</v>
      </c>
      <c r="AH14" s="23">
        <f t="shared" si="24"/>
        <v>190.68692206076614</v>
      </c>
      <c r="AI14" s="23">
        <f t="shared" si="25"/>
        <v>125.37637521713953</v>
      </c>
      <c r="AJ14" s="18">
        <f t="shared" si="26"/>
        <v>101</v>
      </c>
    </row>
    <row r="15" spans="1:36">
      <c r="A15" s="25">
        <v>1396</v>
      </c>
      <c r="B15" s="6">
        <v>578.29999999999995</v>
      </c>
      <c r="C15" s="5">
        <v>510.5</v>
      </c>
      <c r="D15" s="5">
        <v>460.9</v>
      </c>
      <c r="E15" s="5">
        <v>386.9</v>
      </c>
      <c r="F15" s="5">
        <v>328.4</v>
      </c>
      <c r="G15" s="5">
        <v>223.2</v>
      </c>
      <c r="H15" s="5">
        <v>149</v>
      </c>
      <c r="I15" s="9">
        <f t="shared" si="1"/>
        <v>0.57829999999999993</v>
      </c>
      <c r="J15" s="8">
        <f t="shared" si="2"/>
        <v>3.952537720275159</v>
      </c>
      <c r="K15" s="8">
        <f t="shared" si="3"/>
        <v>4.2353651616181001</v>
      </c>
      <c r="L15" s="8">
        <f t="shared" si="4"/>
        <v>4.5236469765506051</v>
      </c>
      <c r="M15" s="8">
        <f t="shared" si="5"/>
        <v>4.7106668805100718</v>
      </c>
      <c r="N15" s="8">
        <f t="shared" si="6"/>
        <v>5.0309602548670993</v>
      </c>
      <c r="O15" s="8">
        <f t="shared" si="7"/>
        <v>5.28887839289819</v>
      </c>
      <c r="P15" s="11">
        <f t="shared" si="8"/>
        <v>1.0720952164090021</v>
      </c>
      <c r="Q15" s="11">
        <f t="shared" si="9"/>
        <v>1.6967776353480433</v>
      </c>
      <c r="R15" s="11">
        <f t="shared" si="10"/>
        <v>0.16800000000000001</v>
      </c>
      <c r="S15" s="12">
        <f t="shared" si="11"/>
        <v>-347</v>
      </c>
      <c r="T15" s="12">
        <f t="shared" si="12"/>
        <v>1388</v>
      </c>
      <c r="U15" s="12">
        <f t="shared" si="13"/>
        <v>366</v>
      </c>
      <c r="V15" s="13">
        <f t="shared" si="14"/>
        <v>452</v>
      </c>
      <c r="W15" s="15">
        <f t="shared" si="15"/>
        <v>2.44</v>
      </c>
      <c r="X15" s="35"/>
      <c r="Y15" s="18">
        <f t="shared" si="16"/>
        <v>117.4</v>
      </c>
      <c r="Z15" s="18">
        <f t="shared" si="17"/>
        <v>132.5</v>
      </c>
      <c r="AA15" s="18">
        <f t="shared" si="18"/>
        <v>105.2</v>
      </c>
      <c r="AC15" s="23">
        <f t="shared" si="19"/>
        <v>578.29999999999995</v>
      </c>
      <c r="AD15" s="23">
        <f t="shared" si="20"/>
        <v>525.93977364591751</v>
      </c>
      <c r="AE15" s="23">
        <f t="shared" si="21"/>
        <v>472.46732026143792</v>
      </c>
      <c r="AF15" s="23">
        <f t="shared" si="22"/>
        <v>384.50797872340428</v>
      </c>
      <c r="AG15" s="23">
        <f t="shared" si="23"/>
        <v>305.01054852320675</v>
      </c>
      <c r="AH15" s="23">
        <f t="shared" si="24"/>
        <v>191.74403183023873</v>
      </c>
      <c r="AI15" s="23">
        <f t="shared" si="25"/>
        <v>126.15619546247818</v>
      </c>
      <c r="AJ15" s="18">
        <f t="shared" si="26"/>
        <v>101</v>
      </c>
    </row>
    <row r="16" spans="1:36">
      <c r="A16" s="24">
        <f t="shared" ref="A16:W16" si="27">AVERAGE(A4:A7)</f>
        <v>381</v>
      </c>
      <c r="B16" s="24">
        <f t="shared" si="27"/>
        <v>203.125</v>
      </c>
      <c r="C16" s="24">
        <f t="shared" si="27"/>
        <v>176.55</v>
      </c>
      <c r="D16" s="24">
        <f t="shared" si="27"/>
        <v>158.30000000000001</v>
      </c>
      <c r="E16" s="24">
        <f t="shared" si="27"/>
        <v>128.6</v>
      </c>
      <c r="F16" s="24">
        <f t="shared" si="27"/>
        <v>109.39999999999999</v>
      </c>
      <c r="G16" s="24">
        <f t="shared" si="27"/>
        <v>68.724999999999994</v>
      </c>
      <c r="H16" s="24">
        <f t="shared" si="27"/>
        <v>42.1</v>
      </c>
      <c r="I16" s="24">
        <f t="shared" si="27"/>
        <v>0.203125</v>
      </c>
      <c r="J16" s="24">
        <f t="shared" si="27"/>
        <v>4.0070619002044348</v>
      </c>
      <c r="K16" s="24">
        <f t="shared" si="27"/>
        <v>4.2815404286484826</v>
      </c>
      <c r="L16" s="24">
        <f t="shared" si="27"/>
        <v>4.5924862206216712</v>
      </c>
      <c r="M16" s="24">
        <f t="shared" si="27"/>
        <v>4.7622025869188249</v>
      </c>
      <c r="N16" s="24">
        <f t="shared" si="27"/>
        <v>5.1206427287711307</v>
      </c>
      <c r="O16" s="24">
        <f t="shared" si="27"/>
        <v>5.4121400118026326</v>
      </c>
      <c r="P16" s="24">
        <f t="shared" si="27"/>
        <v>0.75645313997753116</v>
      </c>
      <c r="Q16" s="24">
        <f t="shared" si="27"/>
        <v>1.779539707432493</v>
      </c>
      <c r="R16" s="24">
        <f t="shared" si="27"/>
        <v>0.19374999999999998</v>
      </c>
      <c r="S16" s="24">
        <f t="shared" si="27"/>
        <v>-858.5</v>
      </c>
      <c r="T16" s="24">
        <f t="shared" si="27"/>
        <v>3434</v>
      </c>
      <c r="U16" s="24">
        <f t="shared" si="27"/>
        <v>341</v>
      </c>
      <c r="V16" s="24">
        <f t="shared" si="27"/>
        <v>150.25</v>
      </c>
      <c r="W16" s="24">
        <f t="shared" si="27"/>
        <v>2.2719999999999998</v>
      </c>
      <c r="X16" s="24"/>
      <c r="Y16" s="24">
        <f>AVERAGE(Y4:Y7)</f>
        <v>44.825000000000003</v>
      </c>
      <c r="Z16" s="24">
        <f>AVERAGE(Z4:Z7)</f>
        <v>48.9</v>
      </c>
      <c r="AA16" s="24">
        <f>AVERAGE(AA4:AA7)</f>
        <v>40.674999999999997</v>
      </c>
      <c r="AB16"/>
      <c r="AC16" s="24">
        <f t="shared" ref="AC16:AI16" si="28">AVERAGE(AC4:AC7)</f>
        <v>203.125</v>
      </c>
      <c r="AD16" s="24">
        <f t="shared" si="28"/>
        <v>182.21153725494844</v>
      </c>
      <c r="AE16" s="24">
        <f t="shared" si="28"/>
        <v>161.4356064457823</v>
      </c>
      <c r="AF16" s="24">
        <f t="shared" si="28"/>
        <v>128.47636009308434</v>
      </c>
      <c r="AG16" s="24">
        <f t="shared" si="28"/>
        <v>99.917771082620263</v>
      </c>
      <c r="AH16" s="24">
        <f t="shared" si="28"/>
        <v>61.108424892236471</v>
      </c>
      <c r="AI16" s="24">
        <f t="shared" si="28"/>
        <v>39.583867935234764</v>
      </c>
    </row>
    <row r="17" spans="1:36">
      <c r="A17" s="24">
        <f t="shared" ref="A17:W17" si="29">AVERAGE(A8:A11)</f>
        <v>715.25</v>
      </c>
      <c r="B17" s="24">
        <f t="shared" si="29"/>
        <v>351.57499999999999</v>
      </c>
      <c r="C17" s="24">
        <f t="shared" si="29"/>
        <v>309.25</v>
      </c>
      <c r="D17" s="24">
        <f t="shared" si="29"/>
        <v>277.8</v>
      </c>
      <c r="E17" s="24">
        <f t="shared" si="29"/>
        <v>232.125</v>
      </c>
      <c r="F17" s="24">
        <f t="shared" si="29"/>
        <v>195.1</v>
      </c>
      <c r="G17" s="24">
        <f t="shared" si="29"/>
        <v>130.22499999999999</v>
      </c>
      <c r="H17" s="24">
        <f t="shared" si="29"/>
        <v>85.199999999999989</v>
      </c>
      <c r="I17" s="24">
        <f t="shared" si="29"/>
        <v>0.35157499999999997</v>
      </c>
      <c r="J17" s="24">
        <f t="shared" si="29"/>
        <v>3.9655762198976512</v>
      </c>
      <c r="K17" s="24">
        <f t="shared" si="29"/>
        <v>4.2534937589164219</v>
      </c>
      <c r="L17" s="24">
        <f t="shared" si="29"/>
        <v>4.5408203789435611</v>
      </c>
      <c r="M17" s="24">
        <f t="shared" si="29"/>
        <v>4.7334236431754935</v>
      </c>
      <c r="N17" s="24">
        <f t="shared" si="29"/>
        <v>5.0596932463932101</v>
      </c>
      <c r="O17" s="24">
        <f t="shared" si="29"/>
        <v>5.3243356660879808</v>
      </c>
      <c r="P17" s="24">
        <f t="shared" si="29"/>
        <v>0.95390784841578602</v>
      </c>
      <c r="Q17" s="24">
        <f t="shared" si="29"/>
        <v>1.7238534148819653</v>
      </c>
      <c r="R17" s="24">
        <f t="shared" si="29"/>
        <v>0.17574999999999996</v>
      </c>
      <c r="S17" s="24">
        <f t="shared" si="29"/>
        <v>-546.5</v>
      </c>
      <c r="T17" s="24">
        <f t="shared" si="29"/>
        <v>2186</v>
      </c>
      <c r="U17" s="24">
        <f t="shared" si="29"/>
        <v>358.25</v>
      </c>
      <c r="V17" s="24">
        <f t="shared" si="29"/>
        <v>270</v>
      </c>
      <c r="W17" s="24">
        <f t="shared" si="29"/>
        <v>2.3855</v>
      </c>
      <c r="X17" s="24"/>
      <c r="Y17" s="24">
        <f>AVERAGE(Y8:Y11)</f>
        <v>73.775000000000006</v>
      </c>
      <c r="Z17" s="24">
        <f>AVERAGE(Z8:Z11)</f>
        <v>82.699999999999989</v>
      </c>
      <c r="AA17" s="24">
        <f>AVERAGE(AA8:AA11)</f>
        <v>64.875</v>
      </c>
      <c r="AB17" s="24">
        <f>AC17/AC16</f>
        <v>1.7308307692307694</v>
      </c>
      <c r="AC17" s="24">
        <f t="shared" ref="AC17:AI17" si="30">AVERAGE(AC8:AC11)</f>
        <v>351.57500000000005</v>
      </c>
      <c r="AD17" s="24">
        <f t="shared" si="30"/>
        <v>318.41238499936077</v>
      </c>
      <c r="AE17" s="24">
        <f t="shared" si="30"/>
        <v>284.82899422100286</v>
      </c>
      <c r="AF17" s="24">
        <f t="shared" si="30"/>
        <v>230.20013303579094</v>
      </c>
      <c r="AG17" s="24">
        <f t="shared" si="30"/>
        <v>181.47241260731397</v>
      </c>
      <c r="AH17" s="24">
        <f t="shared" si="30"/>
        <v>113.0819719711419</v>
      </c>
      <c r="AI17" s="24">
        <f t="shared" si="30"/>
        <v>74.025446707163908</v>
      </c>
      <c r="AJ17" s="1">
        <f>AI17/AI16</f>
        <v>1.8700912914392502</v>
      </c>
    </row>
    <row r="18" spans="1:36">
      <c r="A18" s="24">
        <f t="shared" ref="A18:W18" si="31">AVERAGE(A12:A15)</f>
        <v>1394.75</v>
      </c>
      <c r="B18" s="24">
        <f t="shared" si="31"/>
        <v>580</v>
      </c>
      <c r="C18" s="24">
        <f t="shared" si="31"/>
        <v>512.1</v>
      </c>
      <c r="D18" s="24">
        <f t="shared" si="31"/>
        <v>460.9</v>
      </c>
      <c r="E18" s="24">
        <f t="shared" si="31"/>
        <v>387.45000000000005</v>
      </c>
      <c r="F18" s="24">
        <f t="shared" si="31"/>
        <v>329.125</v>
      </c>
      <c r="G18" s="24">
        <f t="shared" si="31"/>
        <v>222.77499999999998</v>
      </c>
      <c r="H18" s="24">
        <f t="shared" si="31"/>
        <v>148.72500000000002</v>
      </c>
      <c r="I18" s="24">
        <f t="shared" si="31"/>
        <v>0.57999999999999996</v>
      </c>
      <c r="J18" s="24">
        <f t="shared" si="31"/>
        <v>3.9518203938705865</v>
      </c>
      <c r="K18" s="24">
        <f t="shared" si="31"/>
        <v>4.2415875904304343</v>
      </c>
      <c r="L18" s="24">
        <f t="shared" si="31"/>
        <v>4.525631883087982</v>
      </c>
      <c r="M18" s="24">
        <f t="shared" si="31"/>
        <v>4.7113918405647377</v>
      </c>
      <c r="N18" s="24">
        <f t="shared" si="31"/>
        <v>5.0343725592975268</v>
      </c>
      <c r="O18" s="24">
        <f t="shared" si="31"/>
        <v>5.2916722855045002</v>
      </c>
      <c r="P18" s="24">
        <f t="shared" si="31"/>
        <v>1.0673587464994143</v>
      </c>
      <c r="Q18" s="24">
        <f t="shared" si="31"/>
        <v>1.6983928209877464</v>
      </c>
      <c r="R18" s="24">
        <f t="shared" si="31"/>
        <v>0.16875000000000001</v>
      </c>
      <c r="S18" s="24">
        <f t="shared" si="31"/>
        <v>-344.75</v>
      </c>
      <c r="T18" s="24">
        <f t="shared" si="31"/>
        <v>1379</v>
      </c>
      <c r="U18" s="24">
        <f t="shared" si="31"/>
        <v>365.25</v>
      </c>
      <c r="V18" s="24">
        <f t="shared" si="31"/>
        <v>452.25</v>
      </c>
      <c r="W18" s="24">
        <f t="shared" si="31"/>
        <v>2.4347499999999997</v>
      </c>
      <c r="X18" s="24"/>
      <c r="Y18" s="24">
        <f>AVERAGE(Y12:Y15)</f>
        <v>119.1</v>
      </c>
      <c r="Z18" s="24">
        <f>AVERAGE(Z12:Z15)</f>
        <v>131.77500000000001</v>
      </c>
      <c r="AA18" s="24">
        <f>AVERAGE(AA12:AA15)</f>
        <v>106.35</v>
      </c>
      <c r="AB18" s="24">
        <f>AC18/AC16</f>
        <v>2.8553846153846152</v>
      </c>
      <c r="AC18" s="24">
        <f t="shared" ref="AC18:AI18" si="32">AVERAGE(AC12:AC15)</f>
        <v>580</v>
      </c>
      <c r="AD18" s="24">
        <f t="shared" si="32"/>
        <v>527.27254777452811</v>
      </c>
      <c r="AE18" s="24">
        <f t="shared" si="32"/>
        <v>473.46911515785126</v>
      </c>
      <c r="AF18" s="24">
        <f t="shared" si="32"/>
        <v>385.06196482020073</v>
      </c>
      <c r="AG18" s="24">
        <f t="shared" si="32"/>
        <v>305.26298074931498</v>
      </c>
      <c r="AH18" s="24">
        <f t="shared" si="32"/>
        <v>191.73554560617259</v>
      </c>
      <c r="AI18" s="24">
        <f t="shared" si="32"/>
        <v>126.08703670580483</v>
      </c>
      <c r="AJ18" s="1">
        <f>AI18/AI16</f>
        <v>3.1853136967843172</v>
      </c>
    </row>
    <row r="19" spans="1:36" ht="13.5" thickBot="1"/>
    <row r="20" spans="1:36">
      <c r="A20" s="26">
        <v>378</v>
      </c>
      <c r="B20" s="27">
        <v>393.5</v>
      </c>
      <c r="C20" s="27">
        <v>350.87516512549536</v>
      </c>
      <c r="D20" s="27">
        <v>309.03141361256547</v>
      </c>
      <c r="E20" s="27">
        <v>243.65325077399382</v>
      </c>
      <c r="F20" s="27">
        <v>187.97770700636943</v>
      </c>
      <c r="G20" s="27">
        <v>113.72832369942196</v>
      </c>
      <c r="H20" s="28">
        <v>73.232009925558316</v>
      </c>
      <c r="I20" s="9">
        <f t="shared" ref="I20:I31" si="33">B20/1000</f>
        <v>0.39350000000000002</v>
      </c>
      <c r="J20" s="8">
        <f t="shared" ref="J20:J31" si="34">LOG10((((3*150*150)*B20)/C20)-((3*150*150)))</f>
        <v>3.9138138523837167</v>
      </c>
      <c r="K20" s="8">
        <f t="shared" ref="K20:K31" si="35">LOG10((((3*150*150)*B20)/D20)-((3*150*150)))</f>
        <v>4.2659963704950785</v>
      </c>
      <c r="L20" s="8">
        <f t="shared" ref="L20:L31" si="36">LOG10((((3*150*150)*B20)/E20)-((3*150*150)))</f>
        <v>4.6181788886064421</v>
      </c>
      <c r="M20" s="8">
        <f t="shared" ref="M20:M31" si="37">LOG10((((3*150*150)*B20)/F20)-((3*150*150)))</f>
        <v>4.8680563618230419</v>
      </c>
      <c r="N20" s="8">
        <f t="shared" ref="N20:N31" si="38">LOG10((((3*150*150)*B20)/G20)-((3*150*150)))</f>
        <v>5.2202388799344037</v>
      </c>
      <c r="O20" s="8">
        <f t="shared" ref="O20:O31" si="39">LOG10((((3*150*150)*B20)/H20)-((3*150*150)))</f>
        <v>5.4701163531510035</v>
      </c>
      <c r="P20" s="11">
        <f t="shared" ref="P20:P31" si="40">10^(INTERCEPT(J20:O20,$J$1:$O$1))</f>
        <v>0.20499999999999952</v>
      </c>
      <c r="Q20" s="11">
        <f t="shared" ref="Q20:Q31" si="41">LINEST(J20:O20,$J$1:$O$1)</f>
        <v>2.0000000000000004</v>
      </c>
      <c r="R20" s="11">
        <f t="shared" ref="R20:R31" si="42">ROUND(10^((SUM(J20:N20)-2*SUM($J$1:$N$1))/5),3)</f>
        <v>0.20499999999999999</v>
      </c>
      <c r="S20" s="12">
        <f t="shared" ref="S20:S31" si="43">ROUND(-1.5*((150^2)/(R20*I20))/1000,0)</f>
        <v>-418</v>
      </c>
      <c r="T20" s="12">
        <f t="shared" ref="T20:T31" si="44">-4*S20</f>
        <v>1672</v>
      </c>
      <c r="U20" s="12">
        <f t="shared" ref="U20:U31" si="45">ROUND(150/(R20^0.5),0)</f>
        <v>331</v>
      </c>
      <c r="V20" s="13">
        <f t="shared" ref="V20:V31" si="46">ROUND(150*I20*ATAN((1800*SQRT(3*R20))/(3*150))*SQRT(3/(R20)),0)</f>
        <v>285</v>
      </c>
      <c r="W20" s="15">
        <f t="shared" ref="W20:W31" si="47">ROUND(1/SQRT(R20),3)</f>
        <v>2.2090000000000001</v>
      </c>
      <c r="X20" s="36">
        <f>SLOPE(W20:W31,A20:A31)</f>
        <v>2.6392622540420208E-4</v>
      </c>
      <c r="Y20" s="18">
        <f t="shared" ref="Y20:Y31" si="48">ROUND(B20-D20,3)</f>
        <v>84.468999999999994</v>
      </c>
      <c r="Z20" s="18">
        <f t="shared" ref="Z20:Z31" si="49">ROUND(D20-F20,3)</f>
        <v>121.054</v>
      </c>
      <c r="AA20" s="18">
        <f t="shared" ref="AA20:AA31" si="50">ROUND(F20-G20,3)</f>
        <v>74.248999999999995</v>
      </c>
      <c r="AC20" s="23">
        <f t="shared" ref="AC20:AC31" si="51">((B20)*3*150^2)/(R20*$AC$3^2+3*150^2)</f>
        <v>393.5</v>
      </c>
      <c r="AD20" s="23">
        <f t="shared" ref="AD20:AD31" si="52">((B20)*3*150^2)/(R20*$AD$3^2+3*150^2)</f>
        <v>350.87516512549536</v>
      </c>
      <c r="AE20" s="23">
        <f t="shared" ref="AE20:AE31" si="53">((B20)*3*150^2)/(R20*$AE$3^2+3*150^2)</f>
        <v>309.03141361256547</v>
      </c>
      <c r="AF20" s="23">
        <f t="shared" ref="AF20:AF31" si="54">((B20)*3*150^2)/(R20*$AF$3^2+3*150^2)</f>
        <v>243.65325077399382</v>
      </c>
      <c r="AG20" s="23">
        <f t="shared" ref="AG20:AG31" si="55">((B20)*3*150^2)/(R20*$AG$3^2+3*150^2)</f>
        <v>187.97770700636943</v>
      </c>
      <c r="AH20" s="23">
        <f t="shared" ref="AH20:AH31" si="56">((B20)*3*150^2)/(R20*$AH$3^2+3*150^2)</f>
        <v>113.72832369942196</v>
      </c>
      <c r="AI20" s="23">
        <f t="shared" ref="AI20:AI31" si="57">((B20)*3*150^2)/(R20*$AI$3^2+3*150^2)</f>
        <v>73.232009925558316</v>
      </c>
    </row>
    <row r="21" spans="1:36">
      <c r="A21" s="29">
        <v>380</v>
      </c>
      <c r="B21" s="30">
        <v>370.2</v>
      </c>
      <c r="C21" s="30">
        <v>329.05583355280481</v>
      </c>
      <c r="D21" s="30">
        <v>288.91779396462016</v>
      </c>
      <c r="E21" s="30">
        <v>226.69932639314143</v>
      </c>
      <c r="F21" s="30">
        <v>174.18444165621077</v>
      </c>
      <c r="G21" s="30">
        <v>104.81313703284256</v>
      </c>
      <c r="H21" s="31">
        <v>67.292777508482786</v>
      </c>
      <c r="I21" s="9">
        <f t="shared" si="33"/>
        <v>0.37019999999999997</v>
      </c>
      <c r="J21" s="8">
        <f t="shared" si="34"/>
        <v>3.926342446625656</v>
      </c>
      <c r="K21" s="8">
        <f t="shared" si="35"/>
        <v>4.2785249647370183</v>
      </c>
      <c r="L21" s="8">
        <f t="shared" si="36"/>
        <v>4.6307074828483801</v>
      </c>
      <c r="M21" s="8">
        <f t="shared" si="37"/>
        <v>4.8805849560649799</v>
      </c>
      <c r="N21" s="8">
        <f t="shared" si="38"/>
        <v>5.2327674741763426</v>
      </c>
      <c r="O21" s="8">
        <f t="shared" si="39"/>
        <v>5.4826449473929424</v>
      </c>
      <c r="P21" s="11">
        <f t="shared" si="40"/>
        <v>0.21100000000000019</v>
      </c>
      <c r="Q21" s="11">
        <f t="shared" si="41"/>
        <v>1.9999999999999996</v>
      </c>
      <c r="R21" s="11">
        <f t="shared" si="42"/>
        <v>0.21099999999999999</v>
      </c>
      <c r="S21" s="12">
        <f t="shared" si="43"/>
        <v>-432</v>
      </c>
      <c r="T21" s="12">
        <f t="shared" si="44"/>
        <v>1728</v>
      </c>
      <c r="U21" s="12">
        <f t="shared" si="45"/>
        <v>327</v>
      </c>
      <c r="V21" s="13">
        <f t="shared" si="46"/>
        <v>265</v>
      </c>
      <c r="W21" s="15">
        <f t="shared" si="47"/>
        <v>2.177</v>
      </c>
      <c r="X21" s="35"/>
      <c r="Y21" s="18">
        <f t="shared" si="48"/>
        <v>81.281999999999996</v>
      </c>
      <c r="Z21" s="18">
        <f t="shared" si="49"/>
        <v>114.733</v>
      </c>
      <c r="AA21" s="18">
        <f t="shared" si="50"/>
        <v>69.370999999999995</v>
      </c>
      <c r="AC21" s="23">
        <f t="shared" si="51"/>
        <v>370.19999999999993</v>
      </c>
      <c r="AD21" s="23">
        <f t="shared" si="52"/>
        <v>329.05583355280481</v>
      </c>
      <c r="AE21" s="23">
        <f t="shared" si="53"/>
        <v>288.91779396462016</v>
      </c>
      <c r="AF21" s="23">
        <f t="shared" si="54"/>
        <v>226.69932639314143</v>
      </c>
      <c r="AG21" s="23">
        <f t="shared" si="55"/>
        <v>174.18444165621077</v>
      </c>
      <c r="AH21" s="23">
        <f t="shared" si="56"/>
        <v>104.81313703284256</v>
      </c>
      <c r="AI21" s="23">
        <f t="shared" si="57"/>
        <v>67.292777508482786</v>
      </c>
    </row>
    <row r="22" spans="1:36">
      <c r="A22" s="29">
        <v>383</v>
      </c>
      <c r="B22" s="30">
        <v>365</v>
      </c>
      <c r="C22" s="30">
        <v>325.29046738843414</v>
      </c>
      <c r="D22" s="30">
        <v>286.34937238493723</v>
      </c>
      <c r="E22" s="30">
        <v>225.58714462299136</v>
      </c>
      <c r="F22" s="30">
        <v>173.91994917407877</v>
      </c>
      <c r="G22" s="30">
        <v>105.12672811059907</v>
      </c>
      <c r="H22" s="31">
        <v>67.65941670785962</v>
      </c>
      <c r="I22" s="9">
        <f t="shared" si="33"/>
        <v>0.36499999999999999</v>
      </c>
      <c r="J22" s="8">
        <f t="shared" si="34"/>
        <v>3.9159272116971158</v>
      </c>
      <c r="K22" s="8">
        <f t="shared" si="35"/>
        <v>4.2681097298084785</v>
      </c>
      <c r="L22" s="8">
        <f t="shared" si="36"/>
        <v>4.6202922479198412</v>
      </c>
      <c r="M22" s="8">
        <f t="shared" si="37"/>
        <v>4.870169721136441</v>
      </c>
      <c r="N22" s="8">
        <f t="shared" si="38"/>
        <v>5.2223522392478028</v>
      </c>
      <c r="O22" s="8">
        <f t="shared" si="39"/>
        <v>5.4722297124644026</v>
      </c>
      <c r="P22" s="11">
        <f t="shared" si="40"/>
        <v>0.20599999999999991</v>
      </c>
      <c r="Q22" s="11">
        <f t="shared" si="41"/>
        <v>2.0000000000000004</v>
      </c>
      <c r="R22" s="11">
        <f t="shared" si="42"/>
        <v>0.20599999999999999</v>
      </c>
      <c r="S22" s="12">
        <f t="shared" si="43"/>
        <v>-449</v>
      </c>
      <c r="T22" s="12">
        <f t="shared" si="44"/>
        <v>1796</v>
      </c>
      <c r="U22" s="12">
        <f t="shared" si="45"/>
        <v>330</v>
      </c>
      <c r="V22" s="13">
        <f t="shared" si="46"/>
        <v>264</v>
      </c>
      <c r="W22" s="15">
        <f t="shared" si="47"/>
        <v>2.2029999999999998</v>
      </c>
      <c r="X22" s="35"/>
      <c r="Y22" s="18">
        <f t="shared" si="48"/>
        <v>78.650999999999996</v>
      </c>
      <c r="Z22" s="18">
        <f t="shared" si="49"/>
        <v>112.429</v>
      </c>
      <c r="AA22" s="18">
        <f t="shared" si="50"/>
        <v>68.793000000000006</v>
      </c>
      <c r="AC22" s="23">
        <f t="shared" si="51"/>
        <v>365</v>
      </c>
      <c r="AD22" s="23">
        <f t="shared" si="52"/>
        <v>325.29046738843414</v>
      </c>
      <c r="AE22" s="23">
        <f t="shared" si="53"/>
        <v>286.34937238493723</v>
      </c>
      <c r="AF22" s="23">
        <f t="shared" si="54"/>
        <v>225.58714462299136</v>
      </c>
      <c r="AG22" s="23">
        <f t="shared" si="55"/>
        <v>173.91994917407877</v>
      </c>
      <c r="AH22" s="23">
        <f t="shared" si="56"/>
        <v>105.12672811059907</v>
      </c>
      <c r="AI22" s="23">
        <f t="shared" si="57"/>
        <v>67.65941670785962</v>
      </c>
    </row>
    <row r="23" spans="1:36">
      <c r="A23" s="29">
        <v>383</v>
      </c>
      <c r="B23" s="30">
        <v>363</v>
      </c>
      <c r="C23" s="30">
        <v>323.50805386849748</v>
      </c>
      <c r="D23" s="30">
        <v>284.78033472803349</v>
      </c>
      <c r="E23" s="30">
        <v>224.35105067985168</v>
      </c>
      <c r="F23" s="30">
        <v>172.96696315120712</v>
      </c>
      <c r="G23" s="30">
        <v>104.55069124423963</v>
      </c>
      <c r="H23" s="31">
        <v>67.288680177953538</v>
      </c>
      <c r="I23" s="9">
        <f t="shared" si="33"/>
        <v>0.36299999999999999</v>
      </c>
      <c r="J23" s="8">
        <f t="shared" si="34"/>
        <v>3.9159272116971158</v>
      </c>
      <c r="K23" s="8">
        <f t="shared" si="35"/>
        <v>4.2681097298084785</v>
      </c>
      <c r="L23" s="8">
        <f t="shared" si="36"/>
        <v>4.6202922479198412</v>
      </c>
      <c r="M23" s="8">
        <f t="shared" si="37"/>
        <v>4.870169721136441</v>
      </c>
      <c r="N23" s="8">
        <f t="shared" si="38"/>
        <v>5.2223522392478028</v>
      </c>
      <c r="O23" s="8">
        <f t="shared" si="39"/>
        <v>5.4722297124644035</v>
      </c>
      <c r="P23" s="11">
        <f t="shared" si="40"/>
        <v>0.20599999999999949</v>
      </c>
      <c r="Q23" s="11">
        <f t="shared" si="41"/>
        <v>2.0000000000000004</v>
      </c>
      <c r="R23" s="11">
        <f t="shared" si="42"/>
        <v>0.20599999999999999</v>
      </c>
      <c r="S23" s="12">
        <f t="shared" si="43"/>
        <v>-451</v>
      </c>
      <c r="T23" s="12">
        <f t="shared" si="44"/>
        <v>1804</v>
      </c>
      <c r="U23" s="12">
        <f t="shared" si="45"/>
        <v>330</v>
      </c>
      <c r="V23" s="13">
        <f t="shared" si="46"/>
        <v>262</v>
      </c>
      <c r="W23" s="15">
        <f t="shared" si="47"/>
        <v>2.2029999999999998</v>
      </c>
      <c r="X23" s="35"/>
      <c r="Y23" s="18">
        <f t="shared" si="48"/>
        <v>78.22</v>
      </c>
      <c r="Z23" s="18">
        <f t="shared" si="49"/>
        <v>111.813</v>
      </c>
      <c r="AA23" s="18">
        <f t="shared" si="50"/>
        <v>68.415999999999997</v>
      </c>
      <c r="AC23" s="23">
        <f t="shared" si="51"/>
        <v>363</v>
      </c>
      <c r="AD23" s="23">
        <f t="shared" si="52"/>
        <v>323.50805386849748</v>
      </c>
      <c r="AE23" s="23">
        <f t="shared" si="53"/>
        <v>284.78033472803349</v>
      </c>
      <c r="AF23" s="23">
        <f t="shared" si="54"/>
        <v>224.35105067985168</v>
      </c>
      <c r="AG23" s="23">
        <f t="shared" si="55"/>
        <v>172.96696315120712</v>
      </c>
      <c r="AH23" s="23">
        <f t="shared" si="56"/>
        <v>104.55069124423963</v>
      </c>
      <c r="AI23" s="23">
        <f t="shared" si="57"/>
        <v>67.288680177953538</v>
      </c>
    </row>
    <row r="24" spans="1:36">
      <c r="A24" s="29">
        <v>724</v>
      </c>
      <c r="B24" s="30">
        <v>640.79999999999995</v>
      </c>
      <c r="C24" s="30">
        <v>575.9520639147803</v>
      </c>
      <c r="D24" s="30">
        <v>511.27659574468083</v>
      </c>
      <c r="E24" s="30">
        <v>408.15286624203821</v>
      </c>
      <c r="F24" s="30">
        <v>318.27814569536423</v>
      </c>
      <c r="G24" s="30">
        <v>195.36585365853659</v>
      </c>
      <c r="H24" s="31">
        <v>126.80738786279683</v>
      </c>
      <c r="I24" s="9">
        <f t="shared" si="33"/>
        <v>0.64079999999999993</v>
      </c>
      <c r="J24" s="8">
        <f t="shared" si="34"/>
        <v>3.8808135922807914</v>
      </c>
      <c r="K24" s="8">
        <f t="shared" si="35"/>
        <v>4.2329961103921541</v>
      </c>
      <c r="L24" s="8">
        <f t="shared" si="36"/>
        <v>4.5851786285035168</v>
      </c>
      <c r="M24" s="8">
        <f t="shared" si="37"/>
        <v>4.8350561017201166</v>
      </c>
      <c r="N24" s="8">
        <f t="shared" si="38"/>
        <v>5.1872386198314784</v>
      </c>
      <c r="O24" s="8">
        <f t="shared" si="39"/>
        <v>5.4371160930480782</v>
      </c>
      <c r="P24" s="11">
        <f t="shared" si="40"/>
        <v>0.18999999999999992</v>
      </c>
      <c r="Q24" s="11">
        <f t="shared" si="41"/>
        <v>2.0000000000000004</v>
      </c>
      <c r="R24" s="11">
        <f t="shared" si="42"/>
        <v>0.19</v>
      </c>
      <c r="S24" s="12">
        <f t="shared" si="43"/>
        <v>-277</v>
      </c>
      <c r="T24" s="12">
        <f t="shared" si="44"/>
        <v>1108</v>
      </c>
      <c r="U24" s="12">
        <f t="shared" si="45"/>
        <v>344</v>
      </c>
      <c r="V24" s="13">
        <f t="shared" si="46"/>
        <v>478</v>
      </c>
      <c r="W24" s="15">
        <f t="shared" si="47"/>
        <v>2.294</v>
      </c>
      <c r="X24" s="35"/>
      <c r="Y24" s="18">
        <f t="shared" si="48"/>
        <v>129.523</v>
      </c>
      <c r="Z24" s="18">
        <f t="shared" si="49"/>
        <v>192.99799999999999</v>
      </c>
      <c r="AA24" s="18">
        <f t="shared" si="50"/>
        <v>122.91200000000001</v>
      </c>
      <c r="AC24" s="23">
        <f t="shared" si="51"/>
        <v>640.79999999999995</v>
      </c>
      <c r="AD24" s="23">
        <f t="shared" si="52"/>
        <v>575.9520639147803</v>
      </c>
      <c r="AE24" s="23">
        <f t="shared" si="53"/>
        <v>511.27659574468083</v>
      </c>
      <c r="AF24" s="23">
        <f t="shared" si="54"/>
        <v>408.15286624203821</v>
      </c>
      <c r="AG24" s="23">
        <f t="shared" si="55"/>
        <v>318.27814569536423</v>
      </c>
      <c r="AH24" s="23">
        <f t="shared" si="56"/>
        <v>195.36585365853659</v>
      </c>
      <c r="AI24" s="23">
        <f t="shared" si="57"/>
        <v>126.80738786279683</v>
      </c>
    </row>
    <row r="25" spans="1:36">
      <c r="A25" s="29">
        <v>715</v>
      </c>
      <c r="B25" s="30">
        <v>618.5</v>
      </c>
      <c r="C25" s="30">
        <v>555.90878828229029</v>
      </c>
      <c r="D25" s="30">
        <v>493.4840425531915</v>
      </c>
      <c r="E25" s="30">
        <v>393.94904458598728</v>
      </c>
      <c r="F25" s="30">
        <v>307.20198675496687</v>
      </c>
      <c r="G25" s="30">
        <v>188.5670731707317</v>
      </c>
      <c r="H25" s="31">
        <v>122.39445910290237</v>
      </c>
      <c r="I25" s="9">
        <f t="shared" si="33"/>
        <v>0.61850000000000005</v>
      </c>
      <c r="J25" s="8">
        <f t="shared" si="34"/>
        <v>3.8808135922807914</v>
      </c>
      <c r="K25" s="8">
        <f t="shared" si="35"/>
        <v>4.2329961103921541</v>
      </c>
      <c r="L25" s="8">
        <f t="shared" si="36"/>
        <v>4.5851786285035168</v>
      </c>
      <c r="M25" s="8">
        <f t="shared" si="37"/>
        <v>4.8350561017201166</v>
      </c>
      <c r="N25" s="8">
        <f t="shared" si="38"/>
        <v>5.1872386198314784</v>
      </c>
      <c r="O25" s="8">
        <f t="shared" si="39"/>
        <v>5.4371160930480782</v>
      </c>
      <c r="P25" s="11">
        <f t="shared" si="40"/>
        <v>0.18999999999999992</v>
      </c>
      <c r="Q25" s="11">
        <f t="shared" si="41"/>
        <v>2.0000000000000004</v>
      </c>
      <c r="R25" s="11">
        <f t="shared" si="42"/>
        <v>0.19</v>
      </c>
      <c r="S25" s="12">
        <f t="shared" si="43"/>
        <v>-287</v>
      </c>
      <c r="T25" s="12">
        <f t="shared" si="44"/>
        <v>1148</v>
      </c>
      <c r="U25" s="12">
        <f t="shared" si="45"/>
        <v>344</v>
      </c>
      <c r="V25" s="13">
        <f t="shared" si="46"/>
        <v>461</v>
      </c>
      <c r="W25" s="15">
        <f t="shared" si="47"/>
        <v>2.294</v>
      </c>
      <c r="X25" s="35"/>
      <c r="Y25" s="18">
        <f t="shared" si="48"/>
        <v>125.01600000000001</v>
      </c>
      <c r="Z25" s="18">
        <f t="shared" si="49"/>
        <v>186.28200000000001</v>
      </c>
      <c r="AA25" s="18">
        <f t="shared" si="50"/>
        <v>118.63500000000001</v>
      </c>
      <c r="AC25" s="23">
        <f t="shared" si="51"/>
        <v>618.5</v>
      </c>
      <c r="AD25" s="23">
        <f t="shared" si="52"/>
        <v>555.90878828229029</v>
      </c>
      <c r="AE25" s="23">
        <f t="shared" si="53"/>
        <v>493.4840425531915</v>
      </c>
      <c r="AF25" s="23">
        <f t="shared" si="54"/>
        <v>393.94904458598728</v>
      </c>
      <c r="AG25" s="23">
        <f t="shared" si="55"/>
        <v>307.20198675496687</v>
      </c>
      <c r="AH25" s="23">
        <f t="shared" si="56"/>
        <v>188.5670731707317</v>
      </c>
      <c r="AI25" s="23">
        <f t="shared" si="57"/>
        <v>122.39445910290237</v>
      </c>
    </row>
    <row r="26" spans="1:36">
      <c r="A26" s="29">
        <v>712</v>
      </c>
      <c r="B26" s="30">
        <v>611.20000000000005</v>
      </c>
      <c r="C26" s="30">
        <v>548.76296887470073</v>
      </c>
      <c r="D26" s="30">
        <v>486.62420382165607</v>
      </c>
      <c r="E26" s="30">
        <v>387.81725888324871</v>
      </c>
      <c r="F26" s="30">
        <v>301.97628458498025</v>
      </c>
      <c r="G26" s="30">
        <v>184.98789346246974</v>
      </c>
      <c r="H26" s="31">
        <v>119.93720565149137</v>
      </c>
      <c r="I26" s="9">
        <f t="shared" si="33"/>
        <v>0.61120000000000008</v>
      </c>
      <c r="J26" s="8">
        <f t="shared" si="34"/>
        <v>3.8853612200315122</v>
      </c>
      <c r="K26" s="8">
        <f t="shared" si="35"/>
        <v>4.2375437381428744</v>
      </c>
      <c r="L26" s="8">
        <f t="shared" si="36"/>
        <v>4.5897262562542371</v>
      </c>
      <c r="M26" s="8">
        <f t="shared" si="37"/>
        <v>4.8396037294708369</v>
      </c>
      <c r="N26" s="8">
        <f t="shared" si="38"/>
        <v>5.1917862475821996</v>
      </c>
      <c r="O26" s="8">
        <f t="shared" si="39"/>
        <v>5.4416637207987995</v>
      </c>
      <c r="P26" s="11">
        <f t="shared" si="40"/>
        <v>0.19199999999999981</v>
      </c>
      <c r="Q26" s="11">
        <f t="shared" si="41"/>
        <v>2.0000000000000009</v>
      </c>
      <c r="R26" s="11">
        <f t="shared" si="42"/>
        <v>0.192</v>
      </c>
      <c r="S26" s="12">
        <f t="shared" si="43"/>
        <v>-288</v>
      </c>
      <c r="T26" s="12">
        <f t="shared" si="44"/>
        <v>1152</v>
      </c>
      <c r="U26" s="12">
        <f t="shared" si="45"/>
        <v>342</v>
      </c>
      <c r="V26" s="13">
        <f t="shared" si="46"/>
        <v>454</v>
      </c>
      <c r="W26" s="15">
        <f t="shared" si="47"/>
        <v>2.282</v>
      </c>
      <c r="X26" s="35"/>
      <c r="Y26" s="18">
        <f t="shared" si="48"/>
        <v>124.57599999999999</v>
      </c>
      <c r="Z26" s="18">
        <f t="shared" si="49"/>
        <v>184.648</v>
      </c>
      <c r="AA26" s="18">
        <f t="shared" si="50"/>
        <v>116.988</v>
      </c>
      <c r="AC26" s="23">
        <f t="shared" si="51"/>
        <v>611.20000000000005</v>
      </c>
      <c r="AD26" s="23">
        <f t="shared" si="52"/>
        <v>548.76296887470073</v>
      </c>
      <c r="AE26" s="23">
        <f t="shared" si="53"/>
        <v>486.62420382165607</v>
      </c>
      <c r="AF26" s="23">
        <f t="shared" si="54"/>
        <v>387.81725888324871</v>
      </c>
      <c r="AG26" s="23">
        <f t="shared" si="55"/>
        <v>301.97628458498025</v>
      </c>
      <c r="AH26" s="23">
        <f t="shared" si="56"/>
        <v>184.98789346246974</v>
      </c>
      <c r="AI26" s="23">
        <f t="shared" si="57"/>
        <v>119.93720565149137</v>
      </c>
    </row>
    <row r="27" spans="1:36">
      <c r="A27" s="29">
        <v>710</v>
      </c>
      <c r="B27" s="30">
        <v>607.20000000000005</v>
      </c>
      <c r="C27" s="30">
        <v>544.5920807866064</v>
      </c>
      <c r="D27" s="30">
        <v>482.41525423728814</v>
      </c>
      <c r="E27" s="30">
        <v>383.81795195954487</v>
      </c>
      <c r="F27" s="30">
        <v>298.42726081258189</v>
      </c>
      <c r="G27" s="30">
        <v>182.45192307692307</v>
      </c>
      <c r="H27" s="31">
        <v>118.16294758692268</v>
      </c>
      <c r="I27" s="9">
        <f t="shared" si="33"/>
        <v>0.60720000000000007</v>
      </c>
      <c r="J27" s="8">
        <f t="shared" si="34"/>
        <v>3.8898617212581885</v>
      </c>
      <c r="K27" s="8">
        <f t="shared" si="35"/>
        <v>4.2420442393695508</v>
      </c>
      <c r="L27" s="8">
        <f t="shared" si="36"/>
        <v>4.5942267574809135</v>
      </c>
      <c r="M27" s="8">
        <f t="shared" si="37"/>
        <v>4.8441042306975133</v>
      </c>
      <c r="N27" s="8">
        <f t="shared" si="38"/>
        <v>5.196286748808876</v>
      </c>
      <c r="O27" s="8">
        <f t="shared" si="39"/>
        <v>5.4461642220254758</v>
      </c>
      <c r="P27" s="11">
        <f t="shared" si="40"/>
        <v>0.19399999999999976</v>
      </c>
      <c r="Q27" s="11">
        <f t="shared" si="41"/>
        <v>2.0000000000000009</v>
      </c>
      <c r="R27" s="11">
        <f t="shared" si="42"/>
        <v>0.19400000000000001</v>
      </c>
      <c r="S27" s="12">
        <f t="shared" si="43"/>
        <v>-287</v>
      </c>
      <c r="T27" s="12">
        <f t="shared" si="44"/>
        <v>1148</v>
      </c>
      <c r="U27" s="12">
        <f t="shared" si="45"/>
        <v>341</v>
      </c>
      <c r="V27" s="13">
        <f t="shared" si="46"/>
        <v>449</v>
      </c>
      <c r="W27" s="15">
        <f t="shared" si="47"/>
        <v>2.27</v>
      </c>
      <c r="X27" s="35"/>
      <c r="Y27" s="18">
        <f t="shared" si="48"/>
        <v>124.785</v>
      </c>
      <c r="Z27" s="18">
        <f t="shared" si="49"/>
        <v>183.988</v>
      </c>
      <c r="AA27" s="18">
        <f t="shared" si="50"/>
        <v>115.97499999999999</v>
      </c>
      <c r="AC27" s="23">
        <f t="shared" si="51"/>
        <v>607.20000000000005</v>
      </c>
      <c r="AD27" s="23">
        <f t="shared" si="52"/>
        <v>544.5920807866064</v>
      </c>
      <c r="AE27" s="23">
        <f t="shared" si="53"/>
        <v>482.41525423728814</v>
      </c>
      <c r="AF27" s="23">
        <f t="shared" si="54"/>
        <v>383.81795195954487</v>
      </c>
      <c r="AG27" s="23">
        <f t="shared" si="55"/>
        <v>298.42726081258189</v>
      </c>
      <c r="AH27" s="23">
        <f t="shared" si="56"/>
        <v>182.45192307692307</v>
      </c>
      <c r="AI27" s="23">
        <f t="shared" si="57"/>
        <v>118.16294758692268</v>
      </c>
    </row>
    <row r="28" spans="1:36">
      <c r="A28" s="29">
        <v>1372</v>
      </c>
      <c r="B28" s="30">
        <v>1012</v>
      </c>
      <c r="C28" s="30">
        <v>922.85868684139427</v>
      </c>
      <c r="D28" s="30">
        <v>831.32530120481931</v>
      </c>
      <c r="E28" s="30">
        <v>679.65077233042314</v>
      </c>
      <c r="F28" s="30">
        <v>541.36947218259627</v>
      </c>
      <c r="G28" s="30">
        <v>342.35453315290931</v>
      </c>
      <c r="H28" s="31">
        <v>226.02739726027397</v>
      </c>
      <c r="I28" s="9">
        <f t="shared" si="33"/>
        <v>1.012</v>
      </c>
      <c r="J28" s="8">
        <f t="shared" si="34"/>
        <v>3.8142475957319202</v>
      </c>
      <c r="K28" s="8">
        <f t="shared" si="35"/>
        <v>4.1664301138432824</v>
      </c>
      <c r="L28" s="8">
        <f t="shared" si="36"/>
        <v>4.5186126319546451</v>
      </c>
      <c r="M28" s="8">
        <f t="shared" si="37"/>
        <v>4.7684901051712449</v>
      </c>
      <c r="N28" s="8">
        <f t="shared" si="38"/>
        <v>5.1206726232826076</v>
      </c>
      <c r="O28" s="8">
        <f t="shared" si="39"/>
        <v>5.3705500964992074</v>
      </c>
      <c r="P28" s="11">
        <f t="shared" si="40"/>
        <v>0.16299999999999973</v>
      </c>
      <c r="Q28" s="11">
        <f t="shared" si="41"/>
        <v>2.0000000000000009</v>
      </c>
      <c r="R28" s="11">
        <f t="shared" si="42"/>
        <v>0.16300000000000001</v>
      </c>
      <c r="S28" s="12">
        <f t="shared" si="43"/>
        <v>-205</v>
      </c>
      <c r="T28" s="12">
        <f t="shared" si="44"/>
        <v>820</v>
      </c>
      <c r="U28" s="12">
        <f t="shared" si="45"/>
        <v>372</v>
      </c>
      <c r="V28" s="13">
        <f t="shared" si="46"/>
        <v>799</v>
      </c>
      <c r="W28" s="15">
        <f t="shared" si="47"/>
        <v>2.4769999999999999</v>
      </c>
      <c r="X28" s="35"/>
      <c r="Y28" s="18">
        <f t="shared" si="48"/>
        <v>180.67500000000001</v>
      </c>
      <c r="Z28" s="18">
        <f t="shared" si="49"/>
        <v>289.95600000000002</v>
      </c>
      <c r="AA28" s="18">
        <f t="shared" si="50"/>
        <v>199.01499999999999</v>
      </c>
      <c r="AC28" s="23">
        <f t="shared" si="51"/>
        <v>1012</v>
      </c>
      <c r="AD28" s="23">
        <f t="shared" si="52"/>
        <v>922.85868684139427</v>
      </c>
      <c r="AE28" s="23">
        <f t="shared" si="53"/>
        <v>831.32530120481931</v>
      </c>
      <c r="AF28" s="23">
        <f t="shared" si="54"/>
        <v>679.65077233042314</v>
      </c>
      <c r="AG28" s="23">
        <f t="shared" si="55"/>
        <v>541.36947218259627</v>
      </c>
      <c r="AH28" s="23">
        <f t="shared" si="56"/>
        <v>342.35453315290931</v>
      </c>
      <c r="AI28" s="23">
        <f t="shared" si="57"/>
        <v>226.02739726027397</v>
      </c>
    </row>
    <row r="29" spans="1:36">
      <c r="A29" s="29">
        <v>1407</v>
      </c>
      <c r="B29" s="30">
        <v>1025.4000000000001</v>
      </c>
      <c r="C29" s="30">
        <v>933.56487725923932</v>
      </c>
      <c r="D29" s="30">
        <v>839.5742358078603</v>
      </c>
      <c r="E29" s="30">
        <v>684.51268357810409</v>
      </c>
      <c r="F29" s="30">
        <v>543.88260254596889</v>
      </c>
      <c r="G29" s="30">
        <v>342.71390374331548</v>
      </c>
      <c r="H29" s="31">
        <v>225.79271873165004</v>
      </c>
      <c r="I29" s="9">
        <f t="shared" si="33"/>
        <v>1.0254000000000001</v>
      </c>
      <c r="J29" s="8">
        <f t="shared" si="34"/>
        <v>3.8221680793680175</v>
      </c>
      <c r="K29" s="8">
        <f t="shared" si="35"/>
        <v>4.1743505974793802</v>
      </c>
      <c r="L29" s="8">
        <f t="shared" si="36"/>
        <v>4.5265331155907429</v>
      </c>
      <c r="M29" s="8">
        <f t="shared" si="37"/>
        <v>4.7764105888073427</v>
      </c>
      <c r="N29" s="8">
        <f t="shared" si="38"/>
        <v>5.1285931069187045</v>
      </c>
      <c r="O29" s="8">
        <f t="shared" si="39"/>
        <v>5.3784705801353043</v>
      </c>
      <c r="P29" s="11">
        <f t="shared" si="40"/>
        <v>0.16599999999999993</v>
      </c>
      <c r="Q29" s="11">
        <f t="shared" si="41"/>
        <v>2.0000000000000004</v>
      </c>
      <c r="R29" s="11">
        <f t="shared" si="42"/>
        <v>0.16600000000000001</v>
      </c>
      <c r="S29" s="12">
        <f t="shared" si="43"/>
        <v>-198</v>
      </c>
      <c r="T29" s="12">
        <f t="shared" si="44"/>
        <v>792</v>
      </c>
      <c r="U29" s="12">
        <f t="shared" si="45"/>
        <v>368</v>
      </c>
      <c r="V29" s="13">
        <f t="shared" si="46"/>
        <v>804</v>
      </c>
      <c r="W29" s="15">
        <f t="shared" si="47"/>
        <v>2.4540000000000002</v>
      </c>
      <c r="X29" s="35"/>
      <c r="Y29" s="18">
        <f t="shared" si="48"/>
        <v>185.82599999999999</v>
      </c>
      <c r="Z29" s="18">
        <f t="shared" si="49"/>
        <v>295.69200000000001</v>
      </c>
      <c r="AA29" s="18">
        <f t="shared" si="50"/>
        <v>201.16900000000001</v>
      </c>
      <c r="AC29" s="23">
        <f t="shared" si="51"/>
        <v>1025.4000000000001</v>
      </c>
      <c r="AD29" s="23">
        <f t="shared" si="52"/>
        <v>933.56487725923932</v>
      </c>
      <c r="AE29" s="23">
        <f t="shared" si="53"/>
        <v>839.5742358078603</v>
      </c>
      <c r="AF29" s="23">
        <f t="shared" si="54"/>
        <v>684.51268357810409</v>
      </c>
      <c r="AG29" s="23">
        <f t="shared" si="55"/>
        <v>543.88260254596889</v>
      </c>
      <c r="AH29" s="23">
        <f t="shared" si="56"/>
        <v>342.71390374331548</v>
      </c>
      <c r="AI29" s="23">
        <f t="shared" si="57"/>
        <v>225.79271873165004</v>
      </c>
    </row>
    <row r="30" spans="1:36">
      <c r="A30" s="29">
        <v>1404</v>
      </c>
      <c r="B30" s="30">
        <v>1020.2</v>
      </c>
      <c r="C30" s="30">
        <v>929.83391844450466</v>
      </c>
      <c r="D30" s="30">
        <v>837.14442013129121</v>
      </c>
      <c r="E30" s="30">
        <v>683.78016085790898</v>
      </c>
      <c r="F30" s="30">
        <v>544.20341394025616</v>
      </c>
      <c r="G30" s="30">
        <v>343.73315363881409</v>
      </c>
      <c r="H30" s="31">
        <v>226.77830468286905</v>
      </c>
      <c r="I30" s="9">
        <f t="shared" si="33"/>
        <v>1.0202</v>
      </c>
      <c r="J30" s="8">
        <f t="shared" si="34"/>
        <v>3.8169038393756591</v>
      </c>
      <c r="K30" s="8">
        <f t="shared" si="35"/>
        <v>4.1690863574870223</v>
      </c>
      <c r="L30" s="8">
        <f t="shared" si="36"/>
        <v>4.521268875598385</v>
      </c>
      <c r="M30" s="8">
        <f t="shared" si="37"/>
        <v>4.7711463488149848</v>
      </c>
      <c r="N30" s="8">
        <f t="shared" si="38"/>
        <v>5.1233288669263475</v>
      </c>
      <c r="O30" s="8">
        <f t="shared" si="39"/>
        <v>5.3732063401429473</v>
      </c>
      <c r="P30" s="11">
        <f t="shared" si="40"/>
        <v>0.16399999999999798</v>
      </c>
      <c r="Q30" s="11">
        <f t="shared" si="41"/>
        <v>2.0000000000000018</v>
      </c>
      <c r="R30" s="11">
        <f t="shared" si="42"/>
        <v>0.16400000000000001</v>
      </c>
      <c r="S30" s="12">
        <f t="shared" si="43"/>
        <v>-202</v>
      </c>
      <c r="T30" s="12">
        <f t="shared" si="44"/>
        <v>808</v>
      </c>
      <c r="U30" s="12">
        <f t="shared" si="45"/>
        <v>370</v>
      </c>
      <c r="V30" s="13">
        <f t="shared" si="46"/>
        <v>804</v>
      </c>
      <c r="W30" s="15">
        <f t="shared" si="47"/>
        <v>2.4689999999999999</v>
      </c>
      <c r="X30" s="35"/>
      <c r="Y30" s="18">
        <f t="shared" si="48"/>
        <v>183.05600000000001</v>
      </c>
      <c r="Z30" s="18">
        <f t="shared" si="49"/>
        <v>292.94099999999997</v>
      </c>
      <c r="AA30" s="18">
        <f t="shared" si="50"/>
        <v>200.47</v>
      </c>
      <c r="AC30" s="23">
        <f t="shared" si="51"/>
        <v>1020.2000000000003</v>
      </c>
      <c r="AD30" s="23">
        <f t="shared" si="52"/>
        <v>929.83391844450466</v>
      </c>
      <c r="AE30" s="23">
        <f t="shared" si="53"/>
        <v>837.14442013129121</v>
      </c>
      <c r="AF30" s="23">
        <f t="shared" si="54"/>
        <v>683.78016085790898</v>
      </c>
      <c r="AG30" s="23">
        <f t="shared" si="55"/>
        <v>544.20341394025616</v>
      </c>
      <c r="AH30" s="23">
        <f t="shared" si="56"/>
        <v>343.73315363881409</v>
      </c>
      <c r="AI30" s="23">
        <f t="shared" si="57"/>
        <v>226.77830468286905</v>
      </c>
    </row>
    <row r="31" spans="1:36" ht="13.5" thickBot="1">
      <c r="A31" s="32">
        <v>1396</v>
      </c>
      <c r="B31" s="33">
        <v>1016.7</v>
      </c>
      <c r="C31" s="33">
        <v>926.14372469635646</v>
      </c>
      <c r="D31" s="33">
        <v>833.36065573770509</v>
      </c>
      <c r="E31" s="33">
        <v>680.06688963210718</v>
      </c>
      <c r="F31" s="33">
        <v>540.79787234042567</v>
      </c>
      <c r="G31" s="33">
        <v>341.1744966442954</v>
      </c>
      <c r="H31" s="34">
        <v>224.93362831858411</v>
      </c>
      <c r="I31" s="9">
        <f t="shared" si="33"/>
        <v>1.0166999999999999</v>
      </c>
      <c r="J31" s="8">
        <f t="shared" si="34"/>
        <v>3.8195439355418679</v>
      </c>
      <c r="K31" s="8">
        <f t="shared" si="35"/>
        <v>4.171726453653231</v>
      </c>
      <c r="L31" s="8">
        <f t="shared" si="36"/>
        <v>4.5239089717645928</v>
      </c>
      <c r="M31" s="8">
        <f t="shared" si="37"/>
        <v>4.7737864449811935</v>
      </c>
      <c r="N31" s="8">
        <f t="shared" si="38"/>
        <v>5.1259689630925562</v>
      </c>
      <c r="O31" s="8">
        <f t="shared" si="39"/>
        <v>5.375846436309156</v>
      </c>
      <c r="P31" s="11">
        <f t="shared" si="40"/>
        <v>0.16499999999999845</v>
      </c>
      <c r="Q31" s="11">
        <f t="shared" si="41"/>
        <v>2.0000000000000018</v>
      </c>
      <c r="R31" s="11">
        <f t="shared" si="42"/>
        <v>0.16500000000000001</v>
      </c>
      <c r="S31" s="12">
        <f t="shared" si="43"/>
        <v>-201</v>
      </c>
      <c r="T31" s="12">
        <f t="shared" si="44"/>
        <v>804</v>
      </c>
      <c r="U31" s="12">
        <f t="shared" si="45"/>
        <v>369</v>
      </c>
      <c r="V31" s="13">
        <f t="shared" si="46"/>
        <v>799</v>
      </c>
      <c r="W31" s="15">
        <f t="shared" si="47"/>
        <v>2.4620000000000002</v>
      </c>
      <c r="X31" s="35"/>
      <c r="Y31" s="18">
        <f t="shared" si="48"/>
        <v>183.339</v>
      </c>
      <c r="Z31" s="18">
        <f t="shared" si="49"/>
        <v>292.56299999999999</v>
      </c>
      <c r="AA31" s="18">
        <f t="shared" si="50"/>
        <v>199.62299999999999</v>
      </c>
      <c r="AC31" s="23">
        <f t="shared" si="51"/>
        <v>1016.7000000000003</v>
      </c>
      <c r="AD31" s="23">
        <f t="shared" si="52"/>
        <v>926.14372469635646</v>
      </c>
      <c r="AE31" s="23">
        <f t="shared" si="53"/>
        <v>833.36065573770509</v>
      </c>
      <c r="AF31" s="23">
        <f t="shared" si="54"/>
        <v>680.06688963210718</v>
      </c>
      <c r="AG31" s="23">
        <f t="shared" si="55"/>
        <v>540.79787234042567</v>
      </c>
      <c r="AH31" s="23">
        <f t="shared" si="56"/>
        <v>341.1744966442954</v>
      </c>
      <c r="AI31" s="23">
        <f t="shared" si="57"/>
        <v>224.93362831858411</v>
      </c>
    </row>
    <row r="32" spans="1:36">
      <c r="A32" s="24">
        <f t="shared" ref="A32:W32" si="58">AVERAGE(A20:A23)</f>
        <v>381</v>
      </c>
      <c r="B32" s="24">
        <f t="shared" si="58"/>
        <v>372.92500000000001</v>
      </c>
      <c r="C32" s="24">
        <f t="shared" si="58"/>
        <v>332.18237998380795</v>
      </c>
      <c r="D32" s="24">
        <f t="shared" si="58"/>
        <v>292.26972867253909</v>
      </c>
      <c r="E32" s="24">
        <f t="shared" si="58"/>
        <v>230.07269311749457</v>
      </c>
      <c r="F32" s="24">
        <f t="shared" si="58"/>
        <v>177.26226524696651</v>
      </c>
      <c r="G32" s="24">
        <f t="shared" si="58"/>
        <v>107.05472002177581</v>
      </c>
      <c r="H32" s="24">
        <f t="shared" si="58"/>
        <v>68.868221079963575</v>
      </c>
      <c r="I32" s="24">
        <f t="shared" si="58"/>
        <v>0.37292500000000001</v>
      </c>
      <c r="J32" s="24">
        <f t="shared" si="58"/>
        <v>3.9180026806009014</v>
      </c>
      <c r="K32" s="24">
        <f t="shared" si="58"/>
        <v>4.2701851987122641</v>
      </c>
      <c r="L32" s="24">
        <f t="shared" si="58"/>
        <v>4.6223677168236268</v>
      </c>
      <c r="M32" s="24">
        <f t="shared" si="58"/>
        <v>4.8722451900402266</v>
      </c>
      <c r="N32" s="24">
        <f t="shared" si="58"/>
        <v>5.2244277081515875</v>
      </c>
      <c r="O32" s="24">
        <f t="shared" si="58"/>
        <v>5.4743051813681882</v>
      </c>
      <c r="P32" s="24">
        <f t="shared" si="58"/>
        <v>0.2069999999999998</v>
      </c>
      <c r="Q32" s="24">
        <f t="shared" si="58"/>
        <v>2</v>
      </c>
      <c r="R32" s="24">
        <f t="shared" si="58"/>
        <v>0.20699999999999999</v>
      </c>
      <c r="S32" s="24">
        <f t="shared" si="58"/>
        <v>-437.5</v>
      </c>
      <c r="T32" s="24">
        <f t="shared" si="58"/>
        <v>1750</v>
      </c>
      <c r="U32" s="24">
        <f t="shared" si="58"/>
        <v>329.5</v>
      </c>
      <c r="V32" s="24">
        <f t="shared" si="58"/>
        <v>269</v>
      </c>
      <c r="W32" s="24">
        <f t="shared" si="58"/>
        <v>2.198</v>
      </c>
      <c r="X32" s="36">
        <f>SLOPE(W32:W34,A32:A34)</f>
        <v>2.6413033150991035E-4</v>
      </c>
      <c r="Y32" s="24">
        <f>AVERAGE(Y20:Y23)</f>
        <v>80.655499999999989</v>
      </c>
      <c r="Z32" s="24">
        <f>AVERAGE(Z20:Z23)</f>
        <v>115.00725</v>
      </c>
      <c r="AA32" s="24">
        <f>AVERAGE(AA20:AA23)</f>
        <v>70.207250000000002</v>
      </c>
      <c r="AB32"/>
      <c r="AC32" s="24">
        <f t="shared" ref="AC32:AI32" si="59">AVERAGE(AC20:AC23)</f>
        <v>372.92499999999995</v>
      </c>
      <c r="AD32" s="24">
        <f t="shared" si="59"/>
        <v>332.18237998380795</v>
      </c>
      <c r="AE32" s="24">
        <f t="shared" si="59"/>
        <v>292.26972867253909</v>
      </c>
      <c r="AF32" s="24">
        <f t="shared" si="59"/>
        <v>230.07269311749457</v>
      </c>
      <c r="AG32" s="24">
        <f t="shared" si="59"/>
        <v>177.26226524696651</v>
      </c>
      <c r="AH32" s="24">
        <f t="shared" si="59"/>
        <v>107.05472002177581</v>
      </c>
      <c r="AI32" s="24">
        <f t="shared" si="59"/>
        <v>68.868221079963575</v>
      </c>
    </row>
    <row r="33" spans="1:36">
      <c r="A33" s="24">
        <f t="shared" ref="A33:W33" si="60">AVERAGE(A24:A27)</f>
        <v>715.25</v>
      </c>
      <c r="B33" s="24">
        <f t="shared" si="60"/>
        <v>619.42499999999995</v>
      </c>
      <c r="C33" s="24">
        <f t="shared" si="60"/>
        <v>556.30397546459437</v>
      </c>
      <c r="D33" s="24">
        <f t="shared" si="60"/>
        <v>493.45002408920413</v>
      </c>
      <c r="E33" s="24">
        <f t="shared" si="60"/>
        <v>393.43428041770477</v>
      </c>
      <c r="F33" s="24">
        <f t="shared" si="60"/>
        <v>306.47091946197332</v>
      </c>
      <c r="G33" s="24">
        <f t="shared" si="60"/>
        <v>187.84318584216527</v>
      </c>
      <c r="H33" s="24">
        <f t="shared" si="60"/>
        <v>121.82550005102831</v>
      </c>
      <c r="I33" s="24">
        <f t="shared" si="60"/>
        <v>0.61942500000000011</v>
      </c>
      <c r="J33" s="24">
        <f t="shared" si="60"/>
        <v>3.8842125314628211</v>
      </c>
      <c r="K33" s="24">
        <f t="shared" si="60"/>
        <v>4.2363950495741838</v>
      </c>
      <c r="L33" s="24">
        <f t="shared" si="60"/>
        <v>4.5885775676855465</v>
      </c>
      <c r="M33" s="24">
        <f t="shared" si="60"/>
        <v>4.8384550409021463</v>
      </c>
      <c r="N33" s="24">
        <f t="shared" si="60"/>
        <v>5.1906375590135081</v>
      </c>
      <c r="O33" s="24">
        <f t="shared" si="60"/>
        <v>5.4405150322301079</v>
      </c>
      <c r="P33" s="24">
        <f t="shared" si="60"/>
        <v>0.19149999999999984</v>
      </c>
      <c r="Q33" s="24">
        <f t="shared" si="60"/>
        <v>2.0000000000000009</v>
      </c>
      <c r="R33" s="24">
        <f t="shared" si="60"/>
        <v>0.1915</v>
      </c>
      <c r="S33" s="24">
        <f t="shared" si="60"/>
        <v>-284.75</v>
      </c>
      <c r="T33" s="24">
        <f t="shared" si="60"/>
        <v>1139</v>
      </c>
      <c r="U33" s="24">
        <f t="shared" si="60"/>
        <v>342.75</v>
      </c>
      <c r="V33" s="24">
        <f t="shared" si="60"/>
        <v>460.5</v>
      </c>
      <c r="W33" s="24">
        <f t="shared" si="60"/>
        <v>2.2850000000000001</v>
      </c>
      <c r="X33" s="24"/>
      <c r="Y33" s="24">
        <f>AVERAGE(Y24:Y27)</f>
        <v>125.97499999999999</v>
      </c>
      <c r="Z33" s="24">
        <f>AVERAGE(Z24:Z27)</f>
        <v>186.97899999999998</v>
      </c>
      <c r="AA33" s="24">
        <f>AVERAGE(AA24:AA27)</f>
        <v>118.6275</v>
      </c>
      <c r="AB33" s="24">
        <f>AC33/AC32</f>
        <v>1.6609908158476907</v>
      </c>
      <c r="AC33" s="24">
        <f t="shared" ref="AC33:AI33" si="61">AVERAGE(AC24:AC27)</f>
        <v>619.42499999999995</v>
      </c>
      <c r="AD33" s="24">
        <f t="shared" si="61"/>
        <v>556.30397546459437</v>
      </c>
      <c r="AE33" s="24">
        <f t="shared" si="61"/>
        <v>493.45002408920413</v>
      </c>
      <c r="AF33" s="24">
        <f t="shared" si="61"/>
        <v>393.43428041770477</v>
      </c>
      <c r="AG33" s="24">
        <f t="shared" si="61"/>
        <v>306.47091946197332</v>
      </c>
      <c r="AH33" s="24">
        <f t="shared" si="61"/>
        <v>187.84318584216527</v>
      </c>
      <c r="AI33" s="24">
        <f t="shared" si="61"/>
        <v>121.82550005102831</v>
      </c>
      <c r="AJ33" s="1">
        <f>AI33/AI32</f>
        <v>1.7689653971107446</v>
      </c>
    </row>
    <row r="34" spans="1:36" ht="13.5" thickBot="1">
      <c r="A34" s="24">
        <f t="shared" ref="A34:W34" si="62">AVERAGE(A28:A31)</f>
        <v>1394.75</v>
      </c>
      <c r="B34" s="24">
        <f t="shared" si="62"/>
        <v>1018.575</v>
      </c>
      <c r="C34" s="24">
        <f t="shared" si="62"/>
        <v>928.10030181037371</v>
      </c>
      <c r="D34" s="24">
        <f t="shared" si="62"/>
        <v>835.35115322041895</v>
      </c>
      <c r="E34" s="24">
        <f t="shared" si="62"/>
        <v>682.00262659963585</v>
      </c>
      <c r="F34" s="24">
        <f t="shared" si="62"/>
        <v>542.56334025231183</v>
      </c>
      <c r="G34" s="24">
        <f t="shared" si="62"/>
        <v>342.4940217948336</v>
      </c>
      <c r="H34" s="24">
        <f t="shared" si="62"/>
        <v>225.8830122483443</v>
      </c>
      <c r="I34" s="24">
        <f t="shared" si="62"/>
        <v>1.018575</v>
      </c>
      <c r="J34" s="24">
        <f t="shared" si="62"/>
        <v>3.8182158625043661</v>
      </c>
      <c r="K34" s="24">
        <f t="shared" si="62"/>
        <v>4.1703983806157288</v>
      </c>
      <c r="L34" s="24">
        <f t="shared" si="62"/>
        <v>4.5225808987270906</v>
      </c>
      <c r="M34" s="24">
        <f t="shared" si="62"/>
        <v>4.7724583719436913</v>
      </c>
      <c r="N34" s="24">
        <f t="shared" si="62"/>
        <v>5.124640890055054</v>
      </c>
      <c r="O34" s="24">
        <f t="shared" si="62"/>
        <v>5.3745183632716538</v>
      </c>
      <c r="P34" s="24">
        <f t="shared" si="62"/>
        <v>0.16449999999999901</v>
      </c>
      <c r="Q34" s="24">
        <f t="shared" si="62"/>
        <v>2.0000000000000013</v>
      </c>
      <c r="R34" s="24">
        <f t="shared" si="62"/>
        <v>0.16450000000000001</v>
      </c>
      <c r="S34" s="24">
        <f t="shared" si="62"/>
        <v>-201.5</v>
      </c>
      <c r="T34" s="24">
        <f t="shared" si="62"/>
        <v>806</v>
      </c>
      <c r="U34" s="24">
        <f t="shared" si="62"/>
        <v>369.75</v>
      </c>
      <c r="V34" s="24">
        <f t="shared" si="62"/>
        <v>801.5</v>
      </c>
      <c r="W34" s="24">
        <f t="shared" si="62"/>
        <v>2.4655</v>
      </c>
      <c r="X34" s="24"/>
      <c r="Y34" s="24">
        <f>AVERAGE(Y28:Y31)</f>
        <v>183.22399999999999</v>
      </c>
      <c r="Z34" s="24">
        <f>AVERAGE(Z28:Z31)</f>
        <v>292.78800000000001</v>
      </c>
      <c r="AA34" s="24">
        <f>AVERAGE(AA28:AA31)</f>
        <v>200.06925000000001</v>
      </c>
      <c r="AB34" s="24">
        <f>AC34/AC32</f>
        <v>2.7313132667426432</v>
      </c>
      <c r="AC34" s="24">
        <f t="shared" ref="AC34:AI34" si="63">AVERAGE(AC28:AC31)</f>
        <v>1018.5750000000002</v>
      </c>
      <c r="AD34" s="24">
        <f t="shared" si="63"/>
        <v>928.10030181037371</v>
      </c>
      <c r="AE34" s="24">
        <f t="shared" si="63"/>
        <v>835.35115322041895</v>
      </c>
      <c r="AF34" s="24">
        <f t="shared" si="63"/>
        <v>682.00262659963585</v>
      </c>
      <c r="AG34" s="24">
        <f t="shared" si="63"/>
        <v>542.56334025231183</v>
      </c>
      <c r="AH34" s="24">
        <f t="shared" si="63"/>
        <v>342.4940217948336</v>
      </c>
      <c r="AI34" s="24">
        <f t="shared" si="63"/>
        <v>225.8830122483443</v>
      </c>
      <c r="AJ34" s="1">
        <f>AI34/AI32</f>
        <v>3.2799309856729026</v>
      </c>
    </row>
    <row r="35" spans="1:36">
      <c r="A35" s="26">
        <v>370</v>
      </c>
      <c r="B35" s="27">
        <v>371.1</v>
      </c>
      <c r="C35" s="27">
        <v>337.13660834454919</v>
      </c>
      <c r="D35" s="27">
        <v>302.5271739130435</v>
      </c>
      <c r="E35" s="27">
        <v>245.76158940397355</v>
      </c>
      <c r="F35" s="27">
        <v>194.63286713286718</v>
      </c>
      <c r="G35" s="27">
        <v>122.07236842105264</v>
      </c>
      <c r="H35" s="28">
        <v>80.208933717579256</v>
      </c>
      <c r="I35" s="9">
        <f t="shared" ref="I35:I46" si="64">B35/1000</f>
        <v>0.37110000000000004</v>
      </c>
      <c r="J35" s="8">
        <f t="shared" ref="J35:J46" si="65">LOG10((((3*150*150)*B35)/C35)-((3*150*150)))</f>
        <v>3.8325089127062353</v>
      </c>
      <c r="K35" s="8">
        <f t="shared" ref="K35:K46" si="66">LOG10((((3*150*150)*B35)/D35)-((3*150*150)))</f>
        <v>4.1846914308175984</v>
      </c>
      <c r="L35" s="8">
        <f t="shared" ref="L35:L46" si="67">LOG10((((3*150*150)*B35)/E35)-((3*150*150)))</f>
        <v>4.5368739489289611</v>
      </c>
      <c r="M35" s="8">
        <f t="shared" ref="M35:M46" si="68">LOG10((((3*150*150)*B35)/F35)-((3*150*150)))</f>
        <v>4.7867514221455609</v>
      </c>
      <c r="N35" s="8">
        <f t="shared" ref="N35:N46" si="69">LOG10((((3*150*150)*B35)/G35)-((3*150*150)))</f>
        <v>5.1389339402569236</v>
      </c>
      <c r="O35" s="8">
        <f t="shared" ref="O35:O46" si="70">LOG10((((3*150*150)*B35)/H35)-((3*150*150)))</f>
        <v>5.3888114134735234</v>
      </c>
      <c r="P35" s="11">
        <f t="shared" ref="P35:P46" si="71">10^(INTERCEPT(J35:O35,$J$1:$O$1))</f>
        <v>0.16999999999999793</v>
      </c>
      <c r="Q35" s="11">
        <f t="shared" ref="Q35:Q46" si="72">LINEST(J35:O35,$J$1:$O$1)</f>
        <v>2.0000000000000018</v>
      </c>
      <c r="R35" s="11">
        <f t="shared" ref="R35:R46" si="73">ROUND(10^((SUM(J35:N35)-2*SUM($J$1:$N$1))/5),3)</f>
        <v>0.17</v>
      </c>
      <c r="S35" s="12">
        <f t="shared" ref="S35:S46" si="74">ROUND(-1.5*((150^2)/(R35*I35))/1000,0)</f>
        <v>-535</v>
      </c>
      <c r="T35" s="12">
        <f t="shared" ref="T35:T46" si="75">-4*S35</f>
        <v>2140</v>
      </c>
      <c r="U35" s="12">
        <f t="shared" ref="U35:U46" si="76">ROUND(150/(R35^0.5),0)</f>
        <v>364</v>
      </c>
      <c r="V35" s="13">
        <f t="shared" ref="V35:V46" si="77">ROUND(150*I35*ATAN((1800*SQRT(3*R35))/(3*150))*SQRT(3/(R35)),0)</f>
        <v>289</v>
      </c>
      <c r="W35" s="15">
        <f t="shared" ref="W35:W46" si="78">ROUND(1/SQRT(R35),3)</f>
        <v>2.4249999999999998</v>
      </c>
      <c r="X35" s="36">
        <f>SLOPE(W35:W46,A35:A46)</f>
        <v>2.1087965746778442E-4</v>
      </c>
      <c r="Y35" s="18">
        <f t="shared" ref="Y35:Y46" si="79">ROUND(B35-D35,3)</f>
        <v>68.572999999999993</v>
      </c>
      <c r="Z35" s="18">
        <f t="shared" ref="Z35:Z46" si="80">ROUND(D35-F35,3)</f>
        <v>107.89400000000001</v>
      </c>
      <c r="AA35" s="18">
        <f t="shared" ref="AA35:AA46" si="81">ROUND(F35-G35,3)</f>
        <v>72.56</v>
      </c>
      <c r="AC35" s="23">
        <f t="shared" ref="AC35:AC46" si="82">((B35)*3*150^2)/(R35*$AC$3^2+3*150^2)</f>
        <v>371.10000000000008</v>
      </c>
      <c r="AD35" s="23">
        <f t="shared" ref="AD35:AD46" si="83">((B35)*3*150^2)/(R35*$AD$3^2+3*150^2)</f>
        <v>337.13660834454919</v>
      </c>
      <c r="AE35" s="23">
        <f t="shared" ref="AE35:AE46" si="84">((B35)*3*150^2)/(R35*$AE$3^2+3*150^2)</f>
        <v>302.5271739130435</v>
      </c>
      <c r="AF35" s="23">
        <f t="shared" ref="AF35:AF46" si="85">((B35)*3*150^2)/(R35*$AF$3^2+3*150^2)</f>
        <v>245.76158940397355</v>
      </c>
      <c r="AG35" s="23">
        <f t="shared" ref="AG35:AG46" si="86">((B35)*3*150^2)/(R35*$AG$3^2+3*150^2)</f>
        <v>194.63286713286718</v>
      </c>
      <c r="AH35" s="23">
        <f t="shared" ref="AH35:AH46" si="87">((B35)*3*150^2)/(R35*$AH$3^2+3*150^2)</f>
        <v>122.07236842105264</v>
      </c>
      <c r="AI35" s="23">
        <f t="shared" ref="AI35:AI46" si="88">((B35)*3*150^2)/(R35*$AI$3^2+3*150^2)</f>
        <v>80.208933717579256</v>
      </c>
    </row>
    <row r="36" spans="1:36">
      <c r="A36" s="29">
        <v>359</v>
      </c>
      <c r="B36" s="30">
        <v>353.3</v>
      </c>
      <c r="C36" s="30">
        <v>320.62046248991669</v>
      </c>
      <c r="D36" s="30">
        <v>287.3915401301519</v>
      </c>
      <c r="E36" s="30">
        <v>233.04749340369398</v>
      </c>
      <c r="F36" s="30">
        <v>184.26634214186373</v>
      </c>
      <c r="G36" s="30">
        <v>115.30678851174936</v>
      </c>
      <c r="H36" s="31">
        <v>75.663906339234728</v>
      </c>
      <c r="I36" s="9">
        <f t="shared" si="64"/>
        <v>0.3533</v>
      </c>
      <c r="J36" s="8">
        <f t="shared" si="65"/>
        <v>3.8375884382355103</v>
      </c>
      <c r="K36" s="8">
        <f t="shared" si="66"/>
        <v>4.189770956346873</v>
      </c>
      <c r="L36" s="8">
        <f t="shared" si="67"/>
        <v>4.5419534744582357</v>
      </c>
      <c r="M36" s="8">
        <f t="shared" si="68"/>
        <v>4.7918309476748364</v>
      </c>
      <c r="N36" s="8">
        <f t="shared" si="69"/>
        <v>5.1440134657861982</v>
      </c>
      <c r="O36" s="8">
        <f t="shared" si="70"/>
        <v>5.3938909390027989</v>
      </c>
      <c r="P36" s="11">
        <f t="shared" si="71"/>
        <v>0.1719999999999971</v>
      </c>
      <c r="Q36" s="11">
        <f t="shared" si="72"/>
        <v>2.0000000000000022</v>
      </c>
      <c r="R36" s="11">
        <f t="shared" si="73"/>
        <v>0.17199999999999999</v>
      </c>
      <c r="S36" s="12">
        <f t="shared" si="74"/>
        <v>-555</v>
      </c>
      <c r="T36" s="12">
        <f t="shared" si="75"/>
        <v>2220</v>
      </c>
      <c r="U36" s="12">
        <f t="shared" si="76"/>
        <v>362</v>
      </c>
      <c r="V36" s="13">
        <f t="shared" si="77"/>
        <v>274</v>
      </c>
      <c r="W36" s="15">
        <f t="shared" si="78"/>
        <v>2.411</v>
      </c>
      <c r="X36" s="35"/>
      <c r="Y36" s="18">
        <f t="shared" si="79"/>
        <v>65.908000000000001</v>
      </c>
      <c r="Z36" s="18">
        <f t="shared" si="80"/>
        <v>103.125</v>
      </c>
      <c r="AA36" s="18">
        <f t="shared" si="81"/>
        <v>68.959999999999994</v>
      </c>
      <c r="AC36" s="23">
        <f t="shared" si="82"/>
        <v>353.30000000000007</v>
      </c>
      <c r="AD36" s="23">
        <f t="shared" si="83"/>
        <v>320.62046248991669</v>
      </c>
      <c r="AE36" s="23">
        <f t="shared" si="84"/>
        <v>287.3915401301519</v>
      </c>
      <c r="AF36" s="23">
        <f t="shared" si="85"/>
        <v>233.04749340369398</v>
      </c>
      <c r="AG36" s="23">
        <f t="shared" si="86"/>
        <v>184.26634214186373</v>
      </c>
      <c r="AH36" s="23">
        <f t="shared" si="87"/>
        <v>115.30678851174936</v>
      </c>
      <c r="AI36" s="23">
        <f t="shared" si="88"/>
        <v>75.663906339234728</v>
      </c>
    </row>
    <row r="37" spans="1:36">
      <c r="A37" s="29">
        <v>360</v>
      </c>
      <c r="B37" s="30">
        <v>346.2</v>
      </c>
      <c r="C37" s="30">
        <v>314.34624697336557</v>
      </c>
      <c r="D37" s="30">
        <v>281.92182410423447</v>
      </c>
      <c r="E37" s="30">
        <v>228.81692002643751</v>
      </c>
      <c r="F37" s="30">
        <v>181.06694560669453</v>
      </c>
      <c r="G37" s="30">
        <v>113.43381389252947</v>
      </c>
      <c r="H37" s="31">
        <v>74.483648881239233</v>
      </c>
      <c r="I37" s="9">
        <f t="shared" si="64"/>
        <v>0.34620000000000001</v>
      </c>
      <c r="J37" s="8">
        <f t="shared" si="65"/>
        <v>3.835056101720117</v>
      </c>
      <c r="K37" s="8">
        <f t="shared" si="66"/>
        <v>4.1872386198314793</v>
      </c>
      <c r="L37" s="8">
        <f t="shared" si="67"/>
        <v>4.5394211379428411</v>
      </c>
      <c r="M37" s="8">
        <f t="shared" si="68"/>
        <v>4.7892986111594409</v>
      </c>
      <c r="N37" s="8">
        <f t="shared" si="69"/>
        <v>5.1414811292708036</v>
      </c>
      <c r="O37" s="8">
        <f t="shared" si="70"/>
        <v>5.3913586024874034</v>
      </c>
      <c r="P37" s="11">
        <f t="shared" si="71"/>
        <v>0.1710000000000004</v>
      </c>
      <c r="Q37" s="11">
        <f t="shared" si="72"/>
        <v>1.9999999999999996</v>
      </c>
      <c r="R37" s="11">
        <f t="shared" si="73"/>
        <v>0.17100000000000001</v>
      </c>
      <c r="S37" s="12">
        <f t="shared" si="74"/>
        <v>-570</v>
      </c>
      <c r="T37" s="12">
        <f t="shared" si="75"/>
        <v>2280</v>
      </c>
      <c r="U37" s="12">
        <f t="shared" si="76"/>
        <v>363</v>
      </c>
      <c r="V37" s="13">
        <f t="shared" si="77"/>
        <v>269</v>
      </c>
      <c r="W37" s="15">
        <f t="shared" si="78"/>
        <v>2.4180000000000001</v>
      </c>
      <c r="X37" s="35"/>
      <c r="Y37" s="18">
        <f t="shared" si="79"/>
        <v>64.278000000000006</v>
      </c>
      <c r="Z37" s="18">
        <f t="shared" si="80"/>
        <v>100.855</v>
      </c>
      <c r="AA37" s="18">
        <f t="shared" si="81"/>
        <v>67.632999999999996</v>
      </c>
      <c r="AC37" s="23">
        <f t="shared" si="82"/>
        <v>346.19999999999993</v>
      </c>
      <c r="AD37" s="23">
        <f t="shared" si="83"/>
        <v>314.34624697336557</v>
      </c>
      <c r="AE37" s="23">
        <f t="shared" si="84"/>
        <v>281.92182410423447</v>
      </c>
      <c r="AF37" s="23">
        <f t="shared" si="85"/>
        <v>228.81692002643751</v>
      </c>
      <c r="AG37" s="23">
        <f t="shared" si="86"/>
        <v>181.06694560669453</v>
      </c>
      <c r="AH37" s="23">
        <f t="shared" si="87"/>
        <v>113.43381389252947</v>
      </c>
      <c r="AI37" s="23">
        <f t="shared" si="88"/>
        <v>74.483648881239233</v>
      </c>
    </row>
    <row r="38" spans="1:36">
      <c r="A38" s="29">
        <v>363</v>
      </c>
      <c r="B38" s="30">
        <v>347.2</v>
      </c>
      <c r="C38" s="30">
        <v>314.74617244157935</v>
      </c>
      <c r="D38" s="30">
        <v>281.81818181818176</v>
      </c>
      <c r="E38" s="30">
        <v>228.12089356110377</v>
      </c>
      <c r="F38" s="30">
        <v>180.08298755186721</v>
      </c>
      <c r="G38" s="30">
        <v>112.43523316062175</v>
      </c>
      <c r="H38" s="31">
        <v>73.68421052631578</v>
      </c>
      <c r="I38" s="9">
        <f t="shared" si="64"/>
        <v>0.34720000000000001</v>
      </c>
      <c r="J38" s="8">
        <f t="shared" si="65"/>
        <v>3.842609239610562</v>
      </c>
      <c r="K38" s="8">
        <f t="shared" si="66"/>
        <v>4.1947917577219247</v>
      </c>
      <c r="L38" s="8">
        <f t="shared" si="67"/>
        <v>4.5469742758332874</v>
      </c>
      <c r="M38" s="8">
        <f t="shared" si="68"/>
        <v>4.7968517490498872</v>
      </c>
      <c r="N38" s="8">
        <f t="shared" si="69"/>
        <v>5.1490342671612499</v>
      </c>
      <c r="O38" s="8">
        <f t="shared" si="70"/>
        <v>5.3989117403778497</v>
      </c>
      <c r="P38" s="11">
        <f t="shared" si="71"/>
        <v>0.17399999999999882</v>
      </c>
      <c r="Q38" s="11">
        <f t="shared" si="72"/>
        <v>2.0000000000000013</v>
      </c>
      <c r="R38" s="11">
        <f t="shared" si="73"/>
        <v>0.17399999999999999</v>
      </c>
      <c r="S38" s="12">
        <f t="shared" si="74"/>
        <v>-559</v>
      </c>
      <c r="T38" s="12">
        <f t="shared" si="75"/>
        <v>2236</v>
      </c>
      <c r="U38" s="12">
        <f t="shared" si="76"/>
        <v>360</v>
      </c>
      <c r="V38" s="13">
        <f t="shared" si="77"/>
        <v>268</v>
      </c>
      <c r="W38" s="15">
        <f t="shared" si="78"/>
        <v>2.3969999999999998</v>
      </c>
      <c r="X38" s="35"/>
      <c r="Y38" s="18">
        <f t="shared" si="79"/>
        <v>65.382000000000005</v>
      </c>
      <c r="Z38" s="18">
        <f t="shared" si="80"/>
        <v>101.735</v>
      </c>
      <c r="AA38" s="18">
        <f t="shared" si="81"/>
        <v>67.647999999999996</v>
      </c>
      <c r="AC38" s="23">
        <f t="shared" si="82"/>
        <v>347.19999999999993</v>
      </c>
      <c r="AD38" s="23">
        <f t="shared" si="83"/>
        <v>314.74617244157935</v>
      </c>
      <c r="AE38" s="23">
        <f t="shared" si="84"/>
        <v>281.81818181818176</v>
      </c>
      <c r="AF38" s="23">
        <f t="shared" si="85"/>
        <v>228.12089356110377</v>
      </c>
      <c r="AG38" s="23">
        <f t="shared" si="86"/>
        <v>180.08298755186721</v>
      </c>
      <c r="AH38" s="23">
        <f t="shared" si="87"/>
        <v>112.43523316062175</v>
      </c>
      <c r="AI38" s="23">
        <f t="shared" si="88"/>
        <v>73.68421052631578</v>
      </c>
    </row>
    <row r="39" spans="1:36">
      <c r="A39" s="29">
        <v>692</v>
      </c>
      <c r="B39" s="30">
        <v>606.1</v>
      </c>
      <c r="C39" s="30">
        <v>552.71210483653078</v>
      </c>
      <c r="D39" s="30">
        <v>497.89156626506031</v>
      </c>
      <c r="E39" s="30">
        <v>407.05171255876434</v>
      </c>
      <c r="F39" s="30">
        <v>324.23323823109848</v>
      </c>
      <c r="G39" s="30">
        <v>205.04059539918813</v>
      </c>
      <c r="H39" s="31">
        <v>135.37075640262063</v>
      </c>
      <c r="I39" s="9">
        <f t="shared" si="64"/>
        <v>0.60609999999999997</v>
      </c>
      <c r="J39" s="8">
        <f t="shared" si="65"/>
        <v>3.8142475957319193</v>
      </c>
      <c r="K39" s="8">
        <f t="shared" si="66"/>
        <v>4.1664301138432824</v>
      </c>
      <c r="L39" s="8">
        <f t="shared" si="67"/>
        <v>4.5186126319546451</v>
      </c>
      <c r="M39" s="8">
        <f t="shared" si="68"/>
        <v>4.7684901051712449</v>
      </c>
      <c r="N39" s="8">
        <f t="shared" si="69"/>
        <v>5.1206726232826076</v>
      </c>
      <c r="O39" s="8">
        <f t="shared" si="70"/>
        <v>5.3705500964992074</v>
      </c>
      <c r="P39" s="11">
        <f t="shared" si="71"/>
        <v>0.16299999999999842</v>
      </c>
      <c r="Q39" s="11">
        <f t="shared" si="72"/>
        <v>2.0000000000000018</v>
      </c>
      <c r="R39" s="11">
        <f t="shared" si="73"/>
        <v>0.16300000000000001</v>
      </c>
      <c r="S39" s="12">
        <f t="shared" si="74"/>
        <v>-342</v>
      </c>
      <c r="T39" s="12">
        <f t="shared" si="75"/>
        <v>1368</v>
      </c>
      <c r="U39" s="12">
        <f t="shared" si="76"/>
        <v>372</v>
      </c>
      <c r="V39" s="13">
        <f t="shared" si="77"/>
        <v>479</v>
      </c>
      <c r="W39" s="15">
        <f t="shared" si="78"/>
        <v>2.4769999999999999</v>
      </c>
      <c r="X39" s="35"/>
      <c r="Y39" s="18">
        <f t="shared" si="79"/>
        <v>108.208</v>
      </c>
      <c r="Z39" s="18">
        <f t="shared" si="80"/>
        <v>173.65799999999999</v>
      </c>
      <c r="AA39" s="18">
        <f t="shared" si="81"/>
        <v>119.193</v>
      </c>
      <c r="AC39" s="23">
        <f t="shared" si="82"/>
        <v>606.10000000000014</v>
      </c>
      <c r="AD39" s="23">
        <f t="shared" si="83"/>
        <v>552.71210483653078</v>
      </c>
      <c r="AE39" s="23">
        <f t="shared" si="84"/>
        <v>497.89156626506031</v>
      </c>
      <c r="AF39" s="23">
        <f t="shared" si="85"/>
        <v>407.05171255876434</v>
      </c>
      <c r="AG39" s="23">
        <f t="shared" si="86"/>
        <v>324.23323823109848</v>
      </c>
      <c r="AH39" s="23">
        <f t="shared" si="87"/>
        <v>205.04059539918813</v>
      </c>
      <c r="AI39" s="23">
        <f t="shared" si="88"/>
        <v>135.37075640262063</v>
      </c>
    </row>
    <row r="40" spans="1:36">
      <c r="A40" s="29">
        <v>719</v>
      </c>
      <c r="B40" s="30">
        <v>614.5</v>
      </c>
      <c r="C40" s="30">
        <v>560.67518248175179</v>
      </c>
      <c r="D40" s="30">
        <v>505.34539473684208</v>
      </c>
      <c r="E40" s="30">
        <v>413.52624495289365</v>
      </c>
      <c r="F40" s="30">
        <v>329.66738197424894</v>
      </c>
      <c r="G40" s="30">
        <v>208.7296195652174</v>
      </c>
      <c r="H40" s="31">
        <v>137.90394973070019</v>
      </c>
      <c r="I40" s="9">
        <f t="shared" si="64"/>
        <v>0.61450000000000005</v>
      </c>
      <c r="J40" s="8">
        <f t="shared" si="65"/>
        <v>3.8115750058705933</v>
      </c>
      <c r="K40" s="8">
        <f t="shared" si="66"/>
        <v>4.163757523981956</v>
      </c>
      <c r="L40" s="8">
        <f t="shared" si="67"/>
        <v>4.5159400420933187</v>
      </c>
      <c r="M40" s="8">
        <f t="shared" si="68"/>
        <v>4.7658175153099185</v>
      </c>
      <c r="N40" s="8">
        <f t="shared" si="69"/>
        <v>5.1180000334212803</v>
      </c>
      <c r="O40" s="8">
        <f t="shared" si="70"/>
        <v>5.367877506637881</v>
      </c>
      <c r="P40" s="11">
        <f t="shared" si="71"/>
        <v>0.16199999999999956</v>
      </c>
      <c r="Q40" s="11">
        <f t="shared" si="72"/>
        <v>2.0000000000000004</v>
      </c>
      <c r="R40" s="11">
        <f t="shared" si="73"/>
        <v>0.16200000000000001</v>
      </c>
      <c r="S40" s="12">
        <f t="shared" si="74"/>
        <v>-339</v>
      </c>
      <c r="T40" s="12">
        <f t="shared" si="75"/>
        <v>1356</v>
      </c>
      <c r="U40" s="12">
        <f t="shared" si="76"/>
        <v>373</v>
      </c>
      <c r="V40" s="13">
        <f t="shared" si="77"/>
        <v>486</v>
      </c>
      <c r="W40" s="15">
        <f t="shared" si="78"/>
        <v>2.4849999999999999</v>
      </c>
      <c r="X40" s="35"/>
      <c r="Y40" s="18">
        <f t="shared" si="79"/>
        <v>109.155</v>
      </c>
      <c r="Z40" s="18">
        <f t="shared" si="80"/>
        <v>175.678</v>
      </c>
      <c r="AA40" s="18">
        <f t="shared" si="81"/>
        <v>120.938</v>
      </c>
      <c r="AC40" s="23">
        <f t="shared" si="82"/>
        <v>614.5</v>
      </c>
      <c r="AD40" s="23">
        <f t="shared" si="83"/>
        <v>560.67518248175179</v>
      </c>
      <c r="AE40" s="23">
        <f t="shared" si="84"/>
        <v>505.34539473684208</v>
      </c>
      <c r="AF40" s="23">
        <f t="shared" si="85"/>
        <v>413.52624495289365</v>
      </c>
      <c r="AG40" s="23">
        <f t="shared" si="86"/>
        <v>329.66738197424894</v>
      </c>
      <c r="AH40" s="23">
        <f t="shared" si="87"/>
        <v>208.7296195652174</v>
      </c>
      <c r="AI40" s="23">
        <f t="shared" si="88"/>
        <v>137.90394973070019</v>
      </c>
    </row>
    <row r="41" spans="1:36">
      <c r="A41" s="29">
        <v>711</v>
      </c>
      <c r="B41" s="30">
        <v>603.4</v>
      </c>
      <c r="C41" s="30">
        <v>550.54744525547437</v>
      </c>
      <c r="D41" s="30">
        <v>496.2171052631578</v>
      </c>
      <c r="E41" s="30">
        <v>406.05652759084785</v>
      </c>
      <c r="F41" s="30">
        <v>323.71244635193125</v>
      </c>
      <c r="G41" s="30">
        <v>204.95923913043475</v>
      </c>
      <c r="H41" s="31">
        <v>135.41292639138237</v>
      </c>
      <c r="I41" s="9">
        <f t="shared" si="64"/>
        <v>0.60339999999999994</v>
      </c>
      <c r="J41" s="8">
        <f t="shared" si="65"/>
        <v>3.8115750058705942</v>
      </c>
      <c r="K41" s="8">
        <f t="shared" si="66"/>
        <v>4.163757523981956</v>
      </c>
      <c r="L41" s="8">
        <f t="shared" si="67"/>
        <v>4.5159400420933187</v>
      </c>
      <c r="M41" s="8">
        <f t="shared" si="68"/>
        <v>4.7658175153099185</v>
      </c>
      <c r="N41" s="8">
        <f t="shared" si="69"/>
        <v>5.1180000334212812</v>
      </c>
      <c r="O41" s="8">
        <f t="shared" si="70"/>
        <v>5.367877506637881</v>
      </c>
      <c r="P41" s="11">
        <f t="shared" si="71"/>
        <v>0.16199999999999989</v>
      </c>
      <c r="Q41" s="11">
        <f t="shared" si="72"/>
        <v>2.0000000000000004</v>
      </c>
      <c r="R41" s="11">
        <f t="shared" si="73"/>
        <v>0.16200000000000001</v>
      </c>
      <c r="S41" s="12">
        <f t="shared" si="74"/>
        <v>-345</v>
      </c>
      <c r="T41" s="12">
        <f t="shared" si="75"/>
        <v>1380</v>
      </c>
      <c r="U41" s="12">
        <f t="shared" si="76"/>
        <v>373</v>
      </c>
      <c r="V41" s="13">
        <f t="shared" si="77"/>
        <v>478</v>
      </c>
      <c r="W41" s="15">
        <f t="shared" si="78"/>
        <v>2.4849999999999999</v>
      </c>
      <c r="X41" s="35"/>
      <c r="Y41" s="18">
        <f t="shared" si="79"/>
        <v>107.18300000000001</v>
      </c>
      <c r="Z41" s="18">
        <f t="shared" si="80"/>
        <v>172.505</v>
      </c>
      <c r="AA41" s="18">
        <f t="shared" si="81"/>
        <v>118.753</v>
      </c>
      <c r="AC41" s="23">
        <f t="shared" si="82"/>
        <v>603.39999999999986</v>
      </c>
      <c r="AD41" s="23">
        <f t="shared" si="83"/>
        <v>550.54744525547437</v>
      </c>
      <c r="AE41" s="23">
        <f t="shared" si="84"/>
        <v>496.2171052631578</v>
      </c>
      <c r="AF41" s="23">
        <f t="shared" si="85"/>
        <v>406.05652759084785</v>
      </c>
      <c r="AG41" s="23">
        <f t="shared" si="86"/>
        <v>323.71244635193125</v>
      </c>
      <c r="AH41" s="23">
        <f t="shared" si="87"/>
        <v>204.95923913043475</v>
      </c>
      <c r="AI41" s="23">
        <f t="shared" si="88"/>
        <v>135.41292639138237</v>
      </c>
    </row>
    <row r="42" spans="1:36">
      <c r="A42" s="29">
        <v>712</v>
      </c>
      <c r="B42" s="30">
        <v>600.29999999999995</v>
      </c>
      <c r="C42" s="30">
        <v>547.71897810218979</v>
      </c>
      <c r="D42" s="30">
        <v>493.66776315789474</v>
      </c>
      <c r="E42" s="30">
        <v>403.97039030955585</v>
      </c>
      <c r="F42" s="30">
        <v>322.04935622317595</v>
      </c>
      <c r="G42" s="30">
        <v>203.90625</v>
      </c>
      <c r="H42" s="31">
        <v>134.71723518850987</v>
      </c>
      <c r="I42" s="9">
        <f t="shared" si="64"/>
        <v>0.60029999999999994</v>
      </c>
      <c r="J42" s="8">
        <f t="shared" si="65"/>
        <v>3.8115750058705933</v>
      </c>
      <c r="K42" s="8">
        <f t="shared" si="66"/>
        <v>4.163757523981956</v>
      </c>
      <c r="L42" s="8">
        <f t="shared" si="67"/>
        <v>4.5159400420933187</v>
      </c>
      <c r="M42" s="8">
        <f t="shared" si="68"/>
        <v>4.7658175153099185</v>
      </c>
      <c r="N42" s="8">
        <f t="shared" si="69"/>
        <v>5.1180000334212803</v>
      </c>
      <c r="O42" s="8">
        <f t="shared" si="70"/>
        <v>5.367877506637881</v>
      </c>
      <c r="P42" s="11">
        <f t="shared" si="71"/>
        <v>0.16199999999999956</v>
      </c>
      <c r="Q42" s="11">
        <f t="shared" si="72"/>
        <v>2.0000000000000004</v>
      </c>
      <c r="R42" s="11">
        <f t="shared" si="73"/>
        <v>0.16200000000000001</v>
      </c>
      <c r="S42" s="12">
        <f t="shared" si="74"/>
        <v>-347</v>
      </c>
      <c r="T42" s="12">
        <f t="shared" si="75"/>
        <v>1388</v>
      </c>
      <c r="U42" s="12">
        <f t="shared" si="76"/>
        <v>373</v>
      </c>
      <c r="V42" s="13">
        <f t="shared" si="77"/>
        <v>475</v>
      </c>
      <c r="W42" s="15">
        <f t="shared" si="78"/>
        <v>2.4849999999999999</v>
      </c>
      <c r="X42" s="35"/>
      <c r="Y42" s="18">
        <f t="shared" si="79"/>
        <v>106.63200000000001</v>
      </c>
      <c r="Z42" s="18">
        <f t="shared" si="80"/>
        <v>171.61799999999999</v>
      </c>
      <c r="AA42" s="18">
        <f t="shared" si="81"/>
        <v>118.143</v>
      </c>
      <c r="AC42" s="23">
        <f t="shared" si="82"/>
        <v>600.29999999999995</v>
      </c>
      <c r="AD42" s="23">
        <f t="shared" si="83"/>
        <v>547.71897810218979</v>
      </c>
      <c r="AE42" s="23">
        <f t="shared" si="84"/>
        <v>493.66776315789474</v>
      </c>
      <c r="AF42" s="23">
        <f t="shared" si="85"/>
        <v>403.97039030955585</v>
      </c>
      <c r="AG42" s="23">
        <f t="shared" si="86"/>
        <v>322.04935622317595</v>
      </c>
      <c r="AH42" s="23">
        <f t="shared" si="87"/>
        <v>203.90625</v>
      </c>
      <c r="AI42" s="23">
        <f t="shared" si="88"/>
        <v>134.71723518850987</v>
      </c>
    </row>
    <row r="43" spans="1:36">
      <c r="A43" s="29">
        <v>1377</v>
      </c>
      <c r="B43" s="30">
        <v>993.8</v>
      </c>
      <c r="C43" s="30">
        <v>917.66757865937063</v>
      </c>
      <c r="D43" s="30">
        <v>837.47191011235941</v>
      </c>
      <c r="E43" s="30">
        <v>699.85915492957736</v>
      </c>
      <c r="F43" s="30">
        <v>568.96946564885491</v>
      </c>
      <c r="G43" s="30">
        <v>370.82089552238801</v>
      </c>
      <c r="H43" s="31">
        <v>249.28093645484947</v>
      </c>
      <c r="I43" s="9">
        <f t="shared" si="64"/>
        <v>0.99379999999999991</v>
      </c>
      <c r="J43" s="8">
        <f t="shared" si="65"/>
        <v>3.7481880270062016</v>
      </c>
      <c r="K43" s="8">
        <f t="shared" si="66"/>
        <v>4.1003705451175634</v>
      </c>
      <c r="L43" s="8">
        <f t="shared" si="67"/>
        <v>4.4525530632289252</v>
      </c>
      <c r="M43" s="8">
        <f t="shared" si="68"/>
        <v>4.702430536445525</v>
      </c>
      <c r="N43" s="8">
        <f t="shared" si="69"/>
        <v>5.0546130545568877</v>
      </c>
      <c r="O43" s="8">
        <f t="shared" si="70"/>
        <v>5.3044905277734875</v>
      </c>
      <c r="P43" s="11">
        <f t="shared" si="71"/>
        <v>0.14000000000000087</v>
      </c>
      <c r="Q43" s="11">
        <f t="shared" si="72"/>
        <v>1.9999999999999993</v>
      </c>
      <c r="R43" s="11">
        <f t="shared" si="73"/>
        <v>0.14000000000000001</v>
      </c>
      <c r="S43" s="12">
        <f t="shared" si="74"/>
        <v>-243</v>
      </c>
      <c r="T43" s="12">
        <f t="shared" si="75"/>
        <v>972</v>
      </c>
      <c r="U43" s="12">
        <f t="shared" si="76"/>
        <v>401</v>
      </c>
      <c r="V43" s="13">
        <f t="shared" si="77"/>
        <v>830</v>
      </c>
      <c r="W43" s="15">
        <f t="shared" si="78"/>
        <v>2.673</v>
      </c>
      <c r="X43" s="35"/>
      <c r="Y43" s="18">
        <f t="shared" si="79"/>
        <v>156.328</v>
      </c>
      <c r="Z43" s="18">
        <f t="shared" si="80"/>
        <v>268.50200000000001</v>
      </c>
      <c r="AA43" s="18">
        <f t="shared" si="81"/>
        <v>198.149</v>
      </c>
      <c r="AC43" s="23">
        <f t="shared" si="82"/>
        <v>993.79999999999984</v>
      </c>
      <c r="AD43" s="23">
        <f t="shared" si="83"/>
        <v>917.66757865937063</v>
      </c>
      <c r="AE43" s="23">
        <f t="shared" si="84"/>
        <v>837.47191011235941</v>
      </c>
      <c r="AF43" s="23">
        <f t="shared" si="85"/>
        <v>699.85915492957736</v>
      </c>
      <c r="AG43" s="23">
        <f t="shared" si="86"/>
        <v>568.96946564885491</v>
      </c>
      <c r="AH43" s="23">
        <f t="shared" si="87"/>
        <v>370.82089552238801</v>
      </c>
      <c r="AI43" s="23">
        <f t="shared" si="88"/>
        <v>249.28093645484947</v>
      </c>
    </row>
    <row r="44" spans="1:36">
      <c r="A44" s="29">
        <v>1398</v>
      </c>
      <c r="B44" s="30">
        <v>997.9</v>
      </c>
      <c r="C44" s="30">
        <v>918.43809653667847</v>
      </c>
      <c r="D44" s="30">
        <v>835.29575892857144</v>
      </c>
      <c r="E44" s="30">
        <v>693.94993045897081</v>
      </c>
      <c r="F44" s="30">
        <v>561.03823088455772</v>
      </c>
      <c r="G44" s="30">
        <v>362.60901162790697</v>
      </c>
      <c r="H44" s="31">
        <v>242.52268308489954</v>
      </c>
      <c r="I44" s="9">
        <f t="shared" si="64"/>
        <v>0.99790000000000001</v>
      </c>
      <c r="J44" s="8">
        <f t="shared" si="65"/>
        <v>3.7664128471123997</v>
      </c>
      <c r="K44" s="8">
        <f t="shared" si="66"/>
        <v>4.1185953652237624</v>
      </c>
      <c r="L44" s="8">
        <f t="shared" si="67"/>
        <v>4.4707778833351242</v>
      </c>
      <c r="M44" s="8">
        <f t="shared" si="68"/>
        <v>4.720655356551724</v>
      </c>
      <c r="N44" s="8">
        <f t="shared" si="69"/>
        <v>5.0728378746630867</v>
      </c>
      <c r="O44" s="8">
        <f t="shared" si="70"/>
        <v>5.3227153478796865</v>
      </c>
      <c r="P44" s="11">
        <f t="shared" si="71"/>
        <v>0.14599999999999971</v>
      </c>
      <c r="Q44" s="11">
        <f t="shared" si="72"/>
        <v>2</v>
      </c>
      <c r="R44" s="11">
        <f t="shared" si="73"/>
        <v>0.14599999999999999</v>
      </c>
      <c r="S44" s="12">
        <f t="shared" si="74"/>
        <v>-232</v>
      </c>
      <c r="T44" s="12">
        <f t="shared" si="75"/>
        <v>928</v>
      </c>
      <c r="U44" s="12">
        <f t="shared" si="76"/>
        <v>393</v>
      </c>
      <c r="V44" s="13">
        <f t="shared" si="77"/>
        <v>821</v>
      </c>
      <c r="W44" s="15">
        <f t="shared" si="78"/>
        <v>2.617</v>
      </c>
      <c r="X44" s="35"/>
      <c r="Y44" s="18">
        <f t="shared" si="79"/>
        <v>162.60400000000001</v>
      </c>
      <c r="Z44" s="18">
        <f t="shared" si="80"/>
        <v>274.25799999999998</v>
      </c>
      <c r="AA44" s="18">
        <f t="shared" si="81"/>
        <v>198.429</v>
      </c>
      <c r="AC44" s="23">
        <f t="shared" si="82"/>
        <v>997.9</v>
      </c>
      <c r="AD44" s="23">
        <f t="shared" si="83"/>
        <v>918.43809653667847</v>
      </c>
      <c r="AE44" s="23">
        <f t="shared" si="84"/>
        <v>835.29575892857144</v>
      </c>
      <c r="AF44" s="23">
        <f t="shared" si="85"/>
        <v>693.94993045897081</v>
      </c>
      <c r="AG44" s="23">
        <f t="shared" si="86"/>
        <v>561.03823088455772</v>
      </c>
      <c r="AH44" s="23">
        <f t="shared" si="87"/>
        <v>362.60901162790697</v>
      </c>
      <c r="AI44" s="23">
        <f t="shared" si="88"/>
        <v>242.52268308489954</v>
      </c>
    </row>
    <row r="45" spans="1:36">
      <c r="A45" s="29">
        <v>1391</v>
      </c>
      <c r="B45" s="30">
        <v>995.3</v>
      </c>
      <c r="C45" s="30">
        <v>916.04513226070333</v>
      </c>
      <c r="D45" s="30">
        <v>833.119419642857</v>
      </c>
      <c r="E45" s="30">
        <v>692.14186369958259</v>
      </c>
      <c r="F45" s="30">
        <v>559.57646176911533</v>
      </c>
      <c r="G45" s="30">
        <v>361.6642441860464</v>
      </c>
      <c r="H45" s="31">
        <v>241.89079714841213</v>
      </c>
      <c r="I45" s="9">
        <f t="shared" si="64"/>
        <v>0.99529999999999996</v>
      </c>
      <c r="J45" s="8">
        <f t="shared" si="65"/>
        <v>3.7664128471124005</v>
      </c>
      <c r="K45" s="8">
        <f t="shared" si="66"/>
        <v>4.1185953652237624</v>
      </c>
      <c r="L45" s="8">
        <f t="shared" si="67"/>
        <v>4.470777883335125</v>
      </c>
      <c r="M45" s="8">
        <f t="shared" si="68"/>
        <v>4.7206553565517249</v>
      </c>
      <c r="N45" s="8">
        <f t="shared" si="69"/>
        <v>5.0728378746630867</v>
      </c>
      <c r="O45" s="8">
        <f t="shared" si="70"/>
        <v>5.3227153478796865</v>
      </c>
      <c r="P45" s="11">
        <f t="shared" si="71"/>
        <v>0.14600000000000091</v>
      </c>
      <c r="Q45" s="11">
        <f t="shared" si="72"/>
        <v>1.9999999999999996</v>
      </c>
      <c r="R45" s="11">
        <f t="shared" si="73"/>
        <v>0.14599999999999999</v>
      </c>
      <c r="S45" s="12">
        <f t="shared" si="74"/>
        <v>-232</v>
      </c>
      <c r="T45" s="12">
        <f t="shared" si="75"/>
        <v>928</v>
      </c>
      <c r="U45" s="12">
        <f t="shared" si="76"/>
        <v>393</v>
      </c>
      <c r="V45" s="13">
        <f t="shared" si="77"/>
        <v>819</v>
      </c>
      <c r="W45" s="15">
        <f t="shared" si="78"/>
        <v>2.617</v>
      </c>
      <c r="X45" s="35"/>
      <c r="Y45" s="18">
        <f t="shared" si="79"/>
        <v>162.18100000000001</v>
      </c>
      <c r="Z45" s="18">
        <f t="shared" si="80"/>
        <v>273.54300000000001</v>
      </c>
      <c r="AA45" s="18">
        <f t="shared" si="81"/>
        <v>197.91200000000001</v>
      </c>
      <c r="AC45" s="23">
        <f t="shared" si="82"/>
        <v>995.29999999999973</v>
      </c>
      <c r="AD45" s="23">
        <f t="shared" si="83"/>
        <v>916.04513226070333</v>
      </c>
      <c r="AE45" s="23">
        <f t="shared" si="84"/>
        <v>833.119419642857</v>
      </c>
      <c r="AF45" s="23">
        <f t="shared" si="85"/>
        <v>692.14186369958259</v>
      </c>
      <c r="AG45" s="23">
        <f t="shared" si="86"/>
        <v>559.57646176911533</v>
      </c>
      <c r="AH45" s="23">
        <f t="shared" si="87"/>
        <v>361.6642441860464</v>
      </c>
      <c r="AI45" s="23">
        <f t="shared" si="88"/>
        <v>241.89079714841213</v>
      </c>
    </row>
    <row r="46" spans="1:36" ht="13.5" thickBot="1">
      <c r="A46" s="32">
        <v>1388</v>
      </c>
      <c r="B46" s="33">
        <v>993.4</v>
      </c>
      <c r="C46" s="33">
        <v>913.7980376124284</v>
      </c>
      <c r="D46" s="33">
        <v>830.60200668896312</v>
      </c>
      <c r="E46" s="33">
        <v>689.38237335183896</v>
      </c>
      <c r="F46" s="33">
        <v>556.83856502242145</v>
      </c>
      <c r="G46" s="33">
        <v>359.40665701881329</v>
      </c>
      <c r="H46" s="34">
        <v>240.18375241779495</v>
      </c>
      <c r="I46" s="9">
        <f t="shared" si="64"/>
        <v>0.99339999999999995</v>
      </c>
      <c r="J46" s="8">
        <f t="shared" si="65"/>
        <v>3.7693773260761385</v>
      </c>
      <c r="K46" s="8">
        <f t="shared" si="66"/>
        <v>4.1215598441875017</v>
      </c>
      <c r="L46" s="8">
        <f t="shared" si="67"/>
        <v>4.4737423622988635</v>
      </c>
      <c r="M46" s="8">
        <f t="shared" si="68"/>
        <v>4.7236198355154633</v>
      </c>
      <c r="N46" s="8">
        <f t="shared" si="69"/>
        <v>5.075802353626826</v>
      </c>
      <c r="O46" s="8">
        <f t="shared" si="70"/>
        <v>5.3256798268434258</v>
      </c>
      <c r="P46" s="11">
        <f t="shared" si="71"/>
        <v>0.14700000000000008</v>
      </c>
      <c r="Q46" s="11">
        <f t="shared" si="72"/>
        <v>2</v>
      </c>
      <c r="R46" s="11">
        <f t="shared" si="73"/>
        <v>0.14699999999999999</v>
      </c>
      <c r="S46" s="12">
        <f t="shared" si="74"/>
        <v>-231</v>
      </c>
      <c r="T46" s="12">
        <f t="shared" si="75"/>
        <v>924</v>
      </c>
      <c r="U46" s="12">
        <f t="shared" si="76"/>
        <v>391</v>
      </c>
      <c r="V46" s="13">
        <f t="shared" si="77"/>
        <v>815</v>
      </c>
      <c r="W46" s="15">
        <f t="shared" si="78"/>
        <v>2.6080000000000001</v>
      </c>
      <c r="X46" s="35"/>
      <c r="Y46" s="18">
        <f t="shared" si="79"/>
        <v>162.798</v>
      </c>
      <c r="Z46" s="18">
        <f t="shared" si="80"/>
        <v>273.76299999999998</v>
      </c>
      <c r="AA46" s="18">
        <f t="shared" si="81"/>
        <v>197.43199999999999</v>
      </c>
      <c r="AC46" s="23">
        <f t="shared" si="82"/>
        <v>993.39999999999986</v>
      </c>
      <c r="AD46" s="23">
        <f t="shared" si="83"/>
        <v>913.7980376124284</v>
      </c>
      <c r="AE46" s="23">
        <f t="shared" si="84"/>
        <v>830.60200668896312</v>
      </c>
      <c r="AF46" s="23">
        <f t="shared" si="85"/>
        <v>689.38237335183896</v>
      </c>
      <c r="AG46" s="23">
        <f t="shared" si="86"/>
        <v>556.83856502242145</v>
      </c>
      <c r="AH46" s="23">
        <f t="shared" si="87"/>
        <v>359.40665701881329</v>
      </c>
      <c r="AI46" s="23">
        <f t="shared" si="88"/>
        <v>240.18375241779495</v>
      </c>
    </row>
    <row r="47" spans="1:36">
      <c r="A47" s="24">
        <f t="shared" ref="A47:W47" si="89">AVERAGE(A35:A38)</f>
        <v>363</v>
      </c>
      <c r="B47" s="24">
        <f t="shared" si="89"/>
        <v>354.45000000000005</v>
      </c>
      <c r="C47" s="24">
        <f t="shared" si="89"/>
        <v>321.7123725623527</v>
      </c>
      <c r="D47" s="24">
        <f t="shared" si="89"/>
        <v>288.41467999140292</v>
      </c>
      <c r="E47" s="24">
        <f t="shared" si="89"/>
        <v>233.93672409880222</v>
      </c>
      <c r="F47" s="24">
        <f t="shared" si="89"/>
        <v>185.01228560832314</v>
      </c>
      <c r="G47" s="24">
        <f t="shared" si="89"/>
        <v>115.81205099648831</v>
      </c>
      <c r="H47" s="24">
        <f t="shared" si="89"/>
        <v>76.010174866092242</v>
      </c>
      <c r="I47" s="24">
        <f t="shared" si="89"/>
        <v>0.35444999999999999</v>
      </c>
      <c r="J47" s="24">
        <f t="shared" si="89"/>
        <v>3.8369406730681059</v>
      </c>
      <c r="K47" s="24">
        <f t="shared" si="89"/>
        <v>4.1891231911794691</v>
      </c>
      <c r="L47" s="24">
        <f t="shared" si="89"/>
        <v>4.5413057092908318</v>
      </c>
      <c r="M47" s="24">
        <f t="shared" si="89"/>
        <v>4.7911831825074316</v>
      </c>
      <c r="N47" s="24">
        <f t="shared" si="89"/>
        <v>5.1433657006187943</v>
      </c>
      <c r="O47" s="24">
        <f t="shared" si="89"/>
        <v>5.3932431738353941</v>
      </c>
      <c r="P47" s="24">
        <f t="shared" si="89"/>
        <v>0.17174999999999857</v>
      </c>
      <c r="Q47" s="24">
        <f t="shared" si="89"/>
        <v>2.0000000000000013</v>
      </c>
      <c r="R47" s="24">
        <f t="shared" si="89"/>
        <v>0.17175000000000001</v>
      </c>
      <c r="S47" s="24">
        <f t="shared" si="89"/>
        <v>-554.75</v>
      </c>
      <c r="T47" s="24">
        <f t="shared" si="89"/>
        <v>2219</v>
      </c>
      <c r="U47" s="24">
        <f t="shared" si="89"/>
        <v>362.25</v>
      </c>
      <c r="V47" s="24">
        <f t="shared" si="89"/>
        <v>275</v>
      </c>
      <c r="W47" s="24">
        <f t="shared" si="89"/>
        <v>2.41275</v>
      </c>
      <c r="X47" s="36">
        <f>SLOPE(W47:W49,A47:A49)</f>
        <v>2.1114549192935954E-4</v>
      </c>
      <c r="Y47" s="24">
        <f>AVERAGE(Y35:Y38)</f>
        <v>66.035250000000005</v>
      </c>
      <c r="Z47" s="24">
        <f>AVERAGE(Z35:Z38)</f>
        <v>103.40225000000001</v>
      </c>
      <c r="AA47" s="24">
        <f>AVERAGE(AA35:AA38)</f>
        <v>69.200249999999983</v>
      </c>
      <c r="AB47"/>
      <c r="AC47" s="24">
        <f t="shared" ref="AC47:AI47" si="90">AVERAGE(AC35:AC38)</f>
        <v>354.44999999999993</v>
      </c>
      <c r="AD47" s="24">
        <f t="shared" si="90"/>
        <v>321.7123725623527</v>
      </c>
      <c r="AE47" s="24">
        <f t="shared" si="90"/>
        <v>288.41467999140292</v>
      </c>
      <c r="AF47" s="24">
        <f t="shared" si="90"/>
        <v>233.93672409880222</v>
      </c>
      <c r="AG47" s="24">
        <f t="shared" si="90"/>
        <v>185.01228560832314</v>
      </c>
      <c r="AH47" s="24">
        <f t="shared" si="90"/>
        <v>115.81205099648831</v>
      </c>
      <c r="AI47" s="24">
        <f t="shared" si="90"/>
        <v>76.010174866092242</v>
      </c>
    </row>
    <row r="48" spans="1:36">
      <c r="A48" s="24">
        <f t="shared" ref="A48:W48" si="91">AVERAGE(A39:A42)</f>
        <v>708.5</v>
      </c>
      <c r="B48" s="24">
        <f t="shared" si="91"/>
        <v>606.07500000000005</v>
      </c>
      <c r="C48" s="24">
        <f t="shared" si="91"/>
        <v>552.91342766898674</v>
      </c>
      <c r="D48" s="24">
        <f t="shared" si="91"/>
        <v>498.28045735573875</v>
      </c>
      <c r="E48" s="24">
        <f t="shared" si="91"/>
        <v>407.65121885301545</v>
      </c>
      <c r="F48" s="24">
        <f t="shared" si="91"/>
        <v>324.91560569511364</v>
      </c>
      <c r="G48" s="24">
        <f t="shared" si="91"/>
        <v>205.65892602371008</v>
      </c>
      <c r="H48" s="24">
        <f t="shared" si="91"/>
        <v>135.85121692830327</v>
      </c>
      <c r="I48" s="24">
        <f t="shared" si="91"/>
        <v>0.60607500000000003</v>
      </c>
      <c r="J48" s="24">
        <f t="shared" si="91"/>
        <v>3.8122431533359249</v>
      </c>
      <c r="K48" s="24">
        <f t="shared" si="91"/>
        <v>4.1644256714472876</v>
      </c>
      <c r="L48" s="24">
        <f t="shared" si="91"/>
        <v>4.5166081895586503</v>
      </c>
      <c r="M48" s="24">
        <f t="shared" si="91"/>
        <v>4.7664856627752501</v>
      </c>
      <c r="N48" s="24">
        <f t="shared" si="91"/>
        <v>5.1186681808866119</v>
      </c>
      <c r="O48" s="24">
        <f t="shared" si="91"/>
        <v>5.3685456541032126</v>
      </c>
      <c r="P48" s="24">
        <f t="shared" si="91"/>
        <v>0.16224999999999937</v>
      </c>
      <c r="Q48" s="24">
        <f t="shared" si="91"/>
        <v>2.0000000000000004</v>
      </c>
      <c r="R48" s="24">
        <f t="shared" si="91"/>
        <v>0.16225000000000001</v>
      </c>
      <c r="S48" s="24">
        <f t="shared" si="91"/>
        <v>-343.25</v>
      </c>
      <c r="T48" s="24">
        <f t="shared" si="91"/>
        <v>1373</v>
      </c>
      <c r="U48" s="24">
        <f t="shared" si="91"/>
        <v>372.75</v>
      </c>
      <c r="V48" s="24">
        <f t="shared" si="91"/>
        <v>479.5</v>
      </c>
      <c r="W48" s="24">
        <f t="shared" si="91"/>
        <v>2.4829999999999997</v>
      </c>
      <c r="X48" s="24"/>
      <c r="Y48" s="24">
        <f>AVERAGE(Y39:Y42)</f>
        <v>107.7945</v>
      </c>
      <c r="Z48" s="24">
        <f>AVERAGE(Z39:Z42)</f>
        <v>173.36475000000002</v>
      </c>
      <c r="AA48" s="24">
        <f>AVERAGE(AA39:AA42)</f>
        <v>119.25675000000001</v>
      </c>
      <c r="AB48" s="24">
        <f>AC48/AC47</f>
        <v>1.7099026661024126</v>
      </c>
      <c r="AC48" s="24">
        <f t="shared" ref="AC48:AI48" si="92">AVERAGE(AC39:AC42)</f>
        <v>606.07500000000005</v>
      </c>
      <c r="AD48" s="24">
        <f t="shared" si="92"/>
        <v>552.91342766898674</v>
      </c>
      <c r="AE48" s="24">
        <f t="shared" si="92"/>
        <v>498.28045735573875</v>
      </c>
      <c r="AF48" s="24">
        <f t="shared" si="92"/>
        <v>407.65121885301545</v>
      </c>
      <c r="AG48" s="24">
        <f t="shared" si="92"/>
        <v>324.91560569511364</v>
      </c>
      <c r="AH48" s="24">
        <f t="shared" si="92"/>
        <v>205.65892602371008</v>
      </c>
      <c r="AI48" s="24">
        <f t="shared" si="92"/>
        <v>135.85121692830327</v>
      </c>
      <c r="AJ48" s="1">
        <f>AI48/AI47</f>
        <v>1.7872767319327116</v>
      </c>
    </row>
    <row r="49" spans="1:36" ht="13.5" thickBot="1">
      <c r="A49" s="24">
        <f t="shared" ref="A49:W49" si="93">AVERAGE(A43:A46)</f>
        <v>1388.5</v>
      </c>
      <c r="B49" s="24">
        <f t="shared" si="93"/>
        <v>995.1</v>
      </c>
      <c r="C49" s="24">
        <f t="shared" si="93"/>
        <v>916.48721126729515</v>
      </c>
      <c r="D49" s="24">
        <f t="shared" si="93"/>
        <v>834.12227384318771</v>
      </c>
      <c r="E49" s="24">
        <f t="shared" si="93"/>
        <v>693.83333060999246</v>
      </c>
      <c r="F49" s="24">
        <f t="shared" si="93"/>
        <v>561.60568083123735</v>
      </c>
      <c r="G49" s="24">
        <f t="shared" si="93"/>
        <v>363.62520208878868</v>
      </c>
      <c r="H49" s="24">
        <f t="shared" si="93"/>
        <v>243.46954227648902</v>
      </c>
      <c r="I49" s="24">
        <f t="shared" si="93"/>
        <v>0.99509999999999987</v>
      </c>
      <c r="J49" s="24">
        <f t="shared" si="93"/>
        <v>3.7625977618267852</v>
      </c>
      <c r="K49" s="24">
        <f t="shared" si="93"/>
        <v>4.114780279938147</v>
      </c>
      <c r="L49" s="24">
        <f t="shared" si="93"/>
        <v>4.4669627980495097</v>
      </c>
      <c r="M49" s="24">
        <f t="shared" si="93"/>
        <v>4.7168402712661095</v>
      </c>
      <c r="N49" s="24">
        <f t="shared" si="93"/>
        <v>5.0690227893774722</v>
      </c>
      <c r="O49" s="24">
        <f t="shared" si="93"/>
        <v>5.318900262594072</v>
      </c>
      <c r="P49" s="24">
        <f t="shared" si="93"/>
        <v>0.14475000000000038</v>
      </c>
      <c r="Q49" s="24">
        <f t="shared" si="93"/>
        <v>1.9999999999999996</v>
      </c>
      <c r="R49" s="24">
        <f t="shared" si="93"/>
        <v>0.14475000000000002</v>
      </c>
      <c r="S49" s="24">
        <f t="shared" si="93"/>
        <v>-234.5</v>
      </c>
      <c r="T49" s="24">
        <f t="shared" si="93"/>
        <v>938</v>
      </c>
      <c r="U49" s="24">
        <f t="shared" si="93"/>
        <v>394.5</v>
      </c>
      <c r="V49" s="24">
        <f t="shared" si="93"/>
        <v>821.25</v>
      </c>
      <c r="W49" s="24">
        <f t="shared" si="93"/>
        <v>2.6287500000000001</v>
      </c>
      <c r="X49" s="24"/>
      <c r="Y49" s="24">
        <f>AVERAGE(Y43:Y46)</f>
        <v>160.97775000000001</v>
      </c>
      <c r="Z49" s="24">
        <f>AVERAGE(Z43:Z46)</f>
        <v>272.51650000000001</v>
      </c>
      <c r="AA49" s="24">
        <f>AVERAGE(AA43:AA46)</f>
        <v>197.98050000000001</v>
      </c>
      <c r="AB49" s="24">
        <f>AC49/AC47</f>
        <v>2.8074481591197631</v>
      </c>
      <c r="AC49" s="24">
        <f t="shared" ref="AC49:AI49" si="94">AVERAGE(AC43:AC46)</f>
        <v>995.09999999999991</v>
      </c>
      <c r="AD49" s="24">
        <f t="shared" si="94"/>
        <v>916.48721126729515</v>
      </c>
      <c r="AE49" s="24">
        <f t="shared" si="94"/>
        <v>834.12227384318771</v>
      </c>
      <c r="AF49" s="24">
        <f t="shared" si="94"/>
        <v>693.83333060999246</v>
      </c>
      <c r="AG49" s="24">
        <f t="shared" si="94"/>
        <v>561.60568083123735</v>
      </c>
      <c r="AH49" s="24">
        <f t="shared" si="94"/>
        <v>363.62520208878868</v>
      </c>
      <c r="AI49" s="24">
        <f t="shared" si="94"/>
        <v>243.46954227648902</v>
      </c>
      <c r="AJ49" s="1">
        <f>AI49/AI47</f>
        <v>3.2031177760794702</v>
      </c>
    </row>
    <row r="50" spans="1:36">
      <c r="A50" s="26">
        <v>385</v>
      </c>
      <c r="B50" s="27">
        <v>450.6</v>
      </c>
      <c r="C50" s="27">
        <v>381.43340857787814</v>
      </c>
      <c r="D50" s="27">
        <v>320.02840909090912</v>
      </c>
      <c r="E50" s="27">
        <v>234.93222106360795</v>
      </c>
      <c r="F50" s="27">
        <v>171.20060790273558</v>
      </c>
      <c r="G50" s="27">
        <v>96.446917808219183</v>
      </c>
      <c r="H50" s="28">
        <v>59.85653560042509</v>
      </c>
      <c r="I50" s="9">
        <f t="shared" ref="I50:I61" si="95">B50/1000</f>
        <v>0.4506</v>
      </c>
      <c r="J50" s="8">
        <f t="shared" ref="J50:J61" si="96">LOG10((((3*150*150)*B50)/C50)-((3*150*150)))</f>
        <v>4.0877814178095422</v>
      </c>
      <c r="K50" s="8">
        <f t="shared" ref="K50:K61" si="97">LOG10((((3*150*150)*B50)/D50)-((3*150*150)))</f>
        <v>4.4399639359209049</v>
      </c>
      <c r="L50" s="8">
        <f t="shared" ref="L50:L61" si="98">LOG10((((3*150*150)*B50)/E50)-((3*150*150)))</f>
        <v>4.7921464540322676</v>
      </c>
      <c r="M50" s="8">
        <f t="shared" ref="M50:M61" si="99">LOG10((((3*150*150)*B50)/F50)-((3*150*150)))</f>
        <v>5.0420239272488674</v>
      </c>
      <c r="N50" s="8">
        <f t="shared" ref="N50:N61" si="100">LOG10((((3*150*150)*B50)/G50)-((3*150*150)))</f>
        <v>5.3942064453602301</v>
      </c>
      <c r="O50" s="8">
        <f t="shared" ref="O50:O61" si="101">LOG10((((3*150*150)*B50)/H50)-((3*150*150)))</f>
        <v>5.6440839185768299</v>
      </c>
      <c r="P50" s="11">
        <f t="shared" ref="P50:P61" si="102">10^(INTERCEPT(J50:O50,$J$1:$O$1))</f>
        <v>0.30599999999999788</v>
      </c>
      <c r="Q50" s="11">
        <f t="shared" ref="Q50:Q61" si="103">LINEST(J50:O50,$J$1:$O$1)</f>
        <v>2.0000000000000013</v>
      </c>
      <c r="R50" s="11">
        <f t="shared" ref="R50:R61" si="104">ROUND(10^((SUM(J50:N50)-2*SUM($J$1:$N$1))/5),3)</f>
        <v>0.30599999999999999</v>
      </c>
      <c r="S50" s="12">
        <f t="shared" ref="S50:S61" si="105">ROUND(-1.5*((150^2)/(R50*I50))/1000,0)</f>
        <v>-245</v>
      </c>
      <c r="T50" s="12">
        <f t="shared" ref="T50:T61" si="106">-4*S50</f>
        <v>980</v>
      </c>
      <c r="U50" s="12">
        <f t="shared" ref="U50:U61" si="107">ROUND(150/(R50^0.5),0)</f>
        <v>271</v>
      </c>
      <c r="V50" s="13">
        <f t="shared" ref="V50:V61" si="108">ROUND(150*I50*ATAN((1800*SQRT(3*R50))/(3*150))*SQRT(3/(R50)),0)</f>
        <v>278</v>
      </c>
      <c r="W50" s="15">
        <f t="shared" ref="W50:W61" si="109">ROUND(1/SQRT(R50),3)</f>
        <v>1.8080000000000001</v>
      </c>
      <c r="X50" s="36">
        <f>SLOPE(W50:W61,A50:A61)</f>
        <v>2.3077680105085456E-4</v>
      </c>
      <c r="Y50" s="18">
        <f t="shared" ref="Y50:Y61" si="110">ROUND(B50-D50,3)</f>
        <v>130.572</v>
      </c>
      <c r="Z50" s="18">
        <f t="shared" ref="Z50:Z61" si="111">ROUND(D50-F50,3)</f>
        <v>148.828</v>
      </c>
      <c r="AA50" s="18">
        <f t="shared" ref="AA50:AA61" si="112">ROUND(F50-G50,3)</f>
        <v>74.754000000000005</v>
      </c>
      <c r="AC50" s="23">
        <f t="shared" ref="AC50:AC61" si="113">((B50)*3*150^2)/(R50*$AC$3^2+3*150^2)</f>
        <v>450.60000000000008</v>
      </c>
      <c r="AD50" s="23">
        <f t="shared" ref="AD50:AD61" si="114">((B50)*3*150^2)/(R50*$AD$3^2+3*150^2)</f>
        <v>381.43340857787814</v>
      </c>
      <c r="AE50" s="23">
        <f t="shared" ref="AE50:AE61" si="115">((B50)*3*150^2)/(R50*$AE$3^2+3*150^2)</f>
        <v>320.02840909090912</v>
      </c>
      <c r="AF50" s="23">
        <f t="shared" ref="AF50:AF61" si="116">((B50)*3*150^2)/(R50*$AF$3^2+3*150^2)</f>
        <v>234.93222106360795</v>
      </c>
      <c r="AG50" s="23">
        <f t="shared" ref="AG50:AG61" si="117">((B50)*3*150^2)/(R50*$AG$3^2+3*150^2)</f>
        <v>171.20060790273558</v>
      </c>
      <c r="AH50" s="23">
        <f t="shared" ref="AH50:AH61" si="118">((B50)*3*150^2)/(R50*$AH$3^2+3*150^2)</f>
        <v>96.446917808219183</v>
      </c>
      <c r="AI50" s="23">
        <f t="shared" ref="AI50:AI61" si="119">((B50)*3*150^2)/(R50*$AI$3^2+3*150^2)</f>
        <v>59.85653560042509</v>
      </c>
    </row>
    <row r="51" spans="1:36">
      <c r="A51" s="29">
        <v>390</v>
      </c>
      <c r="B51" s="30">
        <v>422.2</v>
      </c>
      <c r="C51" s="30">
        <v>356.85574755822682</v>
      </c>
      <c r="D51" s="30">
        <v>299.00849858356935</v>
      </c>
      <c r="E51" s="30">
        <v>219.09704203425011</v>
      </c>
      <c r="F51" s="30">
        <v>159.44108761329304</v>
      </c>
      <c r="G51" s="30">
        <v>89.677145284621915</v>
      </c>
      <c r="H51" s="31">
        <v>55.611169652265538</v>
      </c>
      <c r="I51" s="9">
        <f t="shared" si="95"/>
        <v>0.42219999999999996</v>
      </c>
      <c r="J51" s="8">
        <f t="shared" si="96"/>
        <v>4.0920184707527971</v>
      </c>
      <c r="K51" s="8">
        <f t="shared" si="97"/>
        <v>4.4442009888641598</v>
      </c>
      <c r="L51" s="8">
        <f t="shared" si="98"/>
        <v>4.7963835069755225</v>
      </c>
      <c r="M51" s="8">
        <f t="shared" si="99"/>
        <v>5.0462609801921223</v>
      </c>
      <c r="N51" s="8">
        <f t="shared" si="100"/>
        <v>5.3984434983034841</v>
      </c>
      <c r="O51" s="8">
        <f t="shared" si="101"/>
        <v>5.6483209715200839</v>
      </c>
      <c r="P51" s="11">
        <f t="shared" si="102"/>
        <v>0.30899999999999994</v>
      </c>
      <c r="Q51" s="11">
        <f t="shared" si="103"/>
        <v>2.0000000000000004</v>
      </c>
      <c r="R51" s="11">
        <f t="shared" si="104"/>
        <v>0.309</v>
      </c>
      <c r="S51" s="12">
        <f t="shared" si="105"/>
        <v>-259</v>
      </c>
      <c r="T51" s="12">
        <f t="shared" si="106"/>
        <v>1036</v>
      </c>
      <c r="U51" s="12">
        <f t="shared" si="107"/>
        <v>270</v>
      </c>
      <c r="V51" s="13">
        <f t="shared" si="108"/>
        <v>260</v>
      </c>
      <c r="W51" s="15">
        <f t="shared" si="109"/>
        <v>1.7989999999999999</v>
      </c>
      <c r="X51" s="35"/>
      <c r="Y51" s="18">
        <f t="shared" si="110"/>
        <v>123.19199999999999</v>
      </c>
      <c r="Z51" s="18">
        <f t="shared" si="111"/>
        <v>139.56700000000001</v>
      </c>
      <c r="AA51" s="18">
        <f t="shared" si="112"/>
        <v>69.763999999999996</v>
      </c>
      <c r="AC51" s="23">
        <f t="shared" si="113"/>
        <v>422.19999999999993</v>
      </c>
      <c r="AD51" s="23">
        <f t="shared" si="114"/>
        <v>356.85574755822682</v>
      </c>
      <c r="AE51" s="23">
        <f t="shared" si="115"/>
        <v>299.00849858356935</v>
      </c>
      <c r="AF51" s="23">
        <f t="shared" si="116"/>
        <v>219.09704203425011</v>
      </c>
      <c r="AG51" s="23">
        <f t="shared" si="117"/>
        <v>159.44108761329304</v>
      </c>
      <c r="AH51" s="23">
        <f t="shared" si="118"/>
        <v>89.677145284621915</v>
      </c>
      <c r="AI51" s="23">
        <f t="shared" si="119"/>
        <v>55.611169652265538</v>
      </c>
    </row>
    <row r="52" spans="1:36">
      <c r="A52" s="29">
        <v>388</v>
      </c>
      <c r="B52" s="30">
        <v>409.4</v>
      </c>
      <c r="C52" s="30">
        <v>346.90559879487819</v>
      </c>
      <c r="D52" s="30">
        <v>291.31878557874757</v>
      </c>
      <c r="E52" s="30">
        <v>214.12133891213387</v>
      </c>
      <c r="F52" s="30">
        <v>156.18006103763986</v>
      </c>
      <c r="G52" s="30">
        <v>88.080895008605836</v>
      </c>
      <c r="H52" s="31">
        <v>54.693623085144274</v>
      </c>
      <c r="I52" s="9">
        <f t="shared" si="95"/>
        <v>0.40939999999999999</v>
      </c>
      <c r="J52" s="8">
        <f t="shared" si="96"/>
        <v>4.0849335749367164</v>
      </c>
      <c r="K52" s="8">
        <f t="shared" si="97"/>
        <v>4.4371160930480791</v>
      </c>
      <c r="L52" s="8">
        <f t="shared" si="98"/>
        <v>4.7892986111594409</v>
      </c>
      <c r="M52" s="8">
        <f t="shared" si="99"/>
        <v>5.0391760843760407</v>
      </c>
      <c r="N52" s="8">
        <f t="shared" si="100"/>
        <v>5.3913586024874034</v>
      </c>
      <c r="O52" s="8">
        <f t="shared" si="101"/>
        <v>5.6412360757040032</v>
      </c>
      <c r="P52" s="11">
        <f t="shared" si="102"/>
        <v>0.30400000000000005</v>
      </c>
      <c r="Q52" s="11">
        <f t="shared" si="103"/>
        <v>2</v>
      </c>
      <c r="R52" s="11">
        <f t="shared" si="104"/>
        <v>0.30399999999999999</v>
      </c>
      <c r="S52" s="12">
        <f t="shared" si="105"/>
        <v>-271</v>
      </c>
      <c r="T52" s="12">
        <f t="shared" si="106"/>
        <v>1084</v>
      </c>
      <c r="U52" s="12">
        <f t="shared" si="107"/>
        <v>272</v>
      </c>
      <c r="V52" s="13">
        <f t="shared" si="108"/>
        <v>254</v>
      </c>
      <c r="W52" s="15">
        <f t="shared" si="109"/>
        <v>1.8140000000000001</v>
      </c>
      <c r="X52" s="35"/>
      <c r="Y52" s="18">
        <f t="shared" si="110"/>
        <v>118.081</v>
      </c>
      <c r="Z52" s="18">
        <f t="shared" si="111"/>
        <v>135.13900000000001</v>
      </c>
      <c r="AA52" s="18">
        <f t="shared" si="112"/>
        <v>68.099000000000004</v>
      </c>
      <c r="AC52" s="23">
        <f t="shared" si="113"/>
        <v>409.39999999999992</v>
      </c>
      <c r="AD52" s="23">
        <f t="shared" si="114"/>
        <v>346.90559879487819</v>
      </c>
      <c r="AE52" s="23">
        <f t="shared" si="115"/>
        <v>291.31878557874757</v>
      </c>
      <c r="AF52" s="23">
        <f t="shared" si="116"/>
        <v>214.12133891213387</v>
      </c>
      <c r="AG52" s="23">
        <f t="shared" si="117"/>
        <v>156.18006103763986</v>
      </c>
      <c r="AH52" s="23">
        <f t="shared" si="118"/>
        <v>88.080895008605836</v>
      </c>
      <c r="AI52" s="23">
        <f t="shared" si="119"/>
        <v>54.693623085144274</v>
      </c>
    </row>
    <row r="53" spans="1:36">
      <c r="A53" s="29">
        <v>387</v>
      </c>
      <c r="B53" s="30">
        <v>405.9</v>
      </c>
      <c r="C53" s="30">
        <v>344.28562452877605</v>
      </c>
      <c r="D53" s="30">
        <v>289.37737642585546</v>
      </c>
      <c r="E53" s="30">
        <v>212.95907660020984</v>
      </c>
      <c r="F53" s="30">
        <v>155.47752808988761</v>
      </c>
      <c r="G53" s="30">
        <v>87.781141868512094</v>
      </c>
      <c r="H53" s="31">
        <v>54.536904335363658</v>
      </c>
      <c r="I53" s="9">
        <f t="shared" si="95"/>
        <v>0.40589999999999998</v>
      </c>
      <c r="J53" s="8">
        <f t="shared" si="96"/>
        <v>4.0820669342851126</v>
      </c>
      <c r="K53" s="8">
        <f t="shared" si="97"/>
        <v>4.4342494523964762</v>
      </c>
      <c r="L53" s="8">
        <f t="shared" si="98"/>
        <v>4.786431970507838</v>
      </c>
      <c r="M53" s="8">
        <f t="shared" si="99"/>
        <v>5.0363094437244378</v>
      </c>
      <c r="N53" s="8">
        <f t="shared" si="100"/>
        <v>5.3884919618358005</v>
      </c>
      <c r="O53" s="8">
        <f t="shared" si="101"/>
        <v>5.6383694350524003</v>
      </c>
      <c r="P53" s="11">
        <f t="shared" si="102"/>
        <v>0.30199999999999894</v>
      </c>
      <c r="Q53" s="11">
        <f t="shared" si="103"/>
        <v>2.0000000000000004</v>
      </c>
      <c r="R53" s="11">
        <f t="shared" si="104"/>
        <v>0.30199999999999999</v>
      </c>
      <c r="S53" s="12">
        <f t="shared" si="105"/>
        <v>-275</v>
      </c>
      <c r="T53" s="12">
        <f t="shared" si="106"/>
        <v>1100</v>
      </c>
      <c r="U53" s="12">
        <f t="shared" si="107"/>
        <v>273</v>
      </c>
      <c r="V53" s="13">
        <f t="shared" si="108"/>
        <v>252</v>
      </c>
      <c r="W53" s="15">
        <f t="shared" si="109"/>
        <v>1.82</v>
      </c>
      <c r="X53" s="35"/>
      <c r="Y53" s="18">
        <f t="shared" si="110"/>
        <v>116.523</v>
      </c>
      <c r="Z53" s="18">
        <f t="shared" si="111"/>
        <v>133.9</v>
      </c>
      <c r="AA53" s="18">
        <f t="shared" si="112"/>
        <v>67.695999999999998</v>
      </c>
      <c r="AC53" s="23">
        <f t="shared" si="113"/>
        <v>405.89999999999992</v>
      </c>
      <c r="AD53" s="23">
        <f t="shared" si="114"/>
        <v>344.28562452877605</v>
      </c>
      <c r="AE53" s="23">
        <f t="shared" si="115"/>
        <v>289.37737642585546</v>
      </c>
      <c r="AF53" s="23">
        <f t="shared" si="116"/>
        <v>212.95907660020984</v>
      </c>
      <c r="AG53" s="23">
        <f t="shared" si="117"/>
        <v>155.47752808988761</v>
      </c>
      <c r="AH53" s="23">
        <f t="shared" si="118"/>
        <v>87.781141868512094</v>
      </c>
      <c r="AI53" s="23">
        <f t="shared" si="119"/>
        <v>54.536904335363658</v>
      </c>
    </row>
    <row r="54" spans="1:36">
      <c r="A54" s="29">
        <v>728</v>
      </c>
      <c r="B54" s="30">
        <v>713.9</v>
      </c>
      <c r="C54" s="30">
        <v>613.86305732484072</v>
      </c>
      <c r="D54" s="30">
        <v>522.36585365853648</v>
      </c>
      <c r="E54" s="30">
        <v>391.17808219178079</v>
      </c>
      <c r="F54" s="30">
        <v>289.41891891891885</v>
      </c>
      <c r="G54" s="30">
        <v>166.02325581395345</v>
      </c>
      <c r="H54" s="31">
        <v>103.96601941747569</v>
      </c>
      <c r="I54" s="9">
        <f t="shared" si="95"/>
        <v>0.71389999999999998</v>
      </c>
      <c r="J54" s="8">
        <f t="shared" si="96"/>
        <v>4.0413926851582254</v>
      </c>
      <c r="K54" s="8">
        <f t="shared" si="97"/>
        <v>4.3935752032695881</v>
      </c>
      <c r="L54" s="8">
        <f t="shared" si="98"/>
        <v>4.7457577213809499</v>
      </c>
      <c r="M54" s="8">
        <f t="shared" si="99"/>
        <v>4.9956351945975497</v>
      </c>
      <c r="N54" s="8">
        <f t="shared" si="100"/>
        <v>5.3478177127089124</v>
      </c>
      <c r="O54" s="8">
        <f t="shared" si="101"/>
        <v>5.5976951859255122</v>
      </c>
      <c r="P54" s="11">
        <f t="shared" si="102"/>
        <v>0.27500000000000013</v>
      </c>
      <c r="Q54" s="11">
        <f t="shared" si="103"/>
        <v>2</v>
      </c>
      <c r="R54" s="11">
        <f t="shared" si="104"/>
        <v>0.27500000000000002</v>
      </c>
      <c r="S54" s="12">
        <f t="shared" si="105"/>
        <v>-172</v>
      </c>
      <c r="T54" s="12">
        <f t="shared" si="106"/>
        <v>688</v>
      </c>
      <c r="U54" s="12">
        <f t="shared" si="107"/>
        <v>286</v>
      </c>
      <c r="V54" s="13">
        <f t="shared" si="108"/>
        <v>461</v>
      </c>
      <c r="W54" s="15">
        <f t="shared" si="109"/>
        <v>1.907</v>
      </c>
      <c r="X54" s="35"/>
      <c r="Y54" s="18">
        <f t="shared" si="110"/>
        <v>191.53399999999999</v>
      </c>
      <c r="Z54" s="18">
        <f t="shared" si="111"/>
        <v>232.947</v>
      </c>
      <c r="AA54" s="18">
        <f t="shared" si="112"/>
        <v>123.396</v>
      </c>
      <c r="AC54" s="23">
        <f t="shared" si="113"/>
        <v>713.89999999999986</v>
      </c>
      <c r="AD54" s="23">
        <f t="shared" si="114"/>
        <v>613.86305732484072</v>
      </c>
      <c r="AE54" s="23">
        <f t="shared" si="115"/>
        <v>522.36585365853648</v>
      </c>
      <c r="AF54" s="23">
        <f t="shared" si="116"/>
        <v>391.17808219178079</v>
      </c>
      <c r="AG54" s="23">
        <f t="shared" si="117"/>
        <v>289.41891891891885</v>
      </c>
      <c r="AH54" s="23">
        <f t="shared" si="118"/>
        <v>166.02325581395345</v>
      </c>
      <c r="AI54" s="23">
        <f t="shared" si="119"/>
        <v>103.96601941747569</v>
      </c>
    </row>
    <row r="55" spans="1:36">
      <c r="A55" s="29">
        <v>708</v>
      </c>
      <c r="B55" s="30">
        <v>691</v>
      </c>
      <c r="C55" s="30">
        <v>594.4748916645425</v>
      </c>
      <c r="D55" s="30">
        <v>506.103515625</v>
      </c>
      <c r="E55" s="30">
        <v>379.25356750823272</v>
      </c>
      <c r="F55" s="30">
        <v>280.74214517876487</v>
      </c>
      <c r="G55" s="30">
        <v>161.14738805970148</v>
      </c>
      <c r="H55" s="31">
        <v>100.94468250876508</v>
      </c>
      <c r="I55" s="9">
        <f t="shared" si="95"/>
        <v>0.69099999999999995</v>
      </c>
      <c r="J55" s="8">
        <f t="shared" si="96"/>
        <v>4.0398105541483504</v>
      </c>
      <c r="K55" s="8">
        <f t="shared" si="97"/>
        <v>4.3919930722597131</v>
      </c>
      <c r="L55" s="8">
        <f t="shared" si="98"/>
        <v>4.7441755903710749</v>
      </c>
      <c r="M55" s="8">
        <f t="shared" si="99"/>
        <v>4.9940530635876756</v>
      </c>
      <c r="N55" s="8">
        <f t="shared" si="100"/>
        <v>5.3462355816990375</v>
      </c>
      <c r="O55" s="8">
        <f t="shared" si="101"/>
        <v>5.5961130549156373</v>
      </c>
      <c r="P55" s="11">
        <f t="shared" si="102"/>
        <v>0.27399999999999991</v>
      </c>
      <c r="Q55" s="11">
        <f t="shared" si="103"/>
        <v>2.0000000000000004</v>
      </c>
      <c r="R55" s="11">
        <f t="shared" si="104"/>
        <v>0.27400000000000002</v>
      </c>
      <c r="S55" s="12">
        <f t="shared" si="105"/>
        <v>-178</v>
      </c>
      <c r="T55" s="12">
        <f t="shared" si="106"/>
        <v>712</v>
      </c>
      <c r="U55" s="12">
        <f t="shared" si="107"/>
        <v>287</v>
      </c>
      <c r="V55" s="13">
        <f t="shared" si="108"/>
        <v>446</v>
      </c>
      <c r="W55" s="15">
        <f t="shared" si="109"/>
        <v>1.91</v>
      </c>
      <c r="X55" s="35"/>
      <c r="Y55" s="18">
        <f t="shared" si="110"/>
        <v>184.89599999999999</v>
      </c>
      <c r="Z55" s="18">
        <f t="shared" si="111"/>
        <v>225.36099999999999</v>
      </c>
      <c r="AA55" s="18">
        <f t="shared" si="112"/>
        <v>119.595</v>
      </c>
      <c r="AC55" s="23">
        <f t="shared" si="113"/>
        <v>691</v>
      </c>
      <c r="AD55" s="23">
        <f t="shared" si="114"/>
        <v>594.4748916645425</v>
      </c>
      <c r="AE55" s="23">
        <f t="shared" si="115"/>
        <v>506.103515625</v>
      </c>
      <c r="AF55" s="23">
        <f t="shared" si="116"/>
        <v>379.25356750823272</v>
      </c>
      <c r="AG55" s="23">
        <f t="shared" si="117"/>
        <v>280.74214517876487</v>
      </c>
      <c r="AH55" s="23">
        <f t="shared" si="118"/>
        <v>161.14738805970148</v>
      </c>
      <c r="AI55" s="23">
        <f t="shared" si="119"/>
        <v>100.94468250876508</v>
      </c>
    </row>
    <row r="56" spans="1:36">
      <c r="A56" s="29">
        <v>706</v>
      </c>
      <c r="B56" s="30">
        <v>686.2</v>
      </c>
      <c r="C56" s="30">
        <v>591.24968087822322</v>
      </c>
      <c r="D56" s="30">
        <v>504.06464250734581</v>
      </c>
      <c r="E56" s="30">
        <v>378.48869277440713</v>
      </c>
      <c r="F56" s="30">
        <v>280.61613958560525</v>
      </c>
      <c r="G56" s="30">
        <v>161.3828786453434</v>
      </c>
      <c r="H56" s="31">
        <v>101.18953991348802</v>
      </c>
      <c r="I56" s="9">
        <f t="shared" si="95"/>
        <v>0.68620000000000003</v>
      </c>
      <c r="J56" s="8">
        <f t="shared" si="96"/>
        <v>4.0350292822023679</v>
      </c>
      <c r="K56" s="8">
        <f t="shared" si="97"/>
        <v>4.3872118003137306</v>
      </c>
      <c r="L56" s="8">
        <f t="shared" si="98"/>
        <v>4.7393943184250933</v>
      </c>
      <c r="M56" s="8">
        <f t="shared" si="99"/>
        <v>4.9892717916416931</v>
      </c>
      <c r="N56" s="8">
        <f t="shared" si="100"/>
        <v>5.3414543097530558</v>
      </c>
      <c r="O56" s="8">
        <f t="shared" si="101"/>
        <v>5.5913317829696556</v>
      </c>
      <c r="P56" s="11">
        <f t="shared" si="102"/>
        <v>0.27099999999999813</v>
      </c>
      <c r="Q56" s="11">
        <f t="shared" si="103"/>
        <v>2.0000000000000013</v>
      </c>
      <c r="R56" s="11">
        <f t="shared" si="104"/>
        <v>0.27100000000000002</v>
      </c>
      <c r="S56" s="12">
        <f t="shared" si="105"/>
        <v>-181</v>
      </c>
      <c r="T56" s="12">
        <f t="shared" si="106"/>
        <v>724</v>
      </c>
      <c r="U56" s="12">
        <f t="shared" si="107"/>
        <v>288</v>
      </c>
      <c r="V56" s="13">
        <f t="shared" si="108"/>
        <v>445</v>
      </c>
      <c r="W56" s="15">
        <f t="shared" si="109"/>
        <v>1.921</v>
      </c>
      <c r="X56" s="35"/>
      <c r="Y56" s="18">
        <f t="shared" si="110"/>
        <v>182.13499999999999</v>
      </c>
      <c r="Z56" s="18">
        <f t="shared" si="111"/>
        <v>223.44900000000001</v>
      </c>
      <c r="AA56" s="18">
        <f t="shared" si="112"/>
        <v>119.233</v>
      </c>
      <c r="AC56" s="23">
        <f t="shared" si="113"/>
        <v>686.20000000000016</v>
      </c>
      <c r="AD56" s="23">
        <f t="shared" si="114"/>
        <v>591.24968087822322</v>
      </c>
      <c r="AE56" s="23">
        <f t="shared" si="115"/>
        <v>504.06464250734581</v>
      </c>
      <c r="AF56" s="23">
        <f t="shared" si="116"/>
        <v>378.48869277440713</v>
      </c>
      <c r="AG56" s="23">
        <f t="shared" si="117"/>
        <v>280.61613958560525</v>
      </c>
      <c r="AH56" s="23">
        <f t="shared" si="118"/>
        <v>161.3828786453434</v>
      </c>
      <c r="AI56" s="23">
        <f t="shared" si="119"/>
        <v>101.18953991348802</v>
      </c>
    </row>
    <row r="57" spans="1:36">
      <c r="A57" s="29">
        <v>704</v>
      </c>
      <c r="B57" s="30">
        <v>682.4</v>
      </c>
      <c r="C57" s="30">
        <v>588.27586206896547</v>
      </c>
      <c r="D57" s="30">
        <v>501.76470588235287</v>
      </c>
      <c r="E57" s="30">
        <v>377.01657458563528</v>
      </c>
      <c r="F57" s="30">
        <v>279.67213114754094</v>
      </c>
      <c r="G57" s="30">
        <v>160.94339622641508</v>
      </c>
      <c r="H57" s="31">
        <v>100.94674556213016</v>
      </c>
      <c r="I57" s="9">
        <f t="shared" si="95"/>
        <v>0.68240000000000001</v>
      </c>
      <c r="J57" s="8">
        <f t="shared" si="96"/>
        <v>4.0334237554869494</v>
      </c>
      <c r="K57" s="8">
        <f t="shared" si="97"/>
        <v>4.3856062735983121</v>
      </c>
      <c r="L57" s="8">
        <f t="shared" si="98"/>
        <v>4.7377887917096748</v>
      </c>
      <c r="M57" s="8">
        <f t="shared" si="99"/>
        <v>4.9876662649262746</v>
      </c>
      <c r="N57" s="8">
        <f t="shared" si="100"/>
        <v>5.3398487830376373</v>
      </c>
      <c r="O57" s="8">
        <f t="shared" si="101"/>
        <v>5.5897262562542371</v>
      </c>
      <c r="P57" s="11">
        <f t="shared" si="102"/>
        <v>0.26999999999999863</v>
      </c>
      <c r="Q57" s="11">
        <f t="shared" si="103"/>
        <v>2.0000000000000013</v>
      </c>
      <c r="R57" s="11">
        <f t="shared" si="104"/>
        <v>0.27</v>
      </c>
      <c r="S57" s="12">
        <f t="shared" si="105"/>
        <v>-183</v>
      </c>
      <c r="T57" s="12">
        <f t="shared" si="106"/>
        <v>732</v>
      </c>
      <c r="U57" s="12">
        <f t="shared" si="107"/>
        <v>289</v>
      </c>
      <c r="V57" s="13">
        <f t="shared" si="108"/>
        <v>444</v>
      </c>
      <c r="W57" s="15">
        <f t="shared" si="109"/>
        <v>1.925</v>
      </c>
      <c r="X57" s="35"/>
      <c r="Y57" s="18">
        <f t="shared" si="110"/>
        <v>180.63499999999999</v>
      </c>
      <c r="Z57" s="18">
        <f t="shared" si="111"/>
        <v>222.09299999999999</v>
      </c>
      <c r="AA57" s="18">
        <f t="shared" si="112"/>
        <v>118.729</v>
      </c>
      <c r="AC57" s="23">
        <f t="shared" si="113"/>
        <v>682.39999999999986</v>
      </c>
      <c r="AD57" s="23">
        <f t="shared" si="114"/>
        <v>588.27586206896547</v>
      </c>
      <c r="AE57" s="23">
        <f t="shared" si="115"/>
        <v>501.76470588235287</v>
      </c>
      <c r="AF57" s="23">
        <f t="shared" si="116"/>
        <v>377.01657458563528</v>
      </c>
      <c r="AG57" s="23">
        <f t="shared" si="117"/>
        <v>279.67213114754094</v>
      </c>
      <c r="AH57" s="23">
        <f t="shared" si="118"/>
        <v>160.94339622641508</v>
      </c>
      <c r="AI57" s="23">
        <f t="shared" si="119"/>
        <v>100.94674556213016</v>
      </c>
    </row>
    <row r="58" spans="1:36">
      <c r="A58" s="29">
        <v>1407</v>
      </c>
      <c r="B58" s="30">
        <v>1170.5</v>
      </c>
      <c r="C58" s="30">
        <v>1024.2254342753436</v>
      </c>
      <c r="D58" s="30">
        <v>885.84762865792129</v>
      </c>
      <c r="E58" s="30">
        <v>679.33836331979103</v>
      </c>
      <c r="F58" s="30">
        <v>512.17911318553092</v>
      </c>
      <c r="G58" s="30">
        <v>300.74511819116134</v>
      </c>
      <c r="H58" s="31">
        <v>190.59379070777248</v>
      </c>
      <c r="I58" s="9">
        <f t="shared" si="95"/>
        <v>1.1705000000000001</v>
      </c>
      <c r="J58" s="8">
        <f t="shared" si="96"/>
        <v>3.9840770339028309</v>
      </c>
      <c r="K58" s="8">
        <f t="shared" si="97"/>
        <v>4.3362595520141936</v>
      </c>
      <c r="L58" s="8">
        <f t="shared" si="98"/>
        <v>4.6884420701255554</v>
      </c>
      <c r="M58" s="8">
        <f t="shared" si="99"/>
        <v>4.9383195433421561</v>
      </c>
      <c r="N58" s="8">
        <f t="shared" si="100"/>
        <v>5.2905020614535179</v>
      </c>
      <c r="O58" s="8">
        <f t="shared" si="101"/>
        <v>5.5403795346701177</v>
      </c>
      <c r="P58" s="11">
        <f t="shared" si="102"/>
        <v>0.24099999999999994</v>
      </c>
      <c r="Q58" s="11">
        <f t="shared" si="103"/>
        <v>2.0000000000000004</v>
      </c>
      <c r="R58" s="11">
        <f t="shared" si="104"/>
        <v>0.24099999999999999</v>
      </c>
      <c r="S58" s="12">
        <f t="shared" si="105"/>
        <v>-120</v>
      </c>
      <c r="T58" s="12">
        <f t="shared" si="106"/>
        <v>480</v>
      </c>
      <c r="U58" s="12">
        <f t="shared" si="107"/>
        <v>306</v>
      </c>
      <c r="V58" s="13">
        <f t="shared" si="108"/>
        <v>796</v>
      </c>
      <c r="W58" s="15">
        <f t="shared" si="109"/>
        <v>2.0369999999999999</v>
      </c>
      <c r="X58" s="35"/>
      <c r="Y58" s="18">
        <f t="shared" si="110"/>
        <v>284.65199999999999</v>
      </c>
      <c r="Z58" s="18">
        <f t="shared" si="111"/>
        <v>373.66899999999998</v>
      </c>
      <c r="AA58" s="18">
        <f t="shared" si="112"/>
        <v>211.434</v>
      </c>
      <c r="AC58" s="23">
        <f t="shared" si="113"/>
        <v>1170.5</v>
      </c>
      <c r="AD58" s="23">
        <f t="shared" si="114"/>
        <v>1024.2254342753436</v>
      </c>
      <c r="AE58" s="23">
        <f t="shared" si="115"/>
        <v>885.84762865792129</v>
      </c>
      <c r="AF58" s="23">
        <f t="shared" si="116"/>
        <v>679.33836331979103</v>
      </c>
      <c r="AG58" s="23">
        <f t="shared" si="117"/>
        <v>512.17911318553092</v>
      </c>
      <c r="AH58" s="23">
        <f t="shared" si="118"/>
        <v>300.74511819116134</v>
      </c>
      <c r="AI58" s="23">
        <f t="shared" si="119"/>
        <v>190.59379070777248</v>
      </c>
    </row>
    <row r="59" spans="1:36">
      <c r="A59" s="29">
        <v>1409</v>
      </c>
      <c r="B59" s="30">
        <v>1176.8</v>
      </c>
      <c r="C59" s="30">
        <v>1031.3425084393662</v>
      </c>
      <c r="D59" s="30">
        <v>893.31983805667994</v>
      </c>
      <c r="E59" s="30">
        <v>686.58109684947476</v>
      </c>
      <c r="F59" s="30">
        <v>518.56639247943588</v>
      </c>
      <c r="G59" s="30">
        <v>305.18672199170118</v>
      </c>
      <c r="H59" s="31">
        <v>193.63756033347957</v>
      </c>
      <c r="I59" s="9">
        <f t="shared" si="95"/>
        <v>1.1767999999999998</v>
      </c>
      <c r="J59" s="8">
        <f t="shared" si="96"/>
        <v>3.9786369483844748</v>
      </c>
      <c r="K59" s="8">
        <f t="shared" si="97"/>
        <v>4.3308194664958375</v>
      </c>
      <c r="L59" s="8">
        <f t="shared" si="98"/>
        <v>4.6830019846071993</v>
      </c>
      <c r="M59" s="8">
        <f t="shared" si="99"/>
        <v>4.9328794578237991</v>
      </c>
      <c r="N59" s="8">
        <f t="shared" si="100"/>
        <v>5.2850619759351618</v>
      </c>
      <c r="O59" s="8">
        <f t="shared" si="101"/>
        <v>5.5349394491517616</v>
      </c>
      <c r="P59" s="11">
        <f t="shared" si="102"/>
        <v>0.23799999999999963</v>
      </c>
      <c r="Q59" s="11">
        <f t="shared" si="103"/>
        <v>2</v>
      </c>
      <c r="R59" s="11">
        <f t="shared" si="104"/>
        <v>0.23799999999999999</v>
      </c>
      <c r="S59" s="12">
        <f t="shared" si="105"/>
        <v>-121</v>
      </c>
      <c r="T59" s="12">
        <f t="shared" si="106"/>
        <v>484</v>
      </c>
      <c r="U59" s="12">
        <f t="shared" si="107"/>
        <v>307</v>
      </c>
      <c r="V59" s="13">
        <f t="shared" si="108"/>
        <v>804</v>
      </c>
      <c r="W59" s="15">
        <f t="shared" si="109"/>
        <v>2.0499999999999998</v>
      </c>
      <c r="X59" s="35"/>
      <c r="Y59" s="18">
        <f t="shared" si="110"/>
        <v>283.48</v>
      </c>
      <c r="Z59" s="18">
        <f t="shared" si="111"/>
        <v>374.75299999999999</v>
      </c>
      <c r="AA59" s="18">
        <f t="shared" si="112"/>
        <v>213.38</v>
      </c>
      <c r="AC59" s="23">
        <f t="shared" si="113"/>
        <v>1176.7999999999997</v>
      </c>
      <c r="AD59" s="23">
        <f t="shared" si="114"/>
        <v>1031.3425084393662</v>
      </c>
      <c r="AE59" s="23">
        <f t="shared" si="115"/>
        <v>893.31983805667994</v>
      </c>
      <c r="AF59" s="23">
        <f t="shared" si="116"/>
        <v>686.58109684947476</v>
      </c>
      <c r="AG59" s="23">
        <f t="shared" si="117"/>
        <v>518.56639247943588</v>
      </c>
      <c r="AH59" s="23">
        <f t="shared" si="118"/>
        <v>305.18672199170118</v>
      </c>
      <c r="AI59" s="23">
        <f t="shared" si="119"/>
        <v>193.63756033347957</v>
      </c>
    </row>
    <row r="60" spans="1:36">
      <c r="A60" s="29">
        <v>1405</v>
      </c>
      <c r="B60" s="30">
        <v>1166.4000000000001</v>
      </c>
      <c r="C60" s="30">
        <v>1023.8231469440832</v>
      </c>
      <c r="D60" s="30">
        <v>888.12182741116749</v>
      </c>
      <c r="E60" s="30">
        <v>684.10557184750735</v>
      </c>
      <c r="F60" s="30">
        <v>517.63313609467457</v>
      </c>
      <c r="G60" s="30">
        <v>305.34031413612564</v>
      </c>
      <c r="H60" s="31">
        <v>193.9689578713969</v>
      </c>
      <c r="I60" s="9">
        <f t="shared" si="95"/>
        <v>1.1664000000000001</v>
      </c>
      <c r="J60" s="8">
        <f t="shared" si="96"/>
        <v>3.9731278535996988</v>
      </c>
      <c r="K60" s="8">
        <f t="shared" si="97"/>
        <v>4.325310371711061</v>
      </c>
      <c r="L60" s="8">
        <f t="shared" si="98"/>
        <v>4.6774928898224237</v>
      </c>
      <c r="M60" s="8">
        <f t="shared" si="99"/>
        <v>4.9273703630390235</v>
      </c>
      <c r="N60" s="8">
        <f t="shared" si="100"/>
        <v>5.2795528811503862</v>
      </c>
      <c r="O60" s="8">
        <f t="shared" si="101"/>
        <v>5.529430354366986</v>
      </c>
      <c r="P60" s="11">
        <f t="shared" si="102"/>
        <v>0.23499999999999976</v>
      </c>
      <c r="Q60" s="11">
        <f t="shared" si="103"/>
        <v>2.0000000000000009</v>
      </c>
      <c r="R60" s="11">
        <f t="shared" si="104"/>
        <v>0.23499999999999999</v>
      </c>
      <c r="S60" s="12">
        <f t="shared" si="105"/>
        <v>-123</v>
      </c>
      <c r="T60" s="12">
        <f t="shared" si="106"/>
        <v>492</v>
      </c>
      <c r="U60" s="12">
        <f t="shared" si="107"/>
        <v>309</v>
      </c>
      <c r="V60" s="13">
        <f t="shared" si="108"/>
        <v>801</v>
      </c>
      <c r="W60" s="15">
        <f t="shared" si="109"/>
        <v>2.0630000000000002</v>
      </c>
      <c r="X60" s="35"/>
      <c r="Y60" s="18">
        <f t="shared" si="110"/>
        <v>278.27800000000002</v>
      </c>
      <c r="Z60" s="18">
        <f t="shared" si="111"/>
        <v>370.48899999999998</v>
      </c>
      <c r="AA60" s="18">
        <f t="shared" si="112"/>
        <v>212.29300000000001</v>
      </c>
      <c r="AC60" s="23">
        <f t="shared" si="113"/>
        <v>1166.4000000000001</v>
      </c>
      <c r="AD60" s="23">
        <f t="shared" si="114"/>
        <v>1023.8231469440832</v>
      </c>
      <c r="AE60" s="23">
        <f t="shared" si="115"/>
        <v>888.12182741116749</v>
      </c>
      <c r="AF60" s="23">
        <f t="shared" si="116"/>
        <v>684.10557184750735</v>
      </c>
      <c r="AG60" s="23">
        <f t="shared" si="117"/>
        <v>517.63313609467457</v>
      </c>
      <c r="AH60" s="23">
        <f t="shared" si="118"/>
        <v>305.34031413612564</v>
      </c>
      <c r="AI60" s="23">
        <f t="shared" si="119"/>
        <v>193.9689578713969</v>
      </c>
    </row>
    <row r="61" spans="1:36" ht="13.5" thickBot="1">
      <c r="A61" s="32">
        <v>1401</v>
      </c>
      <c r="B61" s="33">
        <v>1163.9000000000001</v>
      </c>
      <c r="C61" s="33">
        <v>1021.0976085261243</v>
      </c>
      <c r="D61" s="33">
        <v>885.31947261663288</v>
      </c>
      <c r="E61" s="33">
        <v>681.44028103044502</v>
      </c>
      <c r="F61" s="33">
        <v>515.30401416765051</v>
      </c>
      <c r="G61" s="33">
        <v>303.73173277661795</v>
      </c>
      <c r="H61" s="34">
        <v>192.86897923110914</v>
      </c>
      <c r="I61" s="9">
        <f t="shared" si="95"/>
        <v>1.1639000000000002</v>
      </c>
      <c r="J61" s="8">
        <f t="shared" si="96"/>
        <v>3.9749719942980688</v>
      </c>
      <c r="K61" s="8">
        <f t="shared" si="97"/>
        <v>4.3271545124094315</v>
      </c>
      <c r="L61" s="8">
        <f t="shared" si="98"/>
        <v>4.6793370305207942</v>
      </c>
      <c r="M61" s="8">
        <f t="shared" si="99"/>
        <v>4.929214503737394</v>
      </c>
      <c r="N61" s="8">
        <f t="shared" si="100"/>
        <v>5.2813970218487567</v>
      </c>
      <c r="O61" s="8">
        <f t="shared" si="101"/>
        <v>5.5312744950653565</v>
      </c>
      <c r="P61" s="11">
        <f t="shared" si="102"/>
        <v>0.23599999999999885</v>
      </c>
      <c r="Q61" s="11">
        <f t="shared" si="103"/>
        <v>2.0000000000000013</v>
      </c>
      <c r="R61" s="11">
        <f t="shared" si="104"/>
        <v>0.23599999999999999</v>
      </c>
      <c r="S61" s="12">
        <f t="shared" si="105"/>
        <v>-123</v>
      </c>
      <c r="T61" s="12">
        <f t="shared" si="106"/>
        <v>492</v>
      </c>
      <c r="U61" s="12">
        <f t="shared" si="107"/>
        <v>309</v>
      </c>
      <c r="V61" s="13">
        <f t="shared" si="108"/>
        <v>798</v>
      </c>
      <c r="W61" s="15">
        <f t="shared" si="109"/>
        <v>2.0579999999999998</v>
      </c>
      <c r="X61" s="35"/>
      <c r="Y61" s="18">
        <f t="shared" si="110"/>
        <v>278.58100000000002</v>
      </c>
      <c r="Z61" s="18">
        <f t="shared" si="111"/>
        <v>370.01499999999999</v>
      </c>
      <c r="AA61" s="18">
        <f t="shared" si="112"/>
        <v>211.572</v>
      </c>
      <c r="AC61" s="23">
        <f t="shared" si="113"/>
        <v>1163.9000000000001</v>
      </c>
      <c r="AD61" s="23">
        <f t="shared" si="114"/>
        <v>1021.0976085261243</v>
      </c>
      <c r="AE61" s="23">
        <f t="shared" si="115"/>
        <v>885.31947261663288</v>
      </c>
      <c r="AF61" s="23">
        <f t="shared" si="116"/>
        <v>681.44028103044502</v>
      </c>
      <c r="AG61" s="23">
        <f t="shared" si="117"/>
        <v>515.30401416765051</v>
      </c>
      <c r="AH61" s="23">
        <f t="shared" si="118"/>
        <v>303.73173277661795</v>
      </c>
      <c r="AI61" s="23">
        <f t="shared" si="119"/>
        <v>192.86897923110914</v>
      </c>
    </row>
    <row r="62" spans="1:36">
      <c r="A62" s="24">
        <f t="shared" ref="A62:W62" si="120">AVERAGE(A50:A53)</f>
        <v>387.5</v>
      </c>
      <c r="B62" s="24">
        <f t="shared" si="120"/>
        <v>422.02499999999998</v>
      </c>
      <c r="C62" s="24">
        <f t="shared" si="120"/>
        <v>357.3700948649398</v>
      </c>
      <c r="D62" s="24">
        <f t="shared" si="120"/>
        <v>299.93326741977035</v>
      </c>
      <c r="E62" s="24">
        <f t="shared" si="120"/>
        <v>220.27741965255044</v>
      </c>
      <c r="F62" s="24">
        <f t="shared" si="120"/>
        <v>160.57482116088903</v>
      </c>
      <c r="G62" s="24">
        <f t="shared" si="120"/>
        <v>90.496524992489753</v>
      </c>
      <c r="H62" s="24">
        <f t="shared" si="120"/>
        <v>56.17455816829964</v>
      </c>
      <c r="I62" s="24">
        <f t="shared" si="120"/>
        <v>0.42202499999999998</v>
      </c>
      <c r="J62" s="24">
        <f t="shared" si="120"/>
        <v>4.0867000994460421</v>
      </c>
      <c r="K62" s="24">
        <f t="shared" si="120"/>
        <v>4.4388826175574048</v>
      </c>
      <c r="L62" s="24">
        <f t="shared" si="120"/>
        <v>4.7910651356687675</v>
      </c>
      <c r="M62" s="24">
        <f t="shared" si="120"/>
        <v>5.0409426088853673</v>
      </c>
      <c r="N62" s="24">
        <f t="shared" si="120"/>
        <v>5.39312512699673</v>
      </c>
      <c r="O62" s="24">
        <f t="shared" si="120"/>
        <v>5.6430026002133298</v>
      </c>
      <c r="P62" s="24">
        <f t="shared" si="120"/>
        <v>0.30524999999999919</v>
      </c>
      <c r="Q62" s="24">
        <f t="shared" si="120"/>
        <v>2.0000000000000004</v>
      </c>
      <c r="R62" s="24">
        <f t="shared" si="120"/>
        <v>0.30525000000000002</v>
      </c>
      <c r="S62" s="24">
        <f t="shared" si="120"/>
        <v>-262.5</v>
      </c>
      <c r="T62" s="24">
        <f t="shared" si="120"/>
        <v>1050</v>
      </c>
      <c r="U62" s="24">
        <f t="shared" si="120"/>
        <v>271.5</v>
      </c>
      <c r="V62" s="24">
        <f t="shared" si="120"/>
        <v>261</v>
      </c>
      <c r="W62" s="24">
        <f t="shared" si="120"/>
        <v>1.8102500000000001</v>
      </c>
      <c r="X62" s="36">
        <f>SLOPE(W62:W64,A62:A64)</f>
        <v>2.3096474537504858E-4</v>
      </c>
      <c r="Y62" s="24">
        <f>AVERAGE(Y50:Y53)</f>
        <v>122.09200000000001</v>
      </c>
      <c r="Z62" s="24">
        <f>AVERAGE(Z50:Z53)</f>
        <v>139.35849999999999</v>
      </c>
      <c r="AA62" s="24">
        <f>AVERAGE(AA50:AA53)</f>
        <v>70.078249999999997</v>
      </c>
      <c r="AB62"/>
      <c r="AC62" s="24">
        <f t="shared" ref="AC62:AI62" si="121">AVERAGE(AC50:AC53)</f>
        <v>422.02499999999992</v>
      </c>
      <c r="AD62" s="24">
        <f t="shared" si="121"/>
        <v>357.3700948649398</v>
      </c>
      <c r="AE62" s="24">
        <f t="shared" si="121"/>
        <v>299.93326741977035</v>
      </c>
      <c r="AF62" s="24">
        <f t="shared" si="121"/>
        <v>220.27741965255044</v>
      </c>
      <c r="AG62" s="24">
        <f t="shared" si="121"/>
        <v>160.57482116088903</v>
      </c>
      <c r="AH62" s="24">
        <f t="shared" si="121"/>
        <v>90.496524992489753</v>
      </c>
      <c r="AI62" s="24">
        <f t="shared" si="121"/>
        <v>56.17455816829964</v>
      </c>
    </row>
    <row r="63" spans="1:36">
      <c r="A63" s="24">
        <f t="shared" ref="A63:W63" si="122">AVERAGE(A54:A57)</f>
        <v>711.5</v>
      </c>
      <c r="B63" s="24">
        <f t="shared" si="122"/>
        <v>693.37500000000011</v>
      </c>
      <c r="C63" s="24">
        <f t="shared" si="122"/>
        <v>596.96587298414295</v>
      </c>
      <c r="D63" s="24">
        <f t="shared" si="122"/>
        <v>508.57467941830879</v>
      </c>
      <c r="E63" s="24">
        <f t="shared" si="122"/>
        <v>381.48422926501394</v>
      </c>
      <c r="F63" s="24">
        <f t="shared" si="122"/>
        <v>282.61233370770748</v>
      </c>
      <c r="G63" s="24">
        <f t="shared" si="122"/>
        <v>162.37422968635337</v>
      </c>
      <c r="H63" s="24">
        <f t="shared" si="122"/>
        <v>101.76174685046475</v>
      </c>
      <c r="I63" s="24">
        <f t="shared" si="122"/>
        <v>0.69337499999999996</v>
      </c>
      <c r="J63" s="24">
        <f t="shared" si="122"/>
        <v>4.0374140692489728</v>
      </c>
      <c r="K63" s="24">
        <f t="shared" si="122"/>
        <v>4.3895965873603355</v>
      </c>
      <c r="L63" s="24">
        <f t="shared" si="122"/>
        <v>4.7417791054716982</v>
      </c>
      <c r="M63" s="24">
        <f t="shared" si="122"/>
        <v>4.991656578688298</v>
      </c>
      <c r="N63" s="24">
        <f t="shared" si="122"/>
        <v>5.3438390967996607</v>
      </c>
      <c r="O63" s="24">
        <f t="shared" si="122"/>
        <v>5.5937165700162605</v>
      </c>
      <c r="P63" s="24">
        <f t="shared" si="122"/>
        <v>0.27249999999999919</v>
      </c>
      <c r="Q63" s="24">
        <f t="shared" si="122"/>
        <v>2.0000000000000009</v>
      </c>
      <c r="R63" s="24">
        <f t="shared" si="122"/>
        <v>0.27250000000000002</v>
      </c>
      <c r="S63" s="24">
        <f t="shared" si="122"/>
        <v>-178.5</v>
      </c>
      <c r="T63" s="24">
        <f t="shared" si="122"/>
        <v>714</v>
      </c>
      <c r="U63" s="24">
        <f t="shared" si="122"/>
        <v>287.5</v>
      </c>
      <c r="V63" s="24">
        <f t="shared" si="122"/>
        <v>449</v>
      </c>
      <c r="W63" s="24">
        <f t="shared" si="122"/>
        <v>1.9157500000000001</v>
      </c>
      <c r="X63" s="24"/>
      <c r="Y63" s="24">
        <f>AVERAGE(Y54:Y57)</f>
        <v>184.79999999999998</v>
      </c>
      <c r="Z63" s="24">
        <f>AVERAGE(Z54:Z57)</f>
        <v>225.96250000000001</v>
      </c>
      <c r="AA63" s="24">
        <f>AVERAGE(AA54:AA57)</f>
        <v>120.23824999999999</v>
      </c>
      <c r="AB63" s="24">
        <f>AC63/AC62</f>
        <v>1.6429713879509511</v>
      </c>
      <c r="AC63" s="24">
        <f t="shared" ref="AC63:AI63" si="123">AVERAGE(AC54:AC57)</f>
        <v>693.375</v>
      </c>
      <c r="AD63" s="24">
        <f t="shared" si="123"/>
        <v>596.96587298414295</v>
      </c>
      <c r="AE63" s="24">
        <f t="shared" si="123"/>
        <v>508.57467941830879</v>
      </c>
      <c r="AF63" s="24">
        <f t="shared" si="123"/>
        <v>381.48422926501394</v>
      </c>
      <c r="AG63" s="24">
        <f t="shared" si="123"/>
        <v>282.61233370770748</v>
      </c>
      <c r="AH63" s="24">
        <f t="shared" si="123"/>
        <v>162.37422968635337</v>
      </c>
      <c r="AI63" s="24">
        <f t="shared" si="123"/>
        <v>101.76174685046475</v>
      </c>
      <c r="AJ63" s="1">
        <f>AI63/AI62</f>
        <v>1.8115273207060276</v>
      </c>
    </row>
    <row r="64" spans="1:36" ht="13.5" thickBot="1">
      <c r="A64" s="24">
        <f t="shared" ref="A64:W64" si="124">AVERAGE(A58:A61)</f>
        <v>1405.5</v>
      </c>
      <c r="B64" s="24">
        <f t="shared" si="124"/>
        <v>1169.4000000000001</v>
      </c>
      <c r="C64" s="24">
        <f t="shared" si="124"/>
        <v>1025.1221745462294</v>
      </c>
      <c r="D64" s="24">
        <f t="shared" si="124"/>
        <v>888.15219168560043</v>
      </c>
      <c r="E64" s="24">
        <f t="shared" si="124"/>
        <v>682.86632826180448</v>
      </c>
      <c r="F64" s="24">
        <f t="shared" si="124"/>
        <v>515.92066398182305</v>
      </c>
      <c r="G64" s="24">
        <f t="shared" si="124"/>
        <v>303.75097177390154</v>
      </c>
      <c r="H64" s="24">
        <f t="shared" si="124"/>
        <v>192.76732203593954</v>
      </c>
      <c r="I64" s="24">
        <f t="shared" si="124"/>
        <v>1.1694</v>
      </c>
      <c r="J64" s="24">
        <f t="shared" si="124"/>
        <v>3.9777034575462684</v>
      </c>
      <c r="K64" s="24">
        <f t="shared" si="124"/>
        <v>4.3298859756576311</v>
      </c>
      <c r="L64" s="24">
        <f t="shared" si="124"/>
        <v>4.6820684937689938</v>
      </c>
      <c r="M64" s="24">
        <f t="shared" si="124"/>
        <v>4.9319459669855936</v>
      </c>
      <c r="N64" s="24">
        <f t="shared" si="124"/>
        <v>5.2841284850969563</v>
      </c>
      <c r="O64" s="24">
        <f t="shared" si="124"/>
        <v>5.5340059583135561</v>
      </c>
      <c r="P64" s="24">
        <f t="shared" si="124"/>
        <v>0.23749999999999954</v>
      </c>
      <c r="Q64" s="24">
        <f t="shared" si="124"/>
        <v>2.0000000000000004</v>
      </c>
      <c r="R64" s="24">
        <f t="shared" si="124"/>
        <v>0.23749999999999999</v>
      </c>
      <c r="S64" s="24">
        <f t="shared" si="124"/>
        <v>-121.75</v>
      </c>
      <c r="T64" s="24">
        <f t="shared" si="124"/>
        <v>487</v>
      </c>
      <c r="U64" s="24">
        <f t="shared" si="124"/>
        <v>307.75</v>
      </c>
      <c r="V64" s="24">
        <f t="shared" si="124"/>
        <v>799.75</v>
      </c>
      <c r="W64" s="24">
        <f t="shared" si="124"/>
        <v>2.052</v>
      </c>
      <c r="X64" s="24"/>
      <c r="Y64" s="24">
        <f>AVERAGE(Y58:Y61)</f>
        <v>281.24775</v>
      </c>
      <c r="Z64" s="24">
        <f>AVERAGE(Z58:Z61)</f>
        <v>372.23149999999998</v>
      </c>
      <c r="AA64" s="24">
        <f>AVERAGE(AA58:AA61)</f>
        <v>212.16974999999999</v>
      </c>
      <c r="AB64" s="24">
        <f>AC64/AC62</f>
        <v>2.7709258930158174</v>
      </c>
      <c r="AC64" s="24">
        <f t="shared" ref="AC64:AI64" si="125">AVERAGE(AC58:AC61)</f>
        <v>1169.4000000000001</v>
      </c>
      <c r="AD64" s="24">
        <f t="shared" si="125"/>
        <v>1025.1221745462294</v>
      </c>
      <c r="AE64" s="24">
        <f t="shared" si="125"/>
        <v>888.15219168560043</v>
      </c>
      <c r="AF64" s="24">
        <f t="shared" si="125"/>
        <v>682.86632826180448</v>
      </c>
      <c r="AG64" s="24">
        <f t="shared" si="125"/>
        <v>515.92066398182305</v>
      </c>
      <c r="AH64" s="24">
        <f t="shared" si="125"/>
        <v>303.75097177390154</v>
      </c>
      <c r="AI64" s="24">
        <f t="shared" si="125"/>
        <v>192.76732203593954</v>
      </c>
      <c r="AJ64" s="1">
        <f>AI64/AI62</f>
        <v>3.431577004280236</v>
      </c>
    </row>
    <row r="65" spans="1:36">
      <c r="A65" s="26">
        <v>366</v>
      </c>
      <c r="B65" s="27">
        <v>471.7</v>
      </c>
      <c r="C65" s="27">
        <v>388.38436203952176</v>
      </c>
      <c r="D65" s="27">
        <v>318.14298561151077</v>
      </c>
      <c r="E65" s="27">
        <v>226.1265580057526</v>
      </c>
      <c r="F65" s="27">
        <v>160.95313921747041</v>
      </c>
      <c r="G65" s="27">
        <v>88.267215568862269</v>
      </c>
      <c r="H65" s="28">
        <v>54.077499235707727</v>
      </c>
      <c r="I65" s="9">
        <f t="shared" ref="I65:I76" si="126">B65/1000</f>
        <v>0.47170000000000001</v>
      </c>
      <c r="J65" s="8">
        <f t="shared" ref="J65:J76" si="127">LOG10((((3*150*150)*B65)/C65)-((3*150*150)))</f>
        <v>4.1607685618611283</v>
      </c>
      <c r="K65" s="8">
        <f t="shared" ref="K65:K76" si="128">LOG10((((3*150*150)*B65)/D65)-((3*150*150)))</f>
        <v>4.512951079972491</v>
      </c>
      <c r="L65" s="8">
        <f t="shared" ref="L65:L76" si="129">LOG10((((3*150*150)*B65)/E65)-((3*150*150)))</f>
        <v>4.8651335980838528</v>
      </c>
      <c r="M65" s="8">
        <f t="shared" ref="M65:M76" si="130">LOG10((((3*150*150)*B65)/F65)-((3*150*150)))</f>
        <v>5.1150110713004526</v>
      </c>
      <c r="N65" s="8">
        <f t="shared" ref="N65:N76" si="131">LOG10((((3*150*150)*B65)/G65)-((3*150*150)))</f>
        <v>5.4671935894118153</v>
      </c>
      <c r="O65" s="8">
        <f t="shared" ref="O65:O76" si="132">LOG10((((3*150*150)*B65)/H65)-((3*150*150)))</f>
        <v>5.7170710626284151</v>
      </c>
      <c r="P65" s="11">
        <f t="shared" ref="P65:P76" si="133">10^(INTERCEPT(J65:O65,$J$1:$O$1))</f>
        <v>0.36199999999999932</v>
      </c>
      <c r="Q65" s="11">
        <f t="shared" ref="Q65:Q76" si="134">LINEST(J65:O65,$J$1:$O$1)</f>
        <v>2</v>
      </c>
      <c r="R65" s="11">
        <f t="shared" ref="R65:R76" si="135">ROUND(10^((SUM(J65:N65)-2*SUM($J$1:$N$1))/5),3)</f>
        <v>0.36199999999999999</v>
      </c>
      <c r="S65" s="12">
        <f t="shared" ref="S65:S76" si="136">ROUND(-1.5*((150^2)/(R65*I65))/1000,0)</f>
        <v>-198</v>
      </c>
      <c r="T65" s="12">
        <f t="shared" ref="T65:T76" si="137">-4*S65</f>
        <v>792</v>
      </c>
      <c r="U65" s="12">
        <f t="shared" ref="U65:U76" si="138">ROUND(150/(R65^0.5),0)</f>
        <v>249</v>
      </c>
      <c r="V65" s="13">
        <f t="shared" ref="V65:V76" si="139">ROUND(150*I65*ATAN((1800*SQRT(3*R65))/(3*150))*SQRT(3/(R65)),0)</f>
        <v>272</v>
      </c>
      <c r="W65" s="15">
        <f t="shared" ref="W65:W76" si="140">ROUND(1/SQRT(R65),3)</f>
        <v>1.6619999999999999</v>
      </c>
      <c r="X65" s="36">
        <f>SLOPE(W65:W76,A65:A76)</f>
        <v>2.1532735895923153E-4</v>
      </c>
      <c r="Y65" s="18">
        <f t="shared" ref="Y65:Y76" si="141">ROUND(B65-D65,3)</f>
        <v>153.55699999999999</v>
      </c>
      <c r="Z65" s="18">
        <f t="shared" ref="Z65:Z76" si="142">ROUND(D65-F65,3)</f>
        <v>157.19</v>
      </c>
      <c r="AA65" s="18">
        <f t="shared" ref="AA65:AA76" si="143">ROUND(F65-G65,3)</f>
        <v>72.686000000000007</v>
      </c>
      <c r="AC65" s="23">
        <f t="shared" ref="AC65:AC76" si="144">((B65)*3*150^2)/(R65*$AC$3^2+3*150^2)</f>
        <v>471.69999999999993</v>
      </c>
      <c r="AD65" s="23">
        <f t="shared" ref="AD65:AD76" si="145">((B65)*3*150^2)/(R65*$AD$3^2+3*150^2)</f>
        <v>388.38436203952176</v>
      </c>
      <c r="AE65" s="23">
        <f t="shared" ref="AE65:AE76" si="146">((B65)*3*150^2)/(R65*$AE$3^2+3*150^2)</f>
        <v>318.14298561151077</v>
      </c>
      <c r="AF65" s="23">
        <f t="shared" ref="AF65:AF76" si="147">((B65)*3*150^2)/(R65*$AF$3^2+3*150^2)</f>
        <v>226.1265580057526</v>
      </c>
      <c r="AG65" s="23">
        <f t="shared" ref="AG65:AG76" si="148">((B65)*3*150^2)/(R65*$AG$3^2+3*150^2)</f>
        <v>160.95313921747041</v>
      </c>
      <c r="AH65" s="23">
        <f t="shared" ref="AH65:AH76" si="149">((B65)*3*150^2)/(R65*$AH$3^2+3*150^2)</f>
        <v>88.267215568862269</v>
      </c>
      <c r="AI65" s="23">
        <f t="shared" ref="AI65:AI76" si="150">((B65)*3*150^2)/(R65*$AI$3^2+3*150^2)</f>
        <v>54.077499235707727</v>
      </c>
    </row>
    <row r="66" spans="1:36">
      <c r="A66" s="29">
        <v>376</v>
      </c>
      <c r="B66" s="30">
        <v>426.1</v>
      </c>
      <c r="C66" s="30">
        <v>353.07819788853431</v>
      </c>
      <c r="D66" s="30">
        <v>290.78707916287539</v>
      </c>
      <c r="E66" s="30">
        <v>208.15828041035664</v>
      </c>
      <c r="F66" s="30">
        <v>148.91658900279592</v>
      </c>
      <c r="G66" s="30">
        <v>82.131842713955294</v>
      </c>
      <c r="H66" s="31">
        <v>50.453899589516901</v>
      </c>
      <c r="I66" s="9">
        <f t="shared" si="126"/>
        <v>0.42610000000000003</v>
      </c>
      <c r="J66" s="8">
        <f t="shared" si="127"/>
        <v>4.1448854182871422</v>
      </c>
      <c r="K66" s="8">
        <f t="shared" si="128"/>
        <v>4.4970679363985049</v>
      </c>
      <c r="L66" s="8">
        <f t="shared" si="129"/>
        <v>4.8492504545098676</v>
      </c>
      <c r="M66" s="8">
        <f t="shared" si="130"/>
        <v>5.0991279277264674</v>
      </c>
      <c r="N66" s="8">
        <f t="shared" si="131"/>
        <v>5.4513104458378292</v>
      </c>
      <c r="O66" s="8">
        <f t="shared" si="132"/>
        <v>5.701187919054429</v>
      </c>
      <c r="P66" s="11">
        <f t="shared" si="133"/>
        <v>0.34899999999999975</v>
      </c>
      <c r="Q66" s="11">
        <f t="shared" si="134"/>
        <v>2.0000000000000004</v>
      </c>
      <c r="R66" s="11">
        <f t="shared" si="135"/>
        <v>0.34899999999999998</v>
      </c>
      <c r="S66" s="12">
        <f t="shared" si="136"/>
        <v>-227</v>
      </c>
      <c r="T66" s="12">
        <f t="shared" si="137"/>
        <v>908</v>
      </c>
      <c r="U66" s="12">
        <f t="shared" si="138"/>
        <v>254</v>
      </c>
      <c r="V66" s="13">
        <f t="shared" si="139"/>
        <v>249</v>
      </c>
      <c r="W66" s="15">
        <f t="shared" si="140"/>
        <v>1.6930000000000001</v>
      </c>
      <c r="X66" s="35"/>
      <c r="Y66" s="18">
        <f t="shared" si="141"/>
        <v>135.31299999999999</v>
      </c>
      <c r="Z66" s="18">
        <f t="shared" si="142"/>
        <v>141.87</v>
      </c>
      <c r="AA66" s="18">
        <f t="shared" si="143"/>
        <v>66.784999999999997</v>
      </c>
      <c r="AC66" s="23">
        <f t="shared" si="144"/>
        <v>426.10000000000008</v>
      </c>
      <c r="AD66" s="23">
        <f t="shared" si="145"/>
        <v>353.07819788853431</v>
      </c>
      <c r="AE66" s="23">
        <f t="shared" si="146"/>
        <v>290.78707916287539</v>
      </c>
      <c r="AF66" s="23">
        <f t="shared" si="147"/>
        <v>208.15828041035664</v>
      </c>
      <c r="AG66" s="23">
        <f t="shared" si="148"/>
        <v>148.91658900279592</v>
      </c>
      <c r="AH66" s="23">
        <f t="shared" si="149"/>
        <v>82.131842713955294</v>
      </c>
      <c r="AI66" s="23">
        <f t="shared" si="150"/>
        <v>50.453899589516901</v>
      </c>
    </row>
    <row r="67" spans="1:36">
      <c r="A67" s="29">
        <v>374</v>
      </c>
      <c r="B67" s="30">
        <v>410.6</v>
      </c>
      <c r="C67" s="30">
        <v>342.42031134173465</v>
      </c>
      <c r="D67" s="30">
        <v>283.56353591160223</v>
      </c>
      <c r="E67" s="30">
        <v>204.48207171314743</v>
      </c>
      <c r="F67" s="30">
        <v>147.0630372492837</v>
      </c>
      <c r="G67" s="30">
        <v>81.597774244833076</v>
      </c>
      <c r="H67" s="31">
        <v>50.269343780607258</v>
      </c>
      <c r="I67" s="9">
        <f t="shared" si="126"/>
        <v>0.41060000000000002</v>
      </c>
      <c r="J67" s="8">
        <f t="shared" si="127"/>
        <v>4.1283992687178062</v>
      </c>
      <c r="K67" s="8">
        <f t="shared" si="128"/>
        <v>4.4805817868291689</v>
      </c>
      <c r="L67" s="8">
        <f t="shared" si="129"/>
        <v>4.8327643049405316</v>
      </c>
      <c r="M67" s="8">
        <f t="shared" si="130"/>
        <v>5.0826417781571314</v>
      </c>
      <c r="N67" s="8">
        <f t="shared" si="131"/>
        <v>5.4348242962684941</v>
      </c>
      <c r="O67" s="8">
        <f t="shared" si="132"/>
        <v>5.6847017694850939</v>
      </c>
      <c r="P67" s="11">
        <f t="shared" si="133"/>
        <v>0.3359999999999983</v>
      </c>
      <c r="Q67" s="11">
        <f t="shared" si="134"/>
        <v>2.0000000000000013</v>
      </c>
      <c r="R67" s="11">
        <f t="shared" si="135"/>
        <v>0.33600000000000002</v>
      </c>
      <c r="S67" s="12">
        <f t="shared" si="136"/>
        <v>-245</v>
      </c>
      <c r="T67" s="12">
        <f t="shared" si="137"/>
        <v>980</v>
      </c>
      <c r="U67" s="12">
        <f t="shared" si="138"/>
        <v>259</v>
      </c>
      <c r="V67" s="13">
        <f t="shared" si="139"/>
        <v>244</v>
      </c>
      <c r="W67" s="15">
        <f t="shared" si="140"/>
        <v>1.7250000000000001</v>
      </c>
      <c r="X67" s="35"/>
      <c r="Y67" s="18">
        <f t="shared" si="141"/>
        <v>127.036</v>
      </c>
      <c r="Z67" s="18">
        <f t="shared" si="142"/>
        <v>136.5</v>
      </c>
      <c r="AA67" s="18">
        <f t="shared" si="143"/>
        <v>65.465000000000003</v>
      </c>
      <c r="AC67" s="23">
        <f t="shared" si="144"/>
        <v>410.60000000000008</v>
      </c>
      <c r="AD67" s="23">
        <f t="shared" si="145"/>
        <v>342.42031134173465</v>
      </c>
      <c r="AE67" s="23">
        <f t="shared" si="146"/>
        <v>283.56353591160223</v>
      </c>
      <c r="AF67" s="23">
        <f t="shared" si="147"/>
        <v>204.48207171314743</v>
      </c>
      <c r="AG67" s="23">
        <f t="shared" si="148"/>
        <v>147.0630372492837</v>
      </c>
      <c r="AH67" s="23">
        <f t="shared" si="149"/>
        <v>81.597774244833076</v>
      </c>
      <c r="AI67" s="23">
        <f t="shared" si="150"/>
        <v>50.269343780607258</v>
      </c>
    </row>
    <row r="68" spans="1:36">
      <c r="A68" s="29">
        <v>375</v>
      </c>
      <c r="B68" s="30">
        <v>405.6</v>
      </c>
      <c r="C68" s="30">
        <v>339.25650557620821</v>
      </c>
      <c r="D68" s="30">
        <v>281.66666666666669</v>
      </c>
      <c r="E68" s="30">
        <v>203.81909547738695</v>
      </c>
      <c r="F68" s="30">
        <v>146.95652173913047</v>
      </c>
      <c r="G68" s="30">
        <v>81.774193548387103</v>
      </c>
      <c r="H68" s="31">
        <v>50.447761194029859</v>
      </c>
      <c r="I68" s="9">
        <f t="shared" si="126"/>
        <v>0.40560000000000002</v>
      </c>
      <c r="J68" s="8">
        <f t="shared" si="127"/>
        <v>4.1205739312058496</v>
      </c>
      <c r="K68" s="8">
        <f t="shared" si="128"/>
        <v>4.4727564493172123</v>
      </c>
      <c r="L68" s="8">
        <f t="shared" si="129"/>
        <v>4.824938967428575</v>
      </c>
      <c r="M68" s="8">
        <f t="shared" si="130"/>
        <v>5.0748164406451748</v>
      </c>
      <c r="N68" s="8">
        <f t="shared" si="131"/>
        <v>5.4269989587565375</v>
      </c>
      <c r="O68" s="8">
        <f t="shared" si="132"/>
        <v>5.6768764319731373</v>
      </c>
      <c r="P68" s="11">
        <f t="shared" si="133"/>
        <v>0.32999999999999829</v>
      </c>
      <c r="Q68" s="11">
        <f t="shared" si="134"/>
        <v>2.0000000000000013</v>
      </c>
      <c r="R68" s="11">
        <f t="shared" si="135"/>
        <v>0.33</v>
      </c>
      <c r="S68" s="12">
        <f t="shared" si="136"/>
        <v>-252</v>
      </c>
      <c r="T68" s="12">
        <f t="shared" si="137"/>
        <v>1008</v>
      </c>
      <c r="U68" s="12">
        <f t="shared" si="138"/>
        <v>261</v>
      </c>
      <c r="V68" s="13">
        <f t="shared" si="139"/>
        <v>243</v>
      </c>
      <c r="W68" s="15">
        <f t="shared" si="140"/>
        <v>1.7410000000000001</v>
      </c>
      <c r="X68" s="35"/>
      <c r="Y68" s="18">
        <f t="shared" si="141"/>
        <v>123.93300000000001</v>
      </c>
      <c r="Z68" s="18">
        <f t="shared" si="142"/>
        <v>134.71</v>
      </c>
      <c r="AA68" s="18">
        <f t="shared" si="143"/>
        <v>65.182000000000002</v>
      </c>
      <c r="AC68" s="23">
        <f t="shared" si="144"/>
        <v>405.60000000000008</v>
      </c>
      <c r="AD68" s="23">
        <f t="shared" si="145"/>
        <v>339.25650557620821</v>
      </c>
      <c r="AE68" s="23">
        <f t="shared" si="146"/>
        <v>281.66666666666669</v>
      </c>
      <c r="AF68" s="23">
        <f t="shared" si="147"/>
        <v>203.81909547738695</v>
      </c>
      <c r="AG68" s="23">
        <f t="shared" si="148"/>
        <v>146.95652173913047</v>
      </c>
      <c r="AH68" s="23">
        <f t="shared" si="149"/>
        <v>81.774193548387103</v>
      </c>
      <c r="AI68" s="23">
        <f t="shared" si="150"/>
        <v>50.447761194029859</v>
      </c>
    </row>
    <row r="69" spans="1:36">
      <c r="A69" s="29">
        <v>720</v>
      </c>
      <c r="B69" s="30">
        <v>732.9</v>
      </c>
      <c r="C69" s="30">
        <v>622.2735849056603</v>
      </c>
      <c r="D69" s="30">
        <v>523.5</v>
      </c>
      <c r="E69" s="30">
        <v>385.73684210526312</v>
      </c>
      <c r="F69" s="30">
        <v>281.88461538461536</v>
      </c>
      <c r="G69" s="30">
        <v>159.32608695652172</v>
      </c>
      <c r="H69" s="31">
        <v>99.040540540540519</v>
      </c>
      <c r="I69" s="9">
        <f t="shared" si="126"/>
        <v>0.7329</v>
      </c>
      <c r="J69" s="8">
        <f t="shared" si="127"/>
        <v>4.0791812460476251</v>
      </c>
      <c r="K69" s="8">
        <f t="shared" si="128"/>
        <v>4.4313637641589869</v>
      </c>
      <c r="L69" s="8">
        <f t="shared" si="129"/>
        <v>4.7835462822703496</v>
      </c>
      <c r="M69" s="8">
        <f t="shared" si="130"/>
        <v>5.0334237554869494</v>
      </c>
      <c r="N69" s="8">
        <f t="shared" si="131"/>
        <v>5.3856062735983121</v>
      </c>
      <c r="O69" s="8">
        <f t="shared" si="132"/>
        <v>5.6354837468149119</v>
      </c>
      <c r="P69" s="11">
        <f t="shared" si="133"/>
        <v>0.29999999999999949</v>
      </c>
      <c r="Q69" s="11">
        <f t="shared" si="134"/>
        <v>2.0000000000000004</v>
      </c>
      <c r="R69" s="11">
        <f t="shared" si="135"/>
        <v>0.3</v>
      </c>
      <c r="S69" s="12">
        <f t="shared" si="136"/>
        <v>-153</v>
      </c>
      <c r="T69" s="12">
        <f t="shared" si="137"/>
        <v>612</v>
      </c>
      <c r="U69" s="12">
        <f t="shared" si="138"/>
        <v>274</v>
      </c>
      <c r="V69" s="13">
        <f t="shared" si="139"/>
        <v>457</v>
      </c>
      <c r="W69" s="15">
        <f t="shared" si="140"/>
        <v>1.8260000000000001</v>
      </c>
      <c r="X69" s="35"/>
      <c r="Y69" s="18">
        <f t="shared" si="141"/>
        <v>209.4</v>
      </c>
      <c r="Z69" s="18">
        <f t="shared" si="142"/>
        <v>241.61500000000001</v>
      </c>
      <c r="AA69" s="18">
        <f t="shared" si="143"/>
        <v>122.559</v>
      </c>
      <c r="AC69" s="23">
        <f t="shared" si="144"/>
        <v>732.89999999999986</v>
      </c>
      <c r="AD69" s="23">
        <f t="shared" si="145"/>
        <v>622.2735849056603</v>
      </c>
      <c r="AE69" s="23">
        <f t="shared" si="146"/>
        <v>523.49999999999989</v>
      </c>
      <c r="AF69" s="23">
        <f t="shared" si="147"/>
        <v>385.73684210526312</v>
      </c>
      <c r="AG69" s="23">
        <f t="shared" si="148"/>
        <v>281.88461538461536</v>
      </c>
      <c r="AH69" s="23">
        <f t="shared" si="149"/>
        <v>159.32608695652172</v>
      </c>
      <c r="AI69" s="23">
        <f t="shared" si="150"/>
        <v>99.040540540540519</v>
      </c>
    </row>
    <row r="70" spans="1:36">
      <c r="A70" s="29">
        <v>706</v>
      </c>
      <c r="B70" s="30">
        <v>706.6</v>
      </c>
      <c r="C70" s="30">
        <v>602.67247915087194</v>
      </c>
      <c r="D70" s="30">
        <v>509.07780979827095</v>
      </c>
      <c r="E70" s="30">
        <v>377.25573945541919</v>
      </c>
      <c r="F70" s="30">
        <v>276.88087774294678</v>
      </c>
      <c r="G70" s="30">
        <v>157.30186999109532</v>
      </c>
      <c r="H70" s="31">
        <v>98.029966703662609</v>
      </c>
      <c r="I70" s="9">
        <f t="shared" si="126"/>
        <v>0.70660000000000001</v>
      </c>
      <c r="J70" s="8">
        <f t="shared" si="127"/>
        <v>4.0659529803138694</v>
      </c>
      <c r="K70" s="8">
        <f t="shared" si="128"/>
        <v>4.4181354984252321</v>
      </c>
      <c r="L70" s="8">
        <f t="shared" si="129"/>
        <v>4.7703180165365948</v>
      </c>
      <c r="M70" s="8">
        <f t="shared" si="130"/>
        <v>5.0201954897531946</v>
      </c>
      <c r="N70" s="8">
        <f t="shared" si="131"/>
        <v>5.3723780078645573</v>
      </c>
      <c r="O70" s="8">
        <f t="shared" si="132"/>
        <v>5.6222554810811571</v>
      </c>
      <c r="P70" s="11">
        <f t="shared" si="133"/>
        <v>0.29099999999999854</v>
      </c>
      <c r="Q70" s="11">
        <f t="shared" si="134"/>
        <v>2.0000000000000013</v>
      </c>
      <c r="R70" s="11">
        <f t="shared" si="135"/>
        <v>0.29099999999999998</v>
      </c>
      <c r="S70" s="12">
        <f t="shared" si="136"/>
        <v>-164</v>
      </c>
      <c r="T70" s="12">
        <f t="shared" si="137"/>
        <v>656</v>
      </c>
      <c r="U70" s="12">
        <f t="shared" si="138"/>
        <v>278</v>
      </c>
      <c r="V70" s="13">
        <f t="shared" si="139"/>
        <v>446</v>
      </c>
      <c r="W70" s="15">
        <f t="shared" si="140"/>
        <v>1.8540000000000001</v>
      </c>
      <c r="X70" s="35"/>
      <c r="Y70" s="18">
        <f t="shared" si="141"/>
        <v>197.52199999999999</v>
      </c>
      <c r="Z70" s="18">
        <f t="shared" si="142"/>
        <v>232.197</v>
      </c>
      <c r="AA70" s="18">
        <f t="shared" si="143"/>
        <v>119.57899999999999</v>
      </c>
      <c r="AC70" s="23">
        <f t="shared" si="144"/>
        <v>706.60000000000014</v>
      </c>
      <c r="AD70" s="23">
        <f t="shared" si="145"/>
        <v>602.67247915087194</v>
      </c>
      <c r="AE70" s="23">
        <f t="shared" si="146"/>
        <v>509.07780979827095</v>
      </c>
      <c r="AF70" s="23">
        <f t="shared" si="147"/>
        <v>377.25573945541919</v>
      </c>
      <c r="AG70" s="23">
        <f t="shared" si="148"/>
        <v>276.88087774294678</v>
      </c>
      <c r="AH70" s="23">
        <f t="shared" si="149"/>
        <v>157.30186999109532</v>
      </c>
      <c r="AI70" s="23">
        <f t="shared" si="150"/>
        <v>98.029966703662609</v>
      </c>
    </row>
    <row r="71" spans="1:36">
      <c r="A71" s="29">
        <v>705</v>
      </c>
      <c r="B71" s="30">
        <v>701</v>
      </c>
      <c r="C71" s="30">
        <v>599.10736895416562</v>
      </c>
      <c r="D71" s="30">
        <v>506.99132111861138</v>
      </c>
      <c r="E71" s="30">
        <v>376.67920472864051</v>
      </c>
      <c r="F71" s="30">
        <v>277.00210748155956</v>
      </c>
      <c r="G71" s="30">
        <v>157.74077407740774</v>
      </c>
      <c r="H71" s="31">
        <v>98.418195432422323</v>
      </c>
      <c r="I71" s="9">
        <f t="shared" si="126"/>
        <v>0.70099999999999996</v>
      </c>
      <c r="J71" s="8">
        <f t="shared" si="127"/>
        <v>4.0599418880619549</v>
      </c>
      <c r="K71" s="8">
        <f t="shared" si="128"/>
        <v>4.4121244061733176</v>
      </c>
      <c r="L71" s="8">
        <f t="shared" si="129"/>
        <v>4.7643069242846794</v>
      </c>
      <c r="M71" s="8">
        <f t="shared" si="130"/>
        <v>5.0141843975012792</v>
      </c>
      <c r="N71" s="8">
        <f t="shared" si="131"/>
        <v>5.3663669156126419</v>
      </c>
      <c r="O71" s="8">
        <f t="shared" si="132"/>
        <v>5.6162443888292417</v>
      </c>
      <c r="P71" s="11">
        <f t="shared" si="133"/>
        <v>0.28699999999999942</v>
      </c>
      <c r="Q71" s="11">
        <f t="shared" si="134"/>
        <v>2</v>
      </c>
      <c r="R71" s="11">
        <f t="shared" si="135"/>
        <v>0.28699999999999998</v>
      </c>
      <c r="S71" s="12">
        <f t="shared" si="136"/>
        <v>-168</v>
      </c>
      <c r="T71" s="12">
        <f t="shared" si="137"/>
        <v>672</v>
      </c>
      <c r="U71" s="12">
        <f t="shared" si="138"/>
        <v>280</v>
      </c>
      <c r="V71" s="13">
        <f t="shared" si="139"/>
        <v>445</v>
      </c>
      <c r="W71" s="15">
        <f t="shared" si="140"/>
        <v>1.867</v>
      </c>
      <c r="X71" s="35"/>
      <c r="Y71" s="18">
        <f t="shared" si="141"/>
        <v>194.00899999999999</v>
      </c>
      <c r="Z71" s="18">
        <f t="shared" si="142"/>
        <v>229.989</v>
      </c>
      <c r="AA71" s="18">
        <f t="shared" si="143"/>
        <v>119.261</v>
      </c>
      <c r="AC71" s="23">
        <f t="shared" si="144"/>
        <v>701</v>
      </c>
      <c r="AD71" s="23">
        <f t="shared" si="145"/>
        <v>599.10736895416562</v>
      </c>
      <c r="AE71" s="23">
        <f t="shared" si="146"/>
        <v>506.99132111861138</v>
      </c>
      <c r="AF71" s="23">
        <f t="shared" si="147"/>
        <v>376.67920472864051</v>
      </c>
      <c r="AG71" s="23">
        <f t="shared" si="148"/>
        <v>277.00210748155956</v>
      </c>
      <c r="AH71" s="23">
        <f t="shared" si="149"/>
        <v>157.74077407740774</v>
      </c>
      <c r="AI71" s="23">
        <f t="shared" si="150"/>
        <v>98.418195432422323</v>
      </c>
    </row>
    <row r="72" spans="1:36">
      <c r="A72" s="29">
        <v>706</v>
      </c>
      <c r="B72" s="30">
        <v>698.2</v>
      </c>
      <c r="C72" s="30">
        <v>597.92565338746522</v>
      </c>
      <c r="D72" s="30">
        <v>506.92158760890618</v>
      </c>
      <c r="E72" s="30">
        <v>377.60951865873449</v>
      </c>
      <c r="F72" s="30">
        <v>278.24123273113713</v>
      </c>
      <c r="G72" s="30">
        <v>158.82620564149229</v>
      </c>
      <c r="H72" s="31">
        <v>99.213717317165617</v>
      </c>
      <c r="I72" s="9">
        <f t="shared" si="126"/>
        <v>0.69820000000000004</v>
      </c>
      <c r="J72" s="8">
        <f t="shared" si="127"/>
        <v>4.0538464268522523</v>
      </c>
      <c r="K72" s="8">
        <f t="shared" si="128"/>
        <v>4.406028944963615</v>
      </c>
      <c r="L72" s="8">
        <f t="shared" si="129"/>
        <v>4.7582114630749777</v>
      </c>
      <c r="M72" s="8">
        <f t="shared" si="130"/>
        <v>5.0080889362915775</v>
      </c>
      <c r="N72" s="8">
        <f t="shared" si="131"/>
        <v>5.3602714544029402</v>
      </c>
      <c r="O72" s="8">
        <f t="shared" si="132"/>
        <v>5.61014892761954</v>
      </c>
      <c r="P72" s="11">
        <f t="shared" si="133"/>
        <v>0.28299999999999853</v>
      </c>
      <c r="Q72" s="11">
        <f t="shared" si="134"/>
        <v>2.0000000000000013</v>
      </c>
      <c r="R72" s="11">
        <f t="shared" si="135"/>
        <v>0.28299999999999997</v>
      </c>
      <c r="S72" s="12">
        <f t="shared" si="136"/>
        <v>-171</v>
      </c>
      <c r="T72" s="12">
        <f t="shared" si="137"/>
        <v>684</v>
      </c>
      <c r="U72" s="12">
        <f t="shared" si="138"/>
        <v>282</v>
      </c>
      <c r="V72" s="13">
        <f t="shared" si="139"/>
        <v>445</v>
      </c>
      <c r="W72" s="15">
        <f t="shared" si="140"/>
        <v>1.88</v>
      </c>
      <c r="X72" s="35"/>
      <c r="Y72" s="18">
        <f t="shared" si="141"/>
        <v>191.27799999999999</v>
      </c>
      <c r="Z72" s="18">
        <f t="shared" si="142"/>
        <v>228.68</v>
      </c>
      <c r="AA72" s="18">
        <f t="shared" si="143"/>
        <v>119.41500000000001</v>
      </c>
      <c r="AC72" s="23">
        <f t="shared" si="144"/>
        <v>698.20000000000016</v>
      </c>
      <c r="AD72" s="23">
        <f t="shared" si="145"/>
        <v>597.92565338746522</v>
      </c>
      <c r="AE72" s="23">
        <f t="shared" si="146"/>
        <v>506.92158760890618</v>
      </c>
      <c r="AF72" s="23">
        <f t="shared" si="147"/>
        <v>377.60951865873449</v>
      </c>
      <c r="AG72" s="23">
        <f t="shared" si="148"/>
        <v>278.24123273113713</v>
      </c>
      <c r="AH72" s="23">
        <f t="shared" si="149"/>
        <v>158.82620564149229</v>
      </c>
      <c r="AI72" s="23">
        <f t="shared" si="150"/>
        <v>99.213717317165617</v>
      </c>
    </row>
    <row r="73" spans="1:36">
      <c r="A73" s="29">
        <v>1384</v>
      </c>
      <c r="B73" s="30">
        <v>1190.8</v>
      </c>
      <c r="C73" s="30">
        <v>1029.707916986933</v>
      </c>
      <c r="D73" s="30">
        <v>880.7692307692306</v>
      </c>
      <c r="E73" s="30">
        <v>664.50892857142844</v>
      </c>
      <c r="F73" s="30">
        <v>494.51827242524905</v>
      </c>
      <c r="G73" s="30">
        <v>285.70057581573889</v>
      </c>
      <c r="H73" s="31">
        <v>179.55367913148368</v>
      </c>
      <c r="I73" s="9">
        <f t="shared" si="126"/>
        <v>1.1907999999999999</v>
      </c>
      <c r="J73" s="8">
        <f t="shared" si="127"/>
        <v>4.0236639181977942</v>
      </c>
      <c r="K73" s="8">
        <f t="shared" si="128"/>
        <v>4.375846436309156</v>
      </c>
      <c r="L73" s="8">
        <f t="shared" si="129"/>
        <v>4.7280289544205187</v>
      </c>
      <c r="M73" s="8">
        <f t="shared" si="130"/>
        <v>4.9779064276371185</v>
      </c>
      <c r="N73" s="8">
        <f t="shared" si="131"/>
        <v>5.3300889457484812</v>
      </c>
      <c r="O73" s="8">
        <f t="shared" si="132"/>
        <v>5.5799664189650811</v>
      </c>
      <c r="P73" s="11">
        <f t="shared" si="133"/>
        <v>0.26399999999999985</v>
      </c>
      <c r="Q73" s="11">
        <f t="shared" si="134"/>
        <v>2.0000000000000004</v>
      </c>
      <c r="R73" s="11">
        <f t="shared" si="135"/>
        <v>0.26400000000000001</v>
      </c>
      <c r="S73" s="12">
        <f t="shared" si="136"/>
        <v>-107</v>
      </c>
      <c r="T73" s="12">
        <f t="shared" si="137"/>
        <v>428</v>
      </c>
      <c r="U73" s="12">
        <f t="shared" si="138"/>
        <v>292</v>
      </c>
      <c r="V73" s="13">
        <f t="shared" si="139"/>
        <v>781</v>
      </c>
      <c r="W73" s="15">
        <f t="shared" si="140"/>
        <v>1.946</v>
      </c>
      <c r="X73" s="35"/>
      <c r="Y73" s="18">
        <f t="shared" si="141"/>
        <v>310.03100000000001</v>
      </c>
      <c r="Z73" s="18">
        <f t="shared" si="142"/>
        <v>386.25099999999998</v>
      </c>
      <c r="AA73" s="18">
        <f t="shared" si="143"/>
        <v>208.81800000000001</v>
      </c>
      <c r="AC73" s="23">
        <f t="shared" si="144"/>
        <v>1190.7999999999997</v>
      </c>
      <c r="AD73" s="23">
        <f t="shared" si="145"/>
        <v>1029.707916986933</v>
      </c>
      <c r="AE73" s="23">
        <f t="shared" si="146"/>
        <v>880.7692307692306</v>
      </c>
      <c r="AF73" s="23">
        <f t="shared" si="147"/>
        <v>664.50892857142844</v>
      </c>
      <c r="AG73" s="23">
        <f t="shared" si="148"/>
        <v>494.51827242524905</v>
      </c>
      <c r="AH73" s="23">
        <f t="shared" si="149"/>
        <v>285.70057581573889</v>
      </c>
      <c r="AI73" s="23">
        <f t="shared" si="150"/>
        <v>179.55367913148368</v>
      </c>
    </row>
    <row r="74" spans="1:36">
      <c r="A74" s="29">
        <v>1390</v>
      </c>
      <c r="B74" s="30">
        <v>1206.0999999999999</v>
      </c>
      <c r="C74" s="30">
        <v>1040.8047813858348</v>
      </c>
      <c r="D74" s="30">
        <v>888.58055009823181</v>
      </c>
      <c r="E74" s="30">
        <v>668.56984478935703</v>
      </c>
      <c r="F74" s="30">
        <v>496.47365532381997</v>
      </c>
      <c r="G74" s="30">
        <v>286.07685009487665</v>
      </c>
      <c r="H74" s="31">
        <v>179.55041683207622</v>
      </c>
      <c r="I74" s="9">
        <f t="shared" si="126"/>
        <v>1.2060999999999999</v>
      </c>
      <c r="J74" s="8">
        <f t="shared" si="127"/>
        <v>4.030194785356751</v>
      </c>
      <c r="K74" s="8">
        <f t="shared" si="128"/>
        <v>4.3823773034681137</v>
      </c>
      <c r="L74" s="8">
        <f t="shared" si="129"/>
        <v>4.7345598215794764</v>
      </c>
      <c r="M74" s="8">
        <f t="shared" si="130"/>
        <v>4.9844372947960762</v>
      </c>
      <c r="N74" s="8">
        <f t="shared" si="131"/>
        <v>5.3366198129074389</v>
      </c>
      <c r="O74" s="8">
        <f t="shared" si="132"/>
        <v>5.5864972861240387</v>
      </c>
      <c r="P74" s="11">
        <f t="shared" si="133"/>
        <v>0.26799999999999863</v>
      </c>
      <c r="Q74" s="11">
        <f t="shared" si="134"/>
        <v>2.0000000000000013</v>
      </c>
      <c r="R74" s="11">
        <f t="shared" si="135"/>
        <v>0.26800000000000002</v>
      </c>
      <c r="S74" s="12">
        <f t="shared" si="136"/>
        <v>-104</v>
      </c>
      <c r="T74" s="12">
        <f t="shared" si="137"/>
        <v>416</v>
      </c>
      <c r="U74" s="12">
        <f t="shared" si="138"/>
        <v>290</v>
      </c>
      <c r="V74" s="13">
        <f t="shared" si="139"/>
        <v>786</v>
      </c>
      <c r="W74" s="15">
        <f t="shared" si="140"/>
        <v>1.9319999999999999</v>
      </c>
      <c r="X74" s="35"/>
      <c r="Y74" s="18">
        <f t="shared" si="141"/>
        <v>317.51900000000001</v>
      </c>
      <c r="Z74" s="18">
        <f t="shared" si="142"/>
        <v>392.10700000000003</v>
      </c>
      <c r="AA74" s="18">
        <f t="shared" si="143"/>
        <v>210.39699999999999</v>
      </c>
      <c r="AC74" s="23">
        <f t="shared" si="144"/>
        <v>1206.0999999999999</v>
      </c>
      <c r="AD74" s="23">
        <f t="shared" si="145"/>
        <v>1040.8047813858348</v>
      </c>
      <c r="AE74" s="23">
        <f t="shared" si="146"/>
        <v>888.58055009823181</v>
      </c>
      <c r="AF74" s="23">
        <f t="shared" si="147"/>
        <v>668.56984478935703</v>
      </c>
      <c r="AG74" s="23">
        <f t="shared" si="148"/>
        <v>496.47365532381997</v>
      </c>
      <c r="AH74" s="23">
        <f t="shared" si="149"/>
        <v>286.07685009487665</v>
      </c>
      <c r="AI74" s="23">
        <f t="shared" si="150"/>
        <v>179.55041683207622</v>
      </c>
    </row>
    <row r="75" spans="1:36">
      <c r="A75" s="29">
        <v>1391</v>
      </c>
      <c r="B75" s="30">
        <v>1215.3</v>
      </c>
      <c r="C75" s="30">
        <v>1046.6030875223269</v>
      </c>
      <c r="D75" s="30">
        <v>891.85420743639907</v>
      </c>
      <c r="E75" s="30">
        <v>669.21806167400871</v>
      </c>
      <c r="F75" s="30">
        <v>495.90587595212179</v>
      </c>
      <c r="G75" s="30">
        <v>285.01407129455907</v>
      </c>
      <c r="H75" s="31">
        <v>178.65052920423361</v>
      </c>
      <c r="I75" s="9">
        <f t="shared" si="126"/>
        <v>1.2153</v>
      </c>
      <c r="J75" s="8">
        <f t="shared" si="127"/>
        <v>4.0366288953621616</v>
      </c>
      <c r="K75" s="8">
        <f t="shared" si="128"/>
        <v>4.3888114134735234</v>
      </c>
      <c r="L75" s="8">
        <f t="shared" si="129"/>
        <v>4.7409939315848861</v>
      </c>
      <c r="M75" s="8">
        <f t="shared" si="130"/>
        <v>4.9908714048014859</v>
      </c>
      <c r="N75" s="8">
        <f t="shared" si="131"/>
        <v>5.3430539229128486</v>
      </c>
      <c r="O75" s="8">
        <f t="shared" si="132"/>
        <v>5.5929313961294485</v>
      </c>
      <c r="P75" s="11">
        <f t="shared" si="133"/>
        <v>0.27199999999999908</v>
      </c>
      <c r="Q75" s="11">
        <f t="shared" si="134"/>
        <v>2.0000000000000009</v>
      </c>
      <c r="R75" s="11">
        <f t="shared" si="135"/>
        <v>0.27200000000000002</v>
      </c>
      <c r="S75" s="12">
        <f t="shared" si="136"/>
        <v>-102</v>
      </c>
      <c r="T75" s="12">
        <f t="shared" si="137"/>
        <v>408</v>
      </c>
      <c r="U75" s="12">
        <f t="shared" si="138"/>
        <v>288</v>
      </c>
      <c r="V75" s="13">
        <f t="shared" si="139"/>
        <v>788</v>
      </c>
      <c r="W75" s="15">
        <f t="shared" si="140"/>
        <v>1.917</v>
      </c>
      <c r="X75" s="35"/>
      <c r="Y75" s="18">
        <f t="shared" si="141"/>
        <v>323.44600000000003</v>
      </c>
      <c r="Z75" s="18">
        <f t="shared" si="142"/>
        <v>395.94799999999998</v>
      </c>
      <c r="AA75" s="18">
        <f t="shared" si="143"/>
        <v>210.892</v>
      </c>
      <c r="AC75" s="23">
        <f t="shared" si="144"/>
        <v>1215.2999999999997</v>
      </c>
      <c r="AD75" s="23">
        <f t="shared" si="145"/>
        <v>1046.6030875223269</v>
      </c>
      <c r="AE75" s="23">
        <f t="shared" si="146"/>
        <v>891.85420743639907</v>
      </c>
      <c r="AF75" s="23">
        <f t="shared" si="147"/>
        <v>669.21806167400871</v>
      </c>
      <c r="AG75" s="23">
        <f t="shared" si="148"/>
        <v>495.90587595212179</v>
      </c>
      <c r="AH75" s="23">
        <f t="shared" si="149"/>
        <v>285.01407129455907</v>
      </c>
      <c r="AI75" s="23">
        <f t="shared" si="150"/>
        <v>178.65052920423361</v>
      </c>
    </row>
    <row r="76" spans="1:36" ht="13.5" thickBot="1">
      <c r="A76" s="32">
        <v>1388</v>
      </c>
      <c r="B76" s="33">
        <v>1198.0999999999999</v>
      </c>
      <c r="C76" s="33">
        <v>1038.6816080143849</v>
      </c>
      <c r="D76" s="33">
        <v>890.55996035678891</v>
      </c>
      <c r="E76" s="33">
        <v>674.22622397298824</v>
      </c>
      <c r="F76" s="33">
        <v>503.12150055991043</v>
      </c>
      <c r="G76" s="33">
        <v>291.65043816942551</v>
      </c>
      <c r="H76" s="34">
        <v>183.60747854515733</v>
      </c>
      <c r="I76" s="9">
        <f t="shared" si="126"/>
        <v>1.1980999999999999</v>
      </c>
      <c r="J76" s="8">
        <f t="shared" si="127"/>
        <v>4.0153597554092135</v>
      </c>
      <c r="K76" s="8">
        <f t="shared" si="128"/>
        <v>4.3675422735205771</v>
      </c>
      <c r="L76" s="8">
        <f t="shared" si="129"/>
        <v>4.7197247916319389</v>
      </c>
      <c r="M76" s="8">
        <f t="shared" si="130"/>
        <v>4.9696022648485387</v>
      </c>
      <c r="N76" s="8">
        <f t="shared" si="131"/>
        <v>5.3217847829599014</v>
      </c>
      <c r="O76" s="8">
        <f t="shared" si="132"/>
        <v>5.5716622561765012</v>
      </c>
      <c r="P76" s="11">
        <f t="shared" si="133"/>
        <v>0.25899999999999951</v>
      </c>
      <c r="Q76" s="11">
        <f t="shared" si="134"/>
        <v>2.0000000000000004</v>
      </c>
      <c r="R76" s="11">
        <f t="shared" si="135"/>
        <v>0.25900000000000001</v>
      </c>
      <c r="S76" s="12">
        <f t="shared" si="136"/>
        <v>-109</v>
      </c>
      <c r="T76" s="12">
        <f t="shared" si="137"/>
        <v>436</v>
      </c>
      <c r="U76" s="12">
        <f t="shared" si="138"/>
        <v>295</v>
      </c>
      <c r="V76" s="13">
        <f t="shared" si="139"/>
        <v>792</v>
      </c>
      <c r="W76" s="15">
        <f t="shared" si="140"/>
        <v>1.9650000000000001</v>
      </c>
      <c r="X76" s="35"/>
      <c r="Y76" s="18">
        <f t="shared" si="141"/>
        <v>307.54000000000002</v>
      </c>
      <c r="Z76" s="18">
        <f t="shared" si="142"/>
        <v>387.43799999999999</v>
      </c>
      <c r="AA76" s="18">
        <f t="shared" si="143"/>
        <v>211.471</v>
      </c>
      <c r="AC76" s="23">
        <f t="shared" si="144"/>
        <v>1198.0999999999999</v>
      </c>
      <c r="AD76" s="23">
        <f t="shared" si="145"/>
        <v>1038.6816080143849</v>
      </c>
      <c r="AE76" s="23">
        <f t="shared" si="146"/>
        <v>890.55996035678891</v>
      </c>
      <c r="AF76" s="23">
        <f t="shared" si="147"/>
        <v>674.22622397298824</v>
      </c>
      <c r="AG76" s="23">
        <f t="shared" si="148"/>
        <v>503.12150055991043</v>
      </c>
      <c r="AH76" s="23">
        <f t="shared" si="149"/>
        <v>291.65043816942551</v>
      </c>
      <c r="AI76" s="23">
        <f t="shared" si="150"/>
        <v>183.60747854515733</v>
      </c>
    </row>
    <row r="77" spans="1:36">
      <c r="A77" s="24">
        <f t="shared" ref="A77:W77" si="151">AVERAGE(A65:A68)</f>
        <v>372.75</v>
      </c>
      <c r="B77" s="24">
        <f t="shared" si="151"/>
        <v>428.5</v>
      </c>
      <c r="C77" s="24">
        <f t="shared" si="151"/>
        <v>355.78484421149972</v>
      </c>
      <c r="D77" s="24">
        <f t="shared" si="151"/>
        <v>293.5400668381638</v>
      </c>
      <c r="E77" s="24">
        <f t="shared" si="151"/>
        <v>210.64650140166088</v>
      </c>
      <c r="F77" s="24">
        <f t="shared" si="151"/>
        <v>150.97232180217011</v>
      </c>
      <c r="G77" s="24">
        <f t="shared" si="151"/>
        <v>83.442756519009436</v>
      </c>
      <c r="H77" s="24">
        <f t="shared" si="151"/>
        <v>51.312125949965434</v>
      </c>
      <c r="I77" s="24">
        <f t="shared" si="151"/>
        <v>0.42849999999999999</v>
      </c>
      <c r="J77" s="24">
        <f t="shared" si="151"/>
        <v>4.1386567950179822</v>
      </c>
      <c r="K77" s="24">
        <f t="shared" si="151"/>
        <v>4.4908393131293449</v>
      </c>
      <c r="L77" s="24">
        <f t="shared" si="151"/>
        <v>4.8430218312407067</v>
      </c>
      <c r="M77" s="24">
        <f t="shared" si="151"/>
        <v>5.0928993044573065</v>
      </c>
      <c r="N77" s="24">
        <f t="shared" si="151"/>
        <v>5.4450818225686692</v>
      </c>
      <c r="O77" s="24">
        <f t="shared" si="151"/>
        <v>5.694959295785269</v>
      </c>
      <c r="P77" s="24">
        <f t="shared" si="151"/>
        <v>0.34424999999999895</v>
      </c>
      <c r="Q77" s="24">
        <f t="shared" si="151"/>
        <v>2.0000000000000009</v>
      </c>
      <c r="R77" s="24">
        <f t="shared" si="151"/>
        <v>0.34425</v>
      </c>
      <c r="S77" s="24">
        <f t="shared" si="151"/>
        <v>-230.5</v>
      </c>
      <c r="T77" s="24">
        <f t="shared" si="151"/>
        <v>922</v>
      </c>
      <c r="U77" s="24">
        <f t="shared" si="151"/>
        <v>255.75</v>
      </c>
      <c r="V77" s="24">
        <f t="shared" si="151"/>
        <v>252</v>
      </c>
      <c r="W77" s="24">
        <f t="shared" si="151"/>
        <v>1.7052499999999999</v>
      </c>
      <c r="X77" s="36">
        <f>SLOPE(W77:W79,A77:A79)</f>
        <v>2.1544205327454419E-4</v>
      </c>
      <c r="Y77" s="24">
        <f>AVERAGE(Y65:Y68)</f>
        <v>134.95975000000001</v>
      </c>
      <c r="Z77" s="24">
        <f>AVERAGE(Z65:Z68)</f>
        <v>142.5675</v>
      </c>
      <c r="AA77" s="24">
        <f>AVERAGE(AA65:AA68)</f>
        <v>67.529499999999999</v>
      </c>
      <c r="AB77"/>
      <c r="AC77" s="24">
        <f t="shared" ref="AC77:AI77" si="152">AVERAGE(AC65:AC68)</f>
        <v>428.50000000000006</v>
      </c>
      <c r="AD77" s="24">
        <f t="shared" si="152"/>
        <v>355.78484421149972</v>
      </c>
      <c r="AE77" s="24">
        <f t="shared" si="152"/>
        <v>293.5400668381638</v>
      </c>
      <c r="AF77" s="24">
        <f t="shared" si="152"/>
        <v>210.64650140166088</v>
      </c>
      <c r="AG77" s="24">
        <f t="shared" si="152"/>
        <v>150.97232180217011</v>
      </c>
      <c r="AH77" s="24">
        <f t="shared" si="152"/>
        <v>83.442756519009436</v>
      </c>
      <c r="AI77" s="24">
        <f t="shared" si="152"/>
        <v>51.312125949965434</v>
      </c>
    </row>
    <row r="78" spans="1:36">
      <c r="A78" s="24">
        <f t="shared" ref="A78:W78" si="153">AVERAGE(A69:A72)</f>
        <v>709.25</v>
      </c>
      <c r="B78" s="24">
        <f t="shared" si="153"/>
        <v>709.67499999999995</v>
      </c>
      <c r="C78" s="24">
        <f t="shared" si="153"/>
        <v>605.49477159954074</v>
      </c>
      <c r="D78" s="24">
        <f t="shared" si="153"/>
        <v>511.62267963144711</v>
      </c>
      <c r="E78" s="24">
        <f t="shared" si="153"/>
        <v>379.32032623701434</v>
      </c>
      <c r="F78" s="24">
        <f t="shared" si="153"/>
        <v>278.50220833506472</v>
      </c>
      <c r="G78" s="24">
        <f t="shared" si="153"/>
        <v>158.29873416662926</v>
      </c>
      <c r="H78" s="24">
        <f t="shared" si="153"/>
        <v>98.675604998447767</v>
      </c>
      <c r="I78" s="24">
        <f t="shared" si="153"/>
        <v>0.70967499999999994</v>
      </c>
      <c r="J78" s="24">
        <f t="shared" si="153"/>
        <v>4.0647306353189254</v>
      </c>
      <c r="K78" s="24">
        <f t="shared" si="153"/>
        <v>4.4169131534302881</v>
      </c>
      <c r="L78" s="24">
        <f t="shared" si="153"/>
        <v>4.7690956715416508</v>
      </c>
      <c r="M78" s="24">
        <f t="shared" si="153"/>
        <v>5.0189731447582506</v>
      </c>
      <c r="N78" s="24">
        <f t="shared" si="153"/>
        <v>5.3711556628696133</v>
      </c>
      <c r="O78" s="24">
        <f t="shared" si="153"/>
        <v>5.6210331360862131</v>
      </c>
      <c r="P78" s="24">
        <f t="shared" si="153"/>
        <v>0.29024999999999901</v>
      </c>
      <c r="Q78" s="24">
        <f t="shared" si="153"/>
        <v>2.0000000000000009</v>
      </c>
      <c r="R78" s="24">
        <f t="shared" si="153"/>
        <v>0.29024999999999995</v>
      </c>
      <c r="S78" s="24">
        <f t="shared" si="153"/>
        <v>-164</v>
      </c>
      <c r="T78" s="24">
        <f t="shared" si="153"/>
        <v>656</v>
      </c>
      <c r="U78" s="24">
        <f t="shared" si="153"/>
        <v>278.5</v>
      </c>
      <c r="V78" s="24">
        <f t="shared" si="153"/>
        <v>448.25</v>
      </c>
      <c r="W78" s="24">
        <f t="shared" si="153"/>
        <v>1.8567500000000001</v>
      </c>
      <c r="X78" s="24"/>
      <c r="Y78" s="24">
        <f>AVERAGE(Y69:Y72)</f>
        <v>198.05225000000002</v>
      </c>
      <c r="Z78" s="24">
        <f>AVERAGE(Z69:Z72)</f>
        <v>233.12025</v>
      </c>
      <c r="AA78" s="24">
        <f>AVERAGE(AA69:AA72)</f>
        <v>120.20350000000001</v>
      </c>
      <c r="AB78" s="24">
        <f>AC78/AC77</f>
        <v>1.6561843640606768</v>
      </c>
      <c r="AC78" s="24">
        <f t="shared" ref="AC78:AI78" si="154">AVERAGE(AC69:AC72)</f>
        <v>709.67500000000007</v>
      </c>
      <c r="AD78" s="24">
        <f t="shared" si="154"/>
        <v>605.49477159954074</v>
      </c>
      <c r="AE78" s="24">
        <f t="shared" si="154"/>
        <v>511.62267963144711</v>
      </c>
      <c r="AF78" s="24">
        <f t="shared" si="154"/>
        <v>379.32032623701434</v>
      </c>
      <c r="AG78" s="24">
        <f t="shared" si="154"/>
        <v>278.50220833506472</v>
      </c>
      <c r="AH78" s="24">
        <f t="shared" si="154"/>
        <v>158.29873416662926</v>
      </c>
      <c r="AI78" s="24">
        <f t="shared" si="154"/>
        <v>98.675604998447767</v>
      </c>
      <c r="AJ78" s="1">
        <f>AI78/AI77</f>
        <v>1.9230465152558007</v>
      </c>
    </row>
    <row r="79" spans="1:36" ht="13.5" thickBot="1">
      <c r="A79" s="24">
        <f t="shared" ref="A79:W79" si="155">AVERAGE(A73:A76)</f>
        <v>1388.25</v>
      </c>
      <c r="B79" s="24">
        <f t="shared" si="155"/>
        <v>1202.5749999999998</v>
      </c>
      <c r="C79" s="24">
        <f t="shared" si="155"/>
        <v>1038.9493484773698</v>
      </c>
      <c r="D79" s="24">
        <f t="shared" si="155"/>
        <v>887.9409871651626</v>
      </c>
      <c r="E79" s="24">
        <f t="shared" si="155"/>
        <v>669.13076475194566</v>
      </c>
      <c r="F79" s="24">
        <f t="shared" si="155"/>
        <v>497.50482606527527</v>
      </c>
      <c r="G79" s="24">
        <f t="shared" si="155"/>
        <v>287.11048384365006</v>
      </c>
      <c r="H79" s="24">
        <f t="shared" si="155"/>
        <v>180.3405259282377</v>
      </c>
      <c r="I79" s="24">
        <f t="shared" si="155"/>
        <v>1.2025749999999999</v>
      </c>
      <c r="J79" s="24">
        <f t="shared" si="155"/>
        <v>4.0264618385814801</v>
      </c>
      <c r="K79" s="24">
        <f t="shared" si="155"/>
        <v>4.3786443566928428</v>
      </c>
      <c r="L79" s="24">
        <f t="shared" si="155"/>
        <v>4.7308268748042055</v>
      </c>
      <c r="M79" s="24">
        <f t="shared" si="155"/>
        <v>4.9807043480208053</v>
      </c>
      <c r="N79" s="24">
        <f t="shared" si="155"/>
        <v>5.332886866132168</v>
      </c>
      <c r="O79" s="24">
        <f t="shared" si="155"/>
        <v>5.5827643393487678</v>
      </c>
      <c r="P79" s="24">
        <f t="shared" si="155"/>
        <v>0.26574999999999926</v>
      </c>
      <c r="Q79" s="24">
        <f t="shared" si="155"/>
        <v>2.0000000000000009</v>
      </c>
      <c r="R79" s="24">
        <f t="shared" si="155"/>
        <v>0.26575000000000004</v>
      </c>
      <c r="S79" s="24">
        <f t="shared" si="155"/>
        <v>-105.5</v>
      </c>
      <c r="T79" s="24">
        <f t="shared" si="155"/>
        <v>422</v>
      </c>
      <c r="U79" s="24">
        <f t="shared" si="155"/>
        <v>291.25</v>
      </c>
      <c r="V79" s="24">
        <f t="shared" si="155"/>
        <v>786.75</v>
      </c>
      <c r="W79" s="24">
        <f t="shared" si="155"/>
        <v>1.94</v>
      </c>
      <c r="X79" s="24"/>
      <c r="Y79" s="24">
        <f>AVERAGE(Y73:Y76)</f>
        <v>314.63400000000001</v>
      </c>
      <c r="Z79" s="24">
        <f>AVERAGE(Z73:Z76)</f>
        <v>390.43600000000004</v>
      </c>
      <c r="AA79" s="24">
        <f>AVERAGE(AA73:AA76)</f>
        <v>210.39449999999999</v>
      </c>
      <c r="AB79" s="24">
        <f>AC79/AC77</f>
        <v>2.8064760793465569</v>
      </c>
      <c r="AC79" s="24">
        <f t="shared" ref="AC79:AI79" si="156">AVERAGE(AC73:AC76)</f>
        <v>1202.5749999999998</v>
      </c>
      <c r="AD79" s="24">
        <f t="shared" si="156"/>
        <v>1038.9493484773698</v>
      </c>
      <c r="AE79" s="24">
        <f t="shared" si="156"/>
        <v>887.9409871651626</v>
      </c>
      <c r="AF79" s="24">
        <f t="shared" si="156"/>
        <v>669.13076475194566</v>
      </c>
      <c r="AG79" s="24">
        <f t="shared" si="156"/>
        <v>497.50482606527527</v>
      </c>
      <c r="AH79" s="24">
        <f t="shared" si="156"/>
        <v>287.11048384365006</v>
      </c>
      <c r="AI79" s="24">
        <f t="shared" si="156"/>
        <v>180.3405259282377</v>
      </c>
      <c r="AJ79" s="1">
        <f>AI79/AI77</f>
        <v>3.5145791095088934</v>
      </c>
    </row>
    <row r="80" spans="1:36">
      <c r="A80" s="26">
        <v>380</v>
      </c>
      <c r="B80" s="27">
        <v>550</v>
      </c>
      <c r="C80" s="27">
        <v>433.39948634134953</v>
      </c>
      <c r="D80" s="27">
        <v>342.60797342192689</v>
      </c>
      <c r="E80" s="27">
        <v>232.85351397121084</v>
      </c>
      <c r="F80" s="27">
        <v>160.75604053000779</v>
      </c>
      <c r="G80" s="27">
        <v>85.297766749379647</v>
      </c>
      <c r="H80" s="28">
        <v>51.472423259296228</v>
      </c>
      <c r="I80" s="9">
        <f t="shared" ref="I80:I91" si="157">B80/1000</f>
        <v>0.55000000000000004</v>
      </c>
      <c r="J80" s="8">
        <f t="shared" ref="J80:J91" si="158">LOG10((((3*150*150)*B80)/C80)-((3*150*150)))</f>
        <v>4.2591158441850663</v>
      </c>
      <c r="K80" s="8">
        <f t="shared" ref="K80:K91" si="159">LOG10((((3*150*150)*B80)/D80)-((3*150*150)))</f>
        <v>4.611298362296429</v>
      </c>
      <c r="L80" s="8">
        <f t="shared" ref="L80:L91" si="160">LOG10((((3*150*150)*B80)/E80)-((3*150*150)))</f>
        <v>4.9634808804077917</v>
      </c>
      <c r="M80" s="8">
        <f t="shared" ref="M80:M91" si="161">LOG10((((3*150*150)*B80)/F80)-((3*150*150)))</f>
        <v>5.2133583536243915</v>
      </c>
      <c r="N80" s="8">
        <f t="shared" ref="N80:N91" si="162">LOG10((((3*150*150)*B80)/G80)-((3*150*150)))</f>
        <v>5.5655408717357533</v>
      </c>
      <c r="O80" s="8">
        <f t="shared" ref="O80:O91" si="163">LOG10((((3*150*150)*B80)/H80)-((3*150*150)))</f>
        <v>5.815418344952354</v>
      </c>
      <c r="P80" s="11">
        <f t="shared" ref="P80:P91" si="164">10^(INTERCEPT(J80:O80,$J$1:$O$1))</f>
        <v>0.45399999999999896</v>
      </c>
      <c r="Q80" s="11">
        <f t="shared" ref="Q80:Q91" si="165">LINEST(J80:O80,$J$1:$O$1)</f>
        <v>2.0000000000000004</v>
      </c>
      <c r="R80" s="11">
        <f t="shared" ref="R80:R91" si="166">ROUND(10^((SUM(J80:N80)-2*SUM($J$1:$N$1))/5),3)</f>
        <v>0.45400000000000001</v>
      </c>
      <c r="S80" s="12">
        <f t="shared" ref="S80:S91" si="167">ROUND(-1.5*((150^2)/(R80*I80))/1000,0)</f>
        <v>-135</v>
      </c>
      <c r="T80" s="12">
        <f t="shared" ref="T80:T91" si="168">-4*S80</f>
        <v>540</v>
      </c>
      <c r="U80" s="12">
        <f t="shared" ref="U80:U91" si="169">ROUND(150/(R80^0.5),0)</f>
        <v>223</v>
      </c>
      <c r="V80" s="13">
        <f t="shared" ref="V80:V91" si="170">ROUND(150*I80*ATAN((1800*SQRT(3*R80))/(3*150))*SQRT(3/(R80)),0)</f>
        <v>288</v>
      </c>
      <c r="W80" s="15">
        <f t="shared" ref="W80:W91" si="171">ROUND(1/SQRT(R80),3)</f>
        <v>1.484</v>
      </c>
      <c r="X80" s="36">
        <f>SLOPE(W80:W91,A80:A91)</f>
        <v>2.8677471421380556E-4</v>
      </c>
      <c r="Y80" s="18">
        <f t="shared" ref="Y80:Y91" si="172">ROUND(B80-D80,3)</f>
        <v>207.392</v>
      </c>
      <c r="Z80" s="18">
        <f t="shared" ref="Z80:Z91" si="173">ROUND(D80-F80,3)</f>
        <v>181.852</v>
      </c>
      <c r="AA80" s="18">
        <f t="shared" ref="AA80:AA91" si="174">ROUND(F80-G80,3)</f>
        <v>75.457999999999998</v>
      </c>
      <c r="AC80" s="23">
        <f t="shared" ref="AC80:AC91" si="175">((B80)*3*150^2)/(R80*$AC$3^2+3*150^2)</f>
        <v>550</v>
      </c>
      <c r="AD80" s="23">
        <f t="shared" ref="AD80:AD91" si="176">((B80)*3*150^2)/(R80*$AD$3^2+3*150^2)</f>
        <v>433.39948634134953</v>
      </c>
      <c r="AE80" s="23">
        <f t="shared" ref="AE80:AE91" si="177">((B80)*3*150^2)/(R80*$AE$3^2+3*150^2)</f>
        <v>342.60797342192689</v>
      </c>
      <c r="AF80" s="23">
        <f t="shared" ref="AF80:AF91" si="178">((B80)*3*150^2)/(R80*$AF$3^2+3*150^2)</f>
        <v>232.85351397121084</v>
      </c>
      <c r="AG80" s="23">
        <f t="shared" ref="AG80:AG91" si="179">((B80)*3*150^2)/(R80*$AG$3^2+3*150^2)</f>
        <v>160.75604053000779</v>
      </c>
      <c r="AH80" s="23">
        <f t="shared" ref="AH80:AH91" si="180">((B80)*3*150^2)/(R80*$AH$3^2+3*150^2)</f>
        <v>85.297766749379647</v>
      </c>
      <c r="AI80" s="23">
        <f t="shared" ref="AI80:AI91" si="181">((B80)*3*150^2)/(R80*$AI$3^2+3*150^2)</f>
        <v>51.472423259296228</v>
      </c>
    </row>
    <row r="81" spans="1:36">
      <c r="A81" s="29">
        <v>387</v>
      </c>
      <c r="B81" s="30">
        <v>475.5</v>
      </c>
      <c r="C81" s="30">
        <v>377.51411432604095</v>
      </c>
      <c r="D81" s="30">
        <v>300.18939393939394</v>
      </c>
      <c r="E81" s="30">
        <v>205.48833189282627</v>
      </c>
      <c r="F81" s="30">
        <v>142.53597122302159</v>
      </c>
      <c r="G81" s="30">
        <v>76.007033248081839</v>
      </c>
      <c r="H81" s="31">
        <v>45.968677494199532</v>
      </c>
      <c r="I81" s="9">
        <f t="shared" si="157"/>
        <v>0.47549999999999998</v>
      </c>
      <c r="J81" s="8">
        <f t="shared" si="158"/>
        <v>4.2435341018320623</v>
      </c>
      <c r="K81" s="8">
        <f t="shared" si="159"/>
        <v>4.5957166199434241</v>
      </c>
      <c r="L81" s="8">
        <f t="shared" si="160"/>
        <v>4.9478991380547868</v>
      </c>
      <c r="M81" s="8">
        <f t="shared" si="161"/>
        <v>5.1977766112713866</v>
      </c>
      <c r="N81" s="8">
        <f t="shared" si="162"/>
        <v>5.5499591293827493</v>
      </c>
      <c r="O81" s="8">
        <f t="shared" si="163"/>
        <v>5.7998366025993491</v>
      </c>
      <c r="P81" s="11">
        <f t="shared" si="164"/>
        <v>0.43799999999999839</v>
      </c>
      <c r="Q81" s="11">
        <f t="shared" si="165"/>
        <v>2.0000000000000009</v>
      </c>
      <c r="R81" s="11">
        <f t="shared" si="166"/>
        <v>0.438</v>
      </c>
      <c r="S81" s="12">
        <f t="shared" si="167"/>
        <v>-162</v>
      </c>
      <c r="T81" s="12">
        <f t="shared" si="168"/>
        <v>648</v>
      </c>
      <c r="U81" s="12">
        <f t="shared" si="169"/>
        <v>227</v>
      </c>
      <c r="V81" s="13">
        <f t="shared" si="170"/>
        <v>253</v>
      </c>
      <c r="W81" s="15">
        <f t="shared" si="171"/>
        <v>1.5109999999999999</v>
      </c>
      <c r="X81" s="35"/>
      <c r="Y81" s="18">
        <f t="shared" si="172"/>
        <v>175.31100000000001</v>
      </c>
      <c r="Z81" s="18">
        <f t="shared" si="173"/>
        <v>157.65299999999999</v>
      </c>
      <c r="AA81" s="18">
        <f t="shared" si="174"/>
        <v>66.528999999999996</v>
      </c>
      <c r="AC81" s="23">
        <f t="shared" si="175"/>
        <v>475.5</v>
      </c>
      <c r="AD81" s="23">
        <f t="shared" si="176"/>
        <v>377.51411432604095</v>
      </c>
      <c r="AE81" s="23">
        <f t="shared" si="177"/>
        <v>300.18939393939394</v>
      </c>
      <c r="AF81" s="23">
        <f t="shared" si="178"/>
        <v>205.48833189282627</v>
      </c>
      <c r="AG81" s="23">
        <f t="shared" si="179"/>
        <v>142.53597122302159</v>
      </c>
      <c r="AH81" s="23">
        <f t="shared" si="180"/>
        <v>76.007033248081839</v>
      </c>
      <c r="AI81" s="23">
        <f t="shared" si="181"/>
        <v>45.968677494199532</v>
      </c>
    </row>
    <row r="82" spans="1:36">
      <c r="A82" s="29">
        <v>389</v>
      </c>
      <c r="B82" s="30">
        <v>461.9</v>
      </c>
      <c r="C82" s="30">
        <v>368.97337278106505</v>
      </c>
      <c r="D82" s="30">
        <v>294.8297872340425</v>
      </c>
      <c r="E82" s="30">
        <v>203.03296703296701</v>
      </c>
      <c r="F82" s="30">
        <v>141.39795918367346</v>
      </c>
      <c r="G82" s="30">
        <v>75.72131147540982</v>
      </c>
      <c r="H82" s="31">
        <v>45.884105960264897</v>
      </c>
      <c r="I82" s="9">
        <f t="shared" si="157"/>
        <v>0.46189999999999998</v>
      </c>
      <c r="J82" s="8">
        <f t="shared" si="158"/>
        <v>4.2304489213782741</v>
      </c>
      <c r="K82" s="8">
        <f t="shared" si="159"/>
        <v>4.5826314394896368</v>
      </c>
      <c r="L82" s="8">
        <f t="shared" si="160"/>
        <v>4.9348139576009986</v>
      </c>
      <c r="M82" s="8">
        <f t="shared" si="161"/>
        <v>5.1846914308175984</v>
      </c>
      <c r="N82" s="8">
        <f t="shared" si="162"/>
        <v>5.5368739489289611</v>
      </c>
      <c r="O82" s="8">
        <f t="shared" si="163"/>
        <v>5.7867514221455609</v>
      </c>
      <c r="P82" s="11">
        <f t="shared" si="164"/>
        <v>0.42499999999999916</v>
      </c>
      <c r="Q82" s="11">
        <f t="shared" si="165"/>
        <v>2</v>
      </c>
      <c r="R82" s="11">
        <f t="shared" si="166"/>
        <v>0.42499999999999999</v>
      </c>
      <c r="S82" s="12">
        <f t="shared" si="167"/>
        <v>-172</v>
      </c>
      <c r="T82" s="12">
        <f t="shared" si="168"/>
        <v>688</v>
      </c>
      <c r="U82" s="12">
        <f t="shared" si="169"/>
        <v>230</v>
      </c>
      <c r="V82" s="13">
        <f t="shared" si="170"/>
        <v>249</v>
      </c>
      <c r="W82" s="15">
        <f t="shared" si="171"/>
        <v>1.534</v>
      </c>
      <c r="X82" s="35"/>
      <c r="Y82" s="18">
        <f t="shared" si="172"/>
        <v>167.07</v>
      </c>
      <c r="Z82" s="18">
        <f t="shared" si="173"/>
        <v>153.43199999999999</v>
      </c>
      <c r="AA82" s="18">
        <f t="shared" si="174"/>
        <v>65.677000000000007</v>
      </c>
      <c r="AC82" s="23">
        <f t="shared" si="175"/>
        <v>461.89999999999992</v>
      </c>
      <c r="AD82" s="23">
        <f t="shared" si="176"/>
        <v>368.97337278106505</v>
      </c>
      <c r="AE82" s="23">
        <f t="shared" si="177"/>
        <v>294.8297872340425</v>
      </c>
      <c r="AF82" s="23">
        <f t="shared" si="178"/>
        <v>203.03296703296701</v>
      </c>
      <c r="AG82" s="23">
        <f t="shared" si="179"/>
        <v>141.39795918367346</v>
      </c>
      <c r="AH82" s="23">
        <f t="shared" si="180"/>
        <v>75.72131147540982</v>
      </c>
      <c r="AI82" s="23">
        <f t="shared" si="181"/>
        <v>45.884105960264897</v>
      </c>
    </row>
    <row r="83" spans="1:36">
      <c r="A83" s="29">
        <v>391</v>
      </c>
      <c r="B83" s="30">
        <v>458.5</v>
      </c>
      <c r="C83" s="30">
        <v>367.47506530515318</v>
      </c>
      <c r="D83" s="30">
        <v>294.41352739726028</v>
      </c>
      <c r="E83" s="30">
        <v>203.41614906832299</v>
      </c>
      <c r="F83" s="30">
        <v>141.97976878612718</v>
      </c>
      <c r="G83" s="30">
        <v>76.213430851063833</v>
      </c>
      <c r="H83" s="31">
        <v>46.232186071524602</v>
      </c>
      <c r="I83" s="9">
        <f t="shared" si="157"/>
        <v>0.45850000000000002</v>
      </c>
      <c r="J83" s="8">
        <f t="shared" si="158"/>
        <v>4.223236273102998</v>
      </c>
      <c r="K83" s="8">
        <f t="shared" si="159"/>
        <v>4.5754187912143598</v>
      </c>
      <c r="L83" s="8">
        <f t="shared" si="160"/>
        <v>4.9276013093257225</v>
      </c>
      <c r="M83" s="8">
        <f t="shared" si="161"/>
        <v>5.1774787825423223</v>
      </c>
      <c r="N83" s="8">
        <f t="shared" si="162"/>
        <v>5.529661300653685</v>
      </c>
      <c r="O83" s="8">
        <f t="shared" si="163"/>
        <v>5.7795387738702848</v>
      </c>
      <c r="P83" s="11">
        <f t="shared" si="164"/>
        <v>0.41799999999999937</v>
      </c>
      <c r="Q83" s="11">
        <f t="shared" si="165"/>
        <v>2.0000000000000004</v>
      </c>
      <c r="R83" s="11">
        <f t="shared" si="166"/>
        <v>0.41799999999999998</v>
      </c>
      <c r="S83" s="12">
        <f t="shared" si="167"/>
        <v>-176</v>
      </c>
      <c r="T83" s="12">
        <f t="shared" si="168"/>
        <v>704</v>
      </c>
      <c r="U83" s="12">
        <f t="shared" si="169"/>
        <v>232</v>
      </c>
      <c r="V83" s="13">
        <f t="shared" si="170"/>
        <v>249</v>
      </c>
      <c r="W83" s="15">
        <f t="shared" si="171"/>
        <v>1.5469999999999999</v>
      </c>
      <c r="X83" s="35"/>
      <c r="Y83" s="18">
        <f t="shared" si="172"/>
        <v>164.08600000000001</v>
      </c>
      <c r="Z83" s="18">
        <f t="shared" si="173"/>
        <v>152.434</v>
      </c>
      <c r="AA83" s="18">
        <f t="shared" si="174"/>
        <v>65.766000000000005</v>
      </c>
      <c r="AC83" s="23">
        <f t="shared" si="175"/>
        <v>458.5</v>
      </c>
      <c r="AD83" s="23">
        <f t="shared" si="176"/>
        <v>367.47506530515318</v>
      </c>
      <c r="AE83" s="23">
        <f t="shared" si="177"/>
        <v>294.41352739726028</v>
      </c>
      <c r="AF83" s="23">
        <f t="shared" si="178"/>
        <v>203.41614906832299</v>
      </c>
      <c r="AG83" s="23">
        <f t="shared" si="179"/>
        <v>141.97976878612718</v>
      </c>
      <c r="AH83" s="23">
        <f t="shared" si="180"/>
        <v>76.213430851063833</v>
      </c>
      <c r="AI83" s="23">
        <f t="shared" si="181"/>
        <v>46.232186071524602</v>
      </c>
    </row>
    <row r="84" spans="1:36">
      <c r="A84" s="29">
        <v>728</v>
      </c>
      <c r="B84" s="30">
        <v>798.8</v>
      </c>
      <c r="C84" s="30">
        <v>655.47045951859945</v>
      </c>
      <c r="D84" s="30">
        <v>535.38873994638061</v>
      </c>
      <c r="E84" s="30">
        <v>379.11722828666348</v>
      </c>
      <c r="F84" s="30">
        <v>269.13746630727758</v>
      </c>
      <c r="G84" s="30">
        <v>147.1628592483419</v>
      </c>
      <c r="H84" s="31">
        <v>90.036068530207388</v>
      </c>
      <c r="I84" s="9">
        <f t="shared" si="157"/>
        <v>0.79879999999999995</v>
      </c>
      <c r="J84" s="8">
        <f t="shared" si="158"/>
        <v>4.1690863574870232</v>
      </c>
      <c r="K84" s="8">
        <f t="shared" si="159"/>
        <v>4.5212688755983859</v>
      </c>
      <c r="L84" s="8">
        <f t="shared" si="160"/>
        <v>4.8734513937097477</v>
      </c>
      <c r="M84" s="8">
        <f t="shared" si="161"/>
        <v>5.1233288669263475</v>
      </c>
      <c r="N84" s="8">
        <f t="shared" si="162"/>
        <v>5.4755113850377102</v>
      </c>
      <c r="O84" s="8">
        <f t="shared" si="163"/>
        <v>5.72538885825431</v>
      </c>
      <c r="P84" s="11">
        <f t="shared" si="164"/>
        <v>0.36899999999999944</v>
      </c>
      <c r="Q84" s="11">
        <f t="shared" si="165"/>
        <v>2</v>
      </c>
      <c r="R84" s="11">
        <f t="shared" si="166"/>
        <v>0.36899999999999999</v>
      </c>
      <c r="S84" s="12">
        <f t="shared" si="167"/>
        <v>-115</v>
      </c>
      <c r="T84" s="12">
        <f t="shared" si="168"/>
        <v>460</v>
      </c>
      <c r="U84" s="12">
        <f t="shared" si="169"/>
        <v>247</v>
      </c>
      <c r="V84" s="13">
        <f t="shared" si="170"/>
        <v>457</v>
      </c>
      <c r="W84" s="15">
        <f t="shared" si="171"/>
        <v>1.6459999999999999</v>
      </c>
      <c r="X84" s="35"/>
      <c r="Y84" s="18">
        <f t="shared" si="172"/>
        <v>263.411</v>
      </c>
      <c r="Z84" s="18">
        <f t="shared" si="173"/>
        <v>266.25099999999998</v>
      </c>
      <c r="AA84" s="18">
        <f t="shared" si="174"/>
        <v>121.97499999999999</v>
      </c>
      <c r="AC84" s="23">
        <f t="shared" si="175"/>
        <v>798.79999999999984</v>
      </c>
      <c r="AD84" s="23">
        <f t="shared" si="176"/>
        <v>655.47045951859945</v>
      </c>
      <c r="AE84" s="23">
        <f t="shared" si="177"/>
        <v>535.38873994638061</v>
      </c>
      <c r="AF84" s="23">
        <f t="shared" si="178"/>
        <v>379.11722828666348</v>
      </c>
      <c r="AG84" s="23">
        <f t="shared" si="179"/>
        <v>269.13746630727758</v>
      </c>
      <c r="AH84" s="23">
        <f t="shared" si="180"/>
        <v>147.1628592483419</v>
      </c>
      <c r="AI84" s="23">
        <f t="shared" si="181"/>
        <v>90.036068530207388</v>
      </c>
    </row>
    <row r="85" spans="1:36">
      <c r="A85" s="29">
        <v>707</v>
      </c>
      <c r="B85" s="30">
        <v>765.9</v>
      </c>
      <c r="C85" s="30">
        <v>630.92811813522076</v>
      </c>
      <c r="D85" s="30">
        <v>517.03420342034201</v>
      </c>
      <c r="E85" s="30">
        <v>367.69083053288523</v>
      </c>
      <c r="F85" s="30">
        <v>261.81631722880581</v>
      </c>
      <c r="G85" s="30">
        <v>143.64216054013502</v>
      </c>
      <c r="H85" s="31">
        <v>88.020992951271822</v>
      </c>
      <c r="I85" s="9">
        <f t="shared" si="157"/>
        <v>0.76590000000000003</v>
      </c>
      <c r="J85" s="8">
        <f t="shared" si="158"/>
        <v>4.1595671932336211</v>
      </c>
      <c r="K85" s="8">
        <f t="shared" si="159"/>
        <v>4.5117497113449829</v>
      </c>
      <c r="L85" s="8">
        <f t="shared" si="160"/>
        <v>4.8639322294563456</v>
      </c>
      <c r="M85" s="8">
        <f t="shared" si="161"/>
        <v>5.1138097026729454</v>
      </c>
      <c r="N85" s="8">
        <f t="shared" si="162"/>
        <v>5.4659922207843072</v>
      </c>
      <c r="O85" s="8">
        <f t="shared" si="163"/>
        <v>5.7158696940009079</v>
      </c>
      <c r="P85" s="11">
        <f t="shared" si="164"/>
        <v>0.36099999999999982</v>
      </c>
      <c r="Q85" s="11">
        <f t="shared" si="165"/>
        <v>2</v>
      </c>
      <c r="R85" s="11">
        <f t="shared" si="166"/>
        <v>0.36099999999999999</v>
      </c>
      <c r="S85" s="12">
        <f t="shared" si="167"/>
        <v>-122</v>
      </c>
      <c r="T85" s="12">
        <f t="shared" si="168"/>
        <v>488</v>
      </c>
      <c r="U85" s="12">
        <f t="shared" si="169"/>
        <v>250</v>
      </c>
      <c r="V85" s="13">
        <f t="shared" si="170"/>
        <v>442</v>
      </c>
      <c r="W85" s="15">
        <f t="shared" si="171"/>
        <v>1.6639999999999999</v>
      </c>
      <c r="X85" s="35"/>
      <c r="Y85" s="18">
        <f t="shared" si="172"/>
        <v>248.86600000000001</v>
      </c>
      <c r="Z85" s="18">
        <f t="shared" si="173"/>
        <v>255.21799999999999</v>
      </c>
      <c r="AA85" s="18">
        <f t="shared" si="174"/>
        <v>118.17400000000001</v>
      </c>
      <c r="AC85" s="23">
        <f t="shared" si="175"/>
        <v>765.89999999999986</v>
      </c>
      <c r="AD85" s="23">
        <f t="shared" si="176"/>
        <v>630.92811813522076</v>
      </c>
      <c r="AE85" s="23">
        <f t="shared" si="177"/>
        <v>517.03420342034201</v>
      </c>
      <c r="AF85" s="23">
        <f t="shared" si="178"/>
        <v>367.69083053288523</v>
      </c>
      <c r="AG85" s="23">
        <f t="shared" si="179"/>
        <v>261.81631722880581</v>
      </c>
      <c r="AH85" s="23">
        <f t="shared" si="180"/>
        <v>143.64216054013502</v>
      </c>
      <c r="AI85" s="23">
        <f t="shared" si="181"/>
        <v>88.020992951271822</v>
      </c>
    </row>
    <row r="86" spans="1:36">
      <c r="A86" s="29">
        <v>706</v>
      </c>
      <c r="B86" s="30">
        <v>756.1</v>
      </c>
      <c r="C86" s="30">
        <v>624.99081557678187</v>
      </c>
      <c r="D86" s="30">
        <v>513.65489130434787</v>
      </c>
      <c r="E86" s="30">
        <v>366.68283220174595</v>
      </c>
      <c r="F86" s="30">
        <v>261.80747922437678</v>
      </c>
      <c r="G86" s="30">
        <v>144.07393292682929</v>
      </c>
      <c r="H86" s="31">
        <v>88.412067352666057</v>
      </c>
      <c r="I86" s="9">
        <f t="shared" si="157"/>
        <v>0.75609999999999999</v>
      </c>
      <c r="J86" s="8">
        <f t="shared" si="158"/>
        <v>4.1510632533537501</v>
      </c>
      <c r="K86" s="8">
        <f t="shared" si="159"/>
        <v>4.5032457714651128</v>
      </c>
      <c r="L86" s="8">
        <f t="shared" si="160"/>
        <v>4.8554282895764747</v>
      </c>
      <c r="M86" s="8">
        <f t="shared" si="161"/>
        <v>5.1053057627930754</v>
      </c>
      <c r="N86" s="8">
        <f t="shared" si="162"/>
        <v>5.4574882809044372</v>
      </c>
      <c r="O86" s="8">
        <f t="shared" si="163"/>
        <v>5.707365754121037</v>
      </c>
      <c r="P86" s="11">
        <f t="shared" si="164"/>
        <v>0.35399999999999987</v>
      </c>
      <c r="Q86" s="11">
        <f t="shared" si="165"/>
        <v>2.0000000000000004</v>
      </c>
      <c r="R86" s="11">
        <f t="shared" si="166"/>
        <v>0.35399999999999998</v>
      </c>
      <c r="S86" s="12">
        <f t="shared" si="167"/>
        <v>-126</v>
      </c>
      <c r="T86" s="12">
        <f t="shared" si="168"/>
        <v>504</v>
      </c>
      <c r="U86" s="12">
        <f t="shared" si="169"/>
        <v>252</v>
      </c>
      <c r="V86" s="13">
        <f t="shared" si="170"/>
        <v>440</v>
      </c>
      <c r="W86" s="15">
        <f t="shared" si="171"/>
        <v>1.681</v>
      </c>
      <c r="X86" s="35"/>
      <c r="Y86" s="18">
        <f t="shared" si="172"/>
        <v>242.44499999999999</v>
      </c>
      <c r="Z86" s="18">
        <f t="shared" si="173"/>
        <v>251.84700000000001</v>
      </c>
      <c r="AA86" s="18">
        <f t="shared" si="174"/>
        <v>117.73399999999999</v>
      </c>
      <c r="AC86" s="23">
        <f t="shared" si="175"/>
        <v>756.10000000000014</v>
      </c>
      <c r="AD86" s="23">
        <f t="shared" si="176"/>
        <v>624.99081557678187</v>
      </c>
      <c r="AE86" s="23">
        <f t="shared" si="177"/>
        <v>513.65489130434787</v>
      </c>
      <c r="AF86" s="23">
        <f t="shared" si="178"/>
        <v>366.68283220174595</v>
      </c>
      <c r="AG86" s="23">
        <f t="shared" si="179"/>
        <v>261.80747922437678</v>
      </c>
      <c r="AH86" s="23">
        <f t="shared" si="180"/>
        <v>144.07393292682929</v>
      </c>
      <c r="AI86" s="23">
        <f t="shared" si="181"/>
        <v>88.412067352666057</v>
      </c>
    </row>
    <row r="87" spans="1:36">
      <c r="A87" s="29">
        <v>705</v>
      </c>
      <c r="B87" s="30">
        <v>753.2</v>
      </c>
      <c r="C87" s="30">
        <v>623.50993377483451</v>
      </c>
      <c r="D87" s="30">
        <v>513.07901907356961</v>
      </c>
      <c r="E87" s="30">
        <v>366.87773989283983</v>
      </c>
      <c r="F87" s="30">
        <v>262.25626740947081</v>
      </c>
      <c r="G87" s="30">
        <v>144.51266308518805</v>
      </c>
      <c r="H87" s="31">
        <v>88.73704052780397</v>
      </c>
      <c r="I87" s="9">
        <f t="shared" si="157"/>
        <v>0.75320000000000009</v>
      </c>
      <c r="J87" s="8">
        <f t="shared" si="158"/>
        <v>4.1473671077937864</v>
      </c>
      <c r="K87" s="8">
        <f t="shared" si="159"/>
        <v>4.4995496259051482</v>
      </c>
      <c r="L87" s="8">
        <f t="shared" si="160"/>
        <v>4.8517321440165109</v>
      </c>
      <c r="M87" s="8">
        <f t="shared" si="161"/>
        <v>5.1016096172331116</v>
      </c>
      <c r="N87" s="8">
        <f t="shared" si="162"/>
        <v>5.4537921353444734</v>
      </c>
      <c r="O87" s="8">
        <f t="shared" si="163"/>
        <v>5.7036696085610741</v>
      </c>
      <c r="P87" s="11">
        <f t="shared" si="164"/>
        <v>0.35099999999999687</v>
      </c>
      <c r="Q87" s="11">
        <f t="shared" si="165"/>
        <v>2.0000000000000009</v>
      </c>
      <c r="R87" s="11">
        <f t="shared" si="166"/>
        <v>0.35099999999999998</v>
      </c>
      <c r="S87" s="12">
        <f t="shared" si="167"/>
        <v>-128</v>
      </c>
      <c r="T87" s="12">
        <f t="shared" si="168"/>
        <v>512</v>
      </c>
      <c r="U87" s="12">
        <f t="shared" si="169"/>
        <v>253</v>
      </c>
      <c r="V87" s="13">
        <f t="shared" si="170"/>
        <v>440</v>
      </c>
      <c r="W87" s="15">
        <f t="shared" si="171"/>
        <v>1.6879999999999999</v>
      </c>
      <c r="X87" s="35"/>
      <c r="Y87" s="18">
        <f t="shared" si="172"/>
        <v>240.12100000000001</v>
      </c>
      <c r="Z87" s="18">
        <f t="shared" si="173"/>
        <v>250.82300000000001</v>
      </c>
      <c r="AA87" s="18">
        <f t="shared" si="174"/>
        <v>117.744</v>
      </c>
      <c r="AC87" s="23">
        <f t="shared" si="175"/>
        <v>753.20000000000016</v>
      </c>
      <c r="AD87" s="23">
        <f t="shared" si="176"/>
        <v>623.50993377483451</v>
      </c>
      <c r="AE87" s="23">
        <f t="shared" si="177"/>
        <v>513.07901907356961</v>
      </c>
      <c r="AF87" s="23">
        <f t="shared" si="178"/>
        <v>366.87773989283983</v>
      </c>
      <c r="AG87" s="23">
        <f t="shared" si="179"/>
        <v>262.25626740947081</v>
      </c>
      <c r="AH87" s="23">
        <f t="shared" si="180"/>
        <v>144.51266308518805</v>
      </c>
      <c r="AI87" s="23">
        <f t="shared" si="181"/>
        <v>88.73704052780397</v>
      </c>
    </row>
    <row r="88" spans="1:36">
      <c r="A88" s="29">
        <v>1391</v>
      </c>
      <c r="B88" s="30">
        <v>1281.5999999999999</v>
      </c>
      <c r="C88" s="30">
        <v>1084.3319127600903</v>
      </c>
      <c r="D88" s="30">
        <v>909.3661305581835</v>
      </c>
      <c r="E88" s="30">
        <v>667.15252472670488</v>
      </c>
      <c r="F88" s="30">
        <v>485.94539939332657</v>
      </c>
      <c r="G88" s="30">
        <v>273.61229718189583</v>
      </c>
      <c r="H88" s="31">
        <v>169.76333451077357</v>
      </c>
      <c r="I88" s="9">
        <f t="shared" si="157"/>
        <v>1.2815999999999999</v>
      </c>
      <c r="J88" s="8">
        <f t="shared" si="158"/>
        <v>4.0891983668051486</v>
      </c>
      <c r="K88" s="8">
        <f t="shared" si="159"/>
        <v>4.4413808849165113</v>
      </c>
      <c r="L88" s="8">
        <f t="shared" si="160"/>
        <v>4.793563403027874</v>
      </c>
      <c r="M88" s="8">
        <f t="shared" si="161"/>
        <v>5.0434408762444738</v>
      </c>
      <c r="N88" s="8">
        <f t="shared" si="162"/>
        <v>5.3956233943558365</v>
      </c>
      <c r="O88" s="8">
        <f t="shared" si="163"/>
        <v>5.6455008675724363</v>
      </c>
      <c r="P88" s="11">
        <f t="shared" si="164"/>
        <v>0.30699999999999839</v>
      </c>
      <c r="Q88" s="11">
        <f t="shared" si="165"/>
        <v>2.0000000000000013</v>
      </c>
      <c r="R88" s="11">
        <f t="shared" si="166"/>
        <v>0.307</v>
      </c>
      <c r="S88" s="12">
        <f t="shared" si="167"/>
        <v>-86</v>
      </c>
      <c r="T88" s="12">
        <f t="shared" si="168"/>
        <v>344</v>
      </c>
      <c r="U88" s="12">
        <f t="shared" si="169"/>
        <v>271</v>
      </c>
      <c r="V88" s="13">
        <f t="shared" si="170"/>
        <v>791</v>
      </c>
      <c r="W88" s="15">
        <f t="shared" si="171"/>
        <v>1.8049999999999999</v>
      </c>
      <c r="X88" s="35"/>
      <c r="Y88" s="18">
        <f t="shared" si="172"/>
        <v>372.23399999999998</v>
      </c>
      <c r="Z88" s="18">
        <f t="shared" si="173"/>
        <v>423.42099999999999</v>
      </c>
      <c r="AA88" s="18">
        <f t="shared" si="174"/>
        <v>212.333</v>
      </c>
      <c r="AC88" s="23">
        <f t="shared" si="175"/>
        <v>1281.5999999999999</v>
      </c>
      <c r="AD88" s="23">
        <f t="shared" si="176"/>
        <v>1084.3319127600903</v>
      </c>
      <c r="AE88" s="23">
        <f t="shared" si="177"/>
        <v>909.3661305581835</v>
      </c>
      <c r="AF88" s="23">
        <f t="shared" si="178"/>
        <v>667.15252472670488</v>
      </c>
      <c r="AG88" s="23">
        <f t="shared" si="179"/>
        <v>485.94539939332657</v>
      </c>
      <c r="AH88" s="23">
        <f t="shared" si="180"/>
        <v>273.61229718189583</v>
      </c>
      <c r="AI88" s="23">
        <f t="shared" si="181"/>
        <v>169.76333451077357</v>
      </c>
    </row>
    <row r="89" spans="1:36">
      <c r="A89" s="29">
        <v>1393</v>
      </c>
      <c r="B89" s="30">
        <v>1276.2</v>
      </c>
      <c r="C89" s="30">
        <v>1084.6575169982375</v>
      </c>
      <c r="D89" s="30">
        <v>913.31106870229019</v>
      </c>
      <c r="E89" s="30">
        <v>673.81203801478364</v>
      </c>
      <c r="F89" s="30">
        <v>492.86817713697229</v>
      </c>
      <c r="G89" s="30">
        <v>278.88986013986016</v>
      </c>
      <c r="H89" s="31">
        <v>173.45958680681409</v>
      </c>
      <c r="I89" s="9">
        <f t="shared" si="157"/>
        <v>1.2762</v>
      </c>
      <c r="J89" s="8">
        <f t="shared" si="158"/>
        <v>4.0762762554042169</v>
      </c>
      <c r="K89" s="8">
        <f t="shared" si="159"/>
        <v>4.4284587735155796</v>
      </c>
      <c r="L89" s="8">
        <f t="shared" si="160"/>
        <v>4.7806412916269423</v>
      </c>
      <c r="M89" s="8">
        <f t="shared" si="161"/>
        <v>5.0305187648435421</v>
      </c>
      <c r="N89" s="8">
        <f t="shared" si="162"/>
        <v>5.3827012829549048</v>
      </c>
      <c r="O89" s="8">
        <f t="shared" si="163"/>
        <v>5.6325787561715046</v>
      </c>
      <c r="P89" s="11">
        <f t="shared" si="164"/>
        <v>0.29799999999999754</v>
      </c>
      <c r="Q89" s="11">
        <f t="shared" si="165"/>
        <v>2.0000000000000013</v>
      </c>
      <c r="R89" s="11">
        <f t="shared" si="166"/>
        <v>0.29799999999999999</v>
      </c>
      <c r="S89" s="12">
        <f t="shared" si="167"/>
        <v>-89</v>
      </c>
      <c r="T89" s="12">
        <f t="shared" si="168"/>
        <v>356</v>
      </c>
      <c r="U89" s="12">
        <f t="shared" si="169"/>
        <v>275</v>
      </c>
      <c r="V89" s="13">
        <f t="shared" si="170"/>
        <v>797</v>
      </c>
      <c r="W89" s="15">
        <f t="shared" si="171"/>
        <v>1.8320000000000001</v>
      </c>
      <c r="X89" s="35"/>
      <c r="Y89" s="18">
        <f t="shared" si="172"/>
        <v>362.88900000000001</v>
      </c>
      <c r="Z89" s="18">
        <f t="shared" si="173"/>
        <v>420.44299999999998</v>
      </c>
      <c r="AA89" s="18">
        <f t="shared" si="174"/>
        <v>213.97800000000001</v>
      </c>
      <c r="AC89" s="23">
        <f t="shared" si="175"/>
        <v>1276.2000000000003</v>
      </c>
      <c r="AD89" s="23">
        <f t="shared" si="176"/>
        <v>1084.6575169982375</v>
      </c>
      <c r="AE89" s="23">
        <f t="shared" si="177"/>
        <v>913.31106870229019</v>
      </c>
      <c r="AF89" s="23">
        <f t="shared" si="178"/>
        <v>673.81203801478364</v>
      </c>
      <c r="AG89" s="23">
        <f t="shared" si="179"/>
        <v>492.86817713697229</v>
      </c>
      <c r="AH89" s="23">
        <f t="shared" si="180"/>
        <v>278.88986013986016</v>
      </c>
      <c r="AI89" s="23">
        <f t="shared" si="181"/>
        <v>173.45958680681409</v>
      </c>
    </row>
    <row r="90" spans="1:36">
      <c r="A90" s="29">
        <v>1390</v>
      </c>
      <c r="B90" s="30">
        <v>1266.5999999999999</v>
      </c>
      <c r="C90" s="30">
        <v>1073.79427279578</v>
      </c>
      <c r="D90" s="30">
        <v>902.13675213675219</v>
      </c>
      <c r="E90" s="30">
        <v>663.48873755893135</v>
      </c>
      <c r="F90" s="30">
        <v>484.17431192660553</v>
      </c>
      <c r="G90" s="30">
        <v>273.20966350301984</v>
      </c>
      <c r="H90" s="31">
        <v>169.69453376205789</v>
      </c>
      <c r="I90" s="9">
        <f t="shared" si="157"/>
        <v>1.2665999999999999</v>
      </c>
      <c r="J90" s="8">
        <f t="shared" si="158"/>
        <v>4.0835026198302673</v>
      </c>
      <c r="K90" s="8">
        <f t="shared" si="159"/>
        <v>4.43568513794163</v>
      </c>
      <c r="L90" s="8">
        <f t="shared" si="160"/>
        <v>4.7878676560529927</v>
      </c>
      <c r="M90" s="8">
        <f t="shared" si="161"/>
        <v>5.0377451292695925</v>
      </c>
      <c r="N90" s="8">
        <f t="shared" si="162"/>
        <v>5.3899276473809552</v>
      </c>
      <c r="O90" s="8">
        <f t="shared" si="163"/>
        <v>5.639805120597555</v>
      </c>
      <c r="P90" s="11">
        <f t="shared" si="164"/>
        <v>0.30299999999999794</v>
      </c>
      <c r="Q90" s="11">
        <f t="shared" si="165"/>
        <v>2.0000000000000013</v>
      </c>
      <c r="R90" s="11">
        <f t="shared" si="166"/>
        <v>0.30299999999999999</v>
      </c>
      <c r="S90" s="12">
        <f t="shared" si="167"/>
        <v>-88</v>
      </c>
      <c r="T90" s="12">
        <f t="shared" si="168"/>
        <v>352</v>
      </c>
      <c r="U90" s="12">
        <f t="shared" si="169"/>
        <v>273</v>
      </c>
      <c r="V90" s="13">
        <f t="shared" si="170"/>
        <v>786</v>
      </c>
      <c r="W90" s="15">
        <f t="shared" si="171"/>
        <v>1.8169999999999999</v>
      </c>
      <c r="X90" s="35"/>
      <c r="Y90" s="18">
        <f t="shared" si="172"/>
        <v>364.46300000000002</v>
      </c>
      <c r="Z90" s="18">
        <f t="shared" si="173"/>
        <v>417.96199999999999</v>
      </c>
      <c r="AA90" s="18">
        <f t="shared" si="174"/>
        <v>210.965</v>
      </c>
      <c r="AC90" s="23">
        <f t="shared" si="175"/>
        <v>1266.5999999999999</v>
      </c>
      <c r="AD90" s="23">
        <f t="shared" si="176"/>
        <v>1073.79427279578</v>
      </c>
      <c r="AE90" s="23">
        <f t="shared" si="177"/>
        <v>902.13675213675219</v>
      </c>
      <c r="AF90" s="23">
        <f t="shared" si="178"/>
        <v>663.48873755893135</v>
      </c>
      <c r="AG90" s="23">
        <f t="shared" si="179"/>
        <v>484.17431192660553</v>
      </c>
      <c r="AH90" s="23">
        <f t="shared" si="180"/>
        <v>273.20966350301984</v>
      </c>
      <c r="AI90" s="23">
        <f t="shared" si="181"/>
        <v>169.69453376205789</v>
      </c>
    </row>
    <row r="91" spans="1:36" ht="13.5" thickBot="1">
      <c r="A91" s="32">
        <v>1390</v>
      </c>
      <c r="B91" s="33">
        <v>1266.5999999999999</v>
      </c>
      <c r="C91" s="33">
        <v>1074.8742770932863</v>
      </c>
      <c r="D91" s="33">
        <v>903.85347288296862</v>
      </c>
      <c r="E91" s="33">
        <v>665.58066211245398</v>
      </c>
      <c r="F91" s="33">
        <v>486.15660184237464</v>
      </c>
      <c r="G91" s="33">
        <v>274.6313963573287</v>
      </c>
      <c r="H91" s="34">
        <v>170.6701401365433</v>
      </c>
      <c r="I91" s="9">
        <f t="shared" si="157"/>
        <v>1.2665999999999999</v>
      </c>
      <c r="J91" s="8">
        <f t="shared" si="158"/>
        <v>4.0806264869218056</v>
      </c>
      <c r="K91" s="8">
        <f t="shared" si="159"/>
        <v>4.4328090050331683</v>
      </c>
      <c r="L91" s="8">
        <f t="shared" si="160"/>
        <v>4.784991523144531</v>
      </c>
      <c r="M91" s="8">
        <f t="shared" si="161"/>
        <v>5.0348689963611308</v>
      </c>
      <c r="N91" s="8">
        <f t="shared" si="162"/>
        <v>5.3870515144724935</v>
      </c>
      <c r="O91" s="8">
        <f t="shared" si="163"/>
        <v>5.6369289876890933</v>
      </c>
      <c r="P91" s="11">
        <f t="shared" si="164"/>
        <v>0.30099999999999794</v>
      </c>
      <c r="Q91" s="11">
        <f t="shared" si="165"/>
        <v>2.0000000000000013</v>
      </c>
      <c r="R91" s="11">
        <f t="shared" si="166"/>
        <v>0.30099999999999999</v>
      </c>
      <c r="S91" s="12">
        <f t="shared" si="167"/>
        <v>-89</v>
      </c>
      <c r="T91" s="12">
        <f t="shared" si="168"/>
        <v>356</v>
      </c>
      <c r="U91" s="12">
        <f t="shared" si="169"/>
        <v>273</v>
      </c>
      <c r="V91" s="13">
        <f t="shared" si="170"/>
        <v>788</v>
      </c>
      <c r="W91" s="15">
        <f t="shared" si="171"/>
        <v>1.823</v>
      </c>
      <c r="X91" s="35"/>
      <c r="Y91" s="18">
        <f t="shared" si="172"/>
        <v>362.74700000000001</v>
      </c>
      <c r="Z91" s="18">
        <f t="shared" si="173"/>
        <v>417.697</v>
      </c>
      <c r="AA91" s="18">
        <f t="shared" si="174"/>
        <v>211.52500000000001</v>
      </c>
      <c r="AC91" s="23">
        <f t="shared" si="175"/>
        <v>1266.5999999999999</v>
      </c>
      <c r="AD91" s="23">
        <f t="shared" si="176"/>
        <v>1074.8742770932863</v>
      </c>
      <c r="AE91" s="23">
        <f t="shared" si="177"/>
        <v>903.85347288296862</v>
      </c>
      <c r="AF91" s="23">
        <f t="shared" si="178"/>
        <v>665.58066211245398</v>
      </c>
      <c r="AG91" s="23">
        <f t="shared" si="179"/>
        <v>486.15660184237464</v>
      </c>
      <c r="AH91" s="23">
        <f t="shared" si="180"/>
        <v>274.6313963573287</v>
      </c>
      <c r="AI91" s="23">
        <f t="shared" si="181"/>
        <v>170.6701401365433</v>
      </c>
    </row>
    <row r="92" spans="1:36">
      <c r="A92" s="24">
        <f t="shared" ref="A92:W92" si="182">AVERAGE(A80:A83)</f>
        <v>386.75</v>
      </c>
      <c r="B92" s="24">
        <f t="shared" si="182"/>
        <v>486.47500000000002</v>
      </c>
      <c r="C92" s="24">
        <f t="shared" si="182"/>
        <v>386.84050968840222</v>
      </c>
      <c r="D92" s="24">
        <f t="shared" si="182"/>
        <v>308.01017049815584</v>
      </c>
      <c r="E92" s="24">
        <f t="shared" si="182"/>
        <v>211.19774049133179</v>
      </c>
      <c r="F92" s="24">
        <f t="shared" si="182"/>
        <v>146.66743493070749</v>
      </c>
      <c r="G92" s="24">
        <f t="shared" si="182"/>
        <v>78.309885580983789</v>
      </c>
      <c r="H92" s="24">
        <f t="shared" si="182"/>
        <v>47.389348196321315</v>
      </c>
      <c r="I92" s="24">
        <f t="shared" si="182"/>
        <v>0.48647499999999999</v>
      </c>
      <c r="J92" s="24">
        <f t="shared" si="182"/>
        <v>4.2390837851246008</v>
      </c>
      <c r="K92" s="24">
        <f t="shared" si="182"/>
        <v>4.5912663032359626</v>
      </c>
      <c r="L92" s="24">
        <f t="shared" si="182"/>
        <v>4.9434488213473253</v>
      </c>
      <c r="M92" s="24">
        <f t="shared" si="182"/>
        <v>5.1933262945639251</v>
      </c>
      <c r="N92" s="24">
        <f t="shared" si="182"/>
        <v>5.5455088126752869</v>
      </c>
      <c r="O92" s="24">
        <f t="shared" si="182"/>
        <v>5.7953862858918876</v>
      </c>
      <c r="P92" s="24">
        <f t="shared" si="182"/>
        <v>0.43374999999999897</v>
      </c>
      <c r="Q92" s="24">
        <f t="shared" si="182"/>
        <v>2.0000000000000004</v>
      </c>
      <c r="R92" s="24">
        <f t="shared" si="182"/>
        <v>0.43374999999999997</v>
      </c>
      <c r="S92" s="24">
        <f t="shared" si="182"/>
        <v>-161.25</v>
      </c>
      <c r="T92" s="24">
        <f t="shared" si="182"/>
        <v>645</v>
      </c>
      <c r="U92" s="24">
        <f t="shared" si="182"/>
        <v>228</v>
      </c>
      <c r="V92" s="24">
        <f t="shared" si="182"/>
        <v>259.75</v>
      </c>
      <c r="W92" s="24">
        <f t="shared" si="182"/>
        <v>1.5189999999999999</v>
      </c>
      <c r="X92" s="36">
        <f>SLOPE(W92:W94,A92:A94)</f>
        <v>2.8689923460250655E-4</v>
      </c>
      <c r="Y92" s="24">
        <f>AVERAGE(Y80:Y83)</f>
        <v>178.46474999999998</v>
      </c>
      <c r="Z92" s="24">
        <f>AVERAGE(Z80:Z83)</f>
        <v>161.34275</v>
      </c>
      <c r="AA92" s="24">
        <f>AVERAGE(AA80:AA83)</f>
        <v>68.357500000000002</v>
      </c>
      <c r="AB92"/>
      <c r="AC92" s="24">
        <f t="shared" ref="AC92:AI92" si="183">AVERAGE(AC80:AC83)</f>
        <v>486.47499999999997</v>
      </c>
      <c r="AD92" s="24">
        <f t="shared" si="183"/>
        <v>386.84050968840222</v>
      </c>
      <c r="AE92" s="24">
        <f t="shared" si="183"/>
        <v>308.01017049815584</v>
      </c>
      <c r="AF92" s="24">
        <f t="shared" si="183"/>
        <v>211.19774049133179</v>
      </c>
      <c r="AG92" s="24">
        <f t="shared" si="183"/>
        <v>146.66743493070749</v>
      </c>
      <c r="AH92" s="24">
        <f t="shared" si="183"/>
        <v>78.309885580983789</v>
      </c>
      <c r="AI92" s="24">
        <f t="shared" si="183"/>
        <v>47.389348196321315</v>
      </c>
    </row>
    <row r="93" spans="1:36">
      <c r="A93" s="24">
        <f t="shared" ref="A93:W93" si="184">AVERAGE(A84:A87)</f>
        <v>711.5</v>
      </c>
      <c r="B93" s="24">
        <f t="shared" si="184"/>
        <v>768.5</v>
      </c>
      <c r="C93" s="24">
        <f t="shared" si="184"/>
        <v>633.72483175135915</v>
      </c>
      <c r="D93" s="24">
        <f t="shared" si="184"/>
        <v>519.78921343616003</v>
      </c>
      <c r="E93" s="24">
        <f t="shared" si="184"/>
        <v>370.09215772853361</v>
      </c>
      <c r="F93" s="24">
        <f t="shared" si="184"/>
        <v>263.75438254248274</v>
      </c>
      <c r="G93" s="24">
        <f t="shared" si="184"/>
        <v>144.84790395012357</v>
      </c>
      <c r="H93" s="24">
        <f t="shared" si="184"/>
        <v>88.801542340487302</v>
      </c>
      <c r="I93" s="24">
        <f t="shared" si="184"/>
        <v>0.76850000000000007</v>
      </c>
      <c r="J93" s="24">
        <f t="shared" si="184"/>
        <v>4.1567709779670459</v>
      </c>
      <c r="K93" s="24">
        <f t="shared" si="184"/>
        <v>4.5089534960784068</v>
      </c>
      <c r="L93" s="24">
        <f t="shared" si="184"/>
        <v>4.8611360141897695</v>
      </c>
      <c r="M93" s="24">
        <f t="shared" si="184"/>
        <v>5.1110134874063702</v>
      </c>
      <c r="N93" s="24">
        <f t="shared" si="184"/>
        <v>5.463196005517732</v>
      </c>
      <c r="O93" s="24">
        <f t="shared" si="184"/>
        <v>5.7130734787343327</v>
      </c>
      <c r="P93" s="24">
        <f t="shared" si="184"/>
        <v>0.35874999999999901</v>
      </c>
      <c r="Q93" s="24">
        <f t="shared" si="184"/>
        <v>2</v>
      </c>
      <c r="R93" s="24">
        <f t="shared" si="184"/>
        <v>0.35875000000000001</v>
      </c>
      <c r="S93" s="24">
        <f t="shared" si="184"/>
        <v>-122.75</v>
      </c>
      <c r="T93" s="24">
        <f t="shared" si="184"/>
        <v>491</v>
      </c>
      <c r="U93" s="24">
        <f t="shared" si="184"/>
        <v>250.5</v>
      </c>
      <c r="V93" s="24">
        <f t="shared" si="184"/>
        <v>444.75</v>
      </c>
      <c r="W93" s="24">
        <f t="shared" si="184"/>
        <v>1.6697499999999998</v>
      </c>
      <c r="X93" s="24"/>
      <c r="Y93" s="24">
        <f>AVERAGE(Y84:Y87)</f>
        <v>248.71074999999999</v>
      </c>
      <c r="Z93" s="24">
        <f>AVERAGE(Z84:Z87)</f>
        <v>256.03474999999997</v>
      </c>
      <c r="AA93" s="24">
        <f>AVERAGE(AA84:AA87)</f>
        <v>118.90674999999999</v>
      </c>
      <c r="AB93" s="24">
        <f>AC93/AC92</f>
        <v>1.5797317436661702</v>
      </c>
      <c r="AC93" s="24">
        <f t="shared" ref="AC93:AI93" si="185">AVERAGE(AC84:AC87)</f>
        <v>768.50000000000011</v>
      </c>
      <c r="AD93" s="24">
        <f t="shared" si="185"/>
        <v>633.72483175135915</v>
      </c>
      <c r="AE93" s="24">
        <f t="shared" si="185"/>
        <v>519.78921343616003</v>
      </c>
      <c r="AF93" s="24">
        <f t="shared" si="185"/>
        <v>370.09215772853361</v>
      </c>
      <c r="AG93" s="24">
        <f t="shared" si="185"/>
        <v>263.75438254248274</v>
      </c>
      <c r="AH93" s="24">
        <f t="shared" si="185"/>
        <v>144.84790395012357</v>
      </c>
      <c r="AI93" s="24">
        <f t="shared" si="185"/>
        <v>88.801542340487302</v>
      </c>
      <c r="AJ93" s="1">
        <f>AI93/AI92</f>
        <v>1.8738713597116046</v>
      </c>
    </row>
    <row r="94" spans="1:36" ht="13.5" thickBot="1">
      <c r="A94" s="24">
        <f t="shared" ref="A94:W94" si="186">AVERAGE(A88:A91)</f>
        <v>1391</v>
      </c>
      <c r="B94" s="24">
        <f t="shared" si="186"/>
        <v>1272.75</v>
      </c>
      <c r="C94" s="24">
        <f t="shared" si="186"/>
        <v>1079.4144949118486</v>
      </c>
      <c r="D94" s="24">
        <f t="shared" si="186"/>
        <v>907.16685607004854</v>
      </c>
      <c r="E94" s="24">
        <f t="shared" si="186"/>
        <v>667.50849060321843</v>
      </c>
      <c r="F94" s="24">
        <f t="shared" si="186"/>
        <v>487.28612257481973</v>
      </c>
      <c r="G94" s="24">
        <f t="shared" si="186"/>
        <v>275.08580429552609</v>
      </c>
      <c r="H94" s="24">
        <f t="shared" si="186"/>
        <v>170.8968988040472</v>
      </c>
      <c r="I94" s="24">
        <f t="shared" si="186"/>
        <v>1.2727499999999998</v>
      </c>
      <c r="J94" s="24">
        <f t="shared" si="186"/>
        <v>4.0824009322403594</v>
      </c>
      <c r="K94" s="24">
        <f t="shared" si="186"/>
        <v>4.4345834503517221</v>
      </c>
      <c r="L94" s="24">
        <f t="shared" si="186"/>
        <v>4.7867659684630848</v>
      </c>
      <c r="M94" s="24">
        <f t="shared" si="186"/>
        <v>5.0366434416796846</v>
      </c>
      <c r="N94" s="24">
        <f t="shared" si="186"/>
        <v>5.3888259597910473</v>
      </c>
      <c r="O94" s="24">
        <f t="shared" si="186"/>
        <v>5.6387034330076471</v>
      </c>
      <c r="P94" s="24">
        <f t="shared" si="186"/>
        <v>0.30224999999999796</v>
      </c>
      <c r="Q94" s="24">
        <f t="shared" si="186"/>
        <v>2.0000000000000013</v>
      </c>
      <c r="R94" s="24">
        <f t="shared" si="186"/>
        <v>0.30224999999999996</v>
      </c>
      <c r="S94" s="24">
        <f t="shared" si="186"/>
        <v>-88</v>
      </c>
      <c r="T94" s="24">
        <f t="shared" si="186"/>
        <v>352</v>
      </c>
      <c r="U94" s="24">
        <f t="shared" si="186"/>
        <v>273</v>
      </c>
      <c r="V94" s="24">
        <f t="shared" si="186"/>
        <v>790.5</v>
      </c>
      <c r="W94" s="24">
        <f t="shared" si="186"/>
        <v>1.8192499999999998</v>
      </c>
      <c r="X94" s="24"/>
      <c r="Y94" s="24">
        <f>AVERAGE(Y88:Y91)</f>
        <v>365.58325000000002</v>
      </c>
      <c r="Z94" s="24">
        <f>AVERAGE(Z88:Z91)</f>
        <v>419.88075000000003</v>
      </c>
      <c r="AA94" s="24">
        <f>AVERAGE(AA88:AA91)</f>
        <v>212.20025000000001</v>
      </c>
      <c r="AB94" s="24">
        <f>AC94/AC92</f>
        <v>2.6162701063775118</v>
      </c>
      <c r="AC94" s="24">
        <f t="shared" ref="AC94:AI94" si="187">AVERAGE(AC88:AC91)</f>
        <v>1272.75</v>
      </c>
      <c r="AD94" s="24">
        <f t="shared" si="187"/>
        <v>1079.4144949118486</v>
      </c>
      <c r="AE94" s="24">
        <f t="shared" si="187"/>
        <v>907.16685607004854</v>
      </c>
      <c r="AF94" s="24">
        <f t="shared" si="187"/>
        <v>667.50849060321843</v>
      </c>
      <c r="AG94" s="24">
        <f t="shared" si="187"/>
        <v>487.28612257481973</v>
      </c>
      <c r="AH94" s="24">
        <f t="shared" si="187"/>
        <v>275.08580429552609</v>
      </c>
      <c r="AI94" s="24">
        <f t="shared" si="187"/>
        <v>170.8968988040472</v>
      </c>
      <c r="AJ94" s="1">
        <f>AI94/AI92</f>
        <v>3.6062302038016507</v>
      </c>
    </row>
    <row r="95" spans="1:36">
      <c r="A95" s="26">
        <v>379</v>
      </c>
      <c r="B95" s="27">
        <v>602.5</v>
      </c>
      <c r="C95" s="27">
        <v>451.37347391786903</v>
      </c>
      <c r="D95" s="27">
        <v>343.63117870722431</v>
      </c>
      <c r="E95" s="27">
        <v>223.5621521335807</v>
      </c>
      <c r="F95" s="27">
        <v>150.12458471760797</v>
      </c>
      <c r="G95" s="27">
        <v>77.442159383033413</v>
      </c>
      <c r="H95" s="28">
        <v>46.156792645556699</v>
      </c>
      <c r="I95" s="9">
        <f t="shared" ref="I95:I106" si="188">B95/1000</f>
        <v>0.60250000000000004</v>
      </c>
      <c r="J95" s="8">
        <f t="shared" ref="J95:J106" si="189">LOG10((((3*150*150)*B95)/C95)-((3*150*150)))</f>
        <v>4.3541084391474012</v>
      </c>
      <c r="K95" s="8">
        <f t="shared" ref="K95:K106" si="190">LOG10((((3*150*150)*B95)/D95)-((3*150*150)))</f>
        <v>4.7062909572587639</v>
      </c>
      <c r="L95" s="8">
        <f t="shared" ref="L95:L106" si="191">LOG10((((3*150*150)*B95)/E95)-((3*150*150)))</f>
        <v>5.0584734753701257</v>
      </c>
      <c r="M95" s="8">
        <f t="shared" ref="M95:M106" si="192">LOG10((((3*150*150)*B95)/F95)-((3*150*150)))</f>
        <v>5.3083509485867255</v>
      </c>
      <c r="N95" s="8">
        <f t="shared" ref="N95:N106" si="193">LOG10((((3*150*150)*B95)/G95)-((3*150*150)))</f>
        <v>5.6605334666980882</v>
      </c>
      <c r="O95" s="8">
        <f t="shared" ref="O95:O106" si="194">LOG10((((3*150*150)*B95)/H95)-((3*150*150)))</f>
        <v>5.910410939914688</v>
      </c>
      <c r="P95" s="11">
        <f t="shared" ref="P95:P106" si="195">10^(INTERCEPT(J95:O95,$J$1:$O$1))</f>
        <v>0.56499999999999906</v>
      </c>
      <c r="Q95" s="11">
        <f t="shared" ref="Q95:Q106" si="196">LINEST(J95:O95,$J$1:$O$1)</f>
        <v>2</v>
      </c>
      <c r="R95" s="11">
        <f t="shared" ref="R95:R106" si="197">ROUND(10^((SUM(J95:N95)-2*SUM($J$1:$N$1))/5),3)</f>
        <v>0.56499999999999995</v>
      </c>
      <c r="S95" s="12">
        <f t="shared" ref="S95:S106" si="198">ROUND(-1.5*((150^2)/(R95*I95))/1000,0)</f>
        <v>-99</v>
      </c>
      <c r="T95" s="12">
        <f t="shared" ref="T95:T106" si="199">-4*S95</f>
        <v>396</v>
      </c>
      <c r="U95" s="12">
        <f t="shared" ref="U95:U106" si="200">ROUND(150/(R95^0.5),0)</f>
        <v>200</v>
      </c>
      <c r="V95" s="13">
        <f t="shared" ref="V95:V106" si="201">ROUND(150*I95*ATAN((1800*SQRT(3*R95))/(3*150))*SQRT(3/(R95)),0)</f>
        <v>288</v>
      </c>
      <c r="W95" s="15">
        <f t="shared" ref="W95:W106" si="202">ROUND(1/SQRT(R95),3)</f>
        <v>1.33</v>
      </c>
      <c r="X95" s="36">
        <f>SLOPE(W95:W106,A95:A106)</f>
        <v>2.6961112638272558E-4</v>
      </c>
      <c r="Y95" s="18">
        <f t="shared" ref="Y95:Y106" si="203">ROUND(B95-D95,3)</f>
        <v>258.86900000000003</v>
      </c>
      <c r="Z95" s="18">
        <f t="shared" ref="Z95:Z106" si="204">ROUND(D95-F95,3)</f>
        <v>193.50700000000001</v>
      </c>
      <c r="AA95" s="18">
        <f t="shared" ref="AA95:AA106" si="205">ROUND(F95-G95,3)</f>
        <v>72.682000000000002</v>
      </c>
      <c r="AC95" s="23">
        <f t="shared" ref="AC95:AC106" si="206">((B95)*3*150^2)/(R95*$AC$3^2+3*150^2)</f>
        <v>602.5</v>
      </c>
      <c r="AD95" s="23">
        <f t="shared" ref="AD95:AD106" si="207">((B95)*3*150^2)/(R95*$AD$3^2+3*150^2)</f>
        <v>451.37347391786903</v>
      </c>
      <c r="AE95" s="23">
        <f t="shared" ref="AE95:AE106" si="208">((B95)*3*150^2)/(R95*$AE$3^2+3*150^2)</f>
        <v>343.63117870722431</v>
      </c>
      <c r="AF95" s="23">
        <f t="shared" ref="AF95:AF106" si="209">((B95)*3*150^2)/(R95*$AF$3^2+3*150^2)</f>
        <v>223.5621521335807</v>
      </c>
      <c r="AG95" s="23">
        <f t="shared" ref="AG95:AG106" si="210">((B95)*3*150^2)/(R95*$AG$3^2+3*150^2)</f>
        <v>150.12458471760797</v>
      </c>
      <c r="AH95" s="23">
        <f t="shared" ref="AH95:AH106" si="211">((B95)*3*150^2)/(R95*$AH$3^2+3*150^2)</f>
        <v>77.442159383033413</v>
      </c>
      <c r="AI95" s="23">
        <f t="shared" ref="AI95:AI106" si="212">((B95)*3*150^2)/(R95*$AI$3^2+3*150^2)</f>
        <v>46.156792645556699</v>
      </c>
    </row>
    <row r="96" spans="1:36">
      <c r="A96" s="29">
        <v>384</v>
      </c>
      <c r="B96" s="30">
        <v>492.6</v>
      </c>
      <c r="C96" s="30">
        <v>378.62104304258713</v>
      </c>
      <c r="D96" s="30">
        <v>293.68044515103344</v>
      </c>
      <c r="E96" s="30">
        <v>195.16640253565771</v>
      </c>
      <c r="F96" s="30">
        <v>132.80014378145222</v>
      </c>
      <c r="G96" s="30">
        <v>69.419391206313421</v>
      </c>
      <c r="H96" s="31">
        <v>41.61410227528723</v>
      </c>
      <c r="I96" s="9">
        <f t="shared" si="188"/>
        <v>0.49260000000000004</v>
      </c>
      <c r="J96" s="8">
        <f t="shared" si="189"/>
        <v>4.3079237036118814</v>
      </c>
      <c r="K96" s="8">
        <f t="shared" si="190"/>
        <v>4.6601062217232441</v>
      </c>
      <c r="L96" s="8">
        <f t="shared" si="191"/>
        <v>5.0122887398346068</v>
      </c>
      <c r="M96" s="8">
        <f t="shared" si="192"/>
        <v>5.2621662130512066</v>
      </c>
      <c r="N96" s="8">
        <f t="shared" si="193"/>
        <v>5.6143487311625693</v>
      </c>
      <c r="O96" s="8">
        <f t="shared" si="194"/>
        <v>5.8642262043791691</v>
      </c>
      <c r="P96" s="11">
        <f t="shared" si="195"/>
        <v>0.50799999999999634</v>
      </c>
      <c r="Q96" s="11">
        <f t="shared" si="196"/>
        <v>2.0000000000000013</v>
      </c>
      <c r="R96" s="11">
        <f t="shared" si="197"/>
        <v>0.50800000000000001</v>
      </c>
      <c r="S96" s="12">
        <f t="shared" si="198"/>
        <v>-135</v>
      </c>
      <c r="T96" s="12">
        <f t="shared" si="199"/>
        <v>540</v>
      </c>
      <c r="U96" s="12">
        <f t="shared" si="200"/>
        <v>210</v>
      </c>
      <c r="V96" s="13">
        <f t="shared" si="201"/>
        <v>246</v>
      </c>
      <c r="W96" s="15">
        <f t="shared" si="202"/>
        <v>1.403</v>
      </c>
      <c r="X96" s="35"/>
      <c r="Y96" s="18">
        <f t="shared" si="203"/>
        <v>198.92</v>
      </c>
      <c r="Z96" s="18">
        <f t="shared" si="204"/>
        <v>160.88</v>
      </c>
      <c r="AA96" s="18">
        <f t="shared" si="205"/>
        <v>63.381</v>
      </c>
      <c r="AC96" s="23">
        <f t="shared" si="206"/>
        <v>492.60000000000008</v>
      </c>
      <c r="AD96" s="23">
        <f t="shared" si="207"/>
        <v>378.62104304258713</v>
      </c>
      <c r="AE96" s="23">
        <f t="shared" si="208"/>
        <v>293.68044515103344</v>
      </c>
      <c r="AF96" s="23">
        <f t="shared" si="209"/>
        <v>195.16640253565771</v>
      </c>
      <c r="AG96" s="23">
        <f t="shared" si="210"/>
        <v>132.80014378145222</v>
      </c>
      <c r="AH96" s="23">
        <f t="shared" si="211"/>
        <v>69.419391206313421</v>
      </c>
      <c r="AI96" s="23">
        <f t="shared" si="212"/>
        <v>41.61410227528723</v>
      </c>
    </row>
    <row r="97" spans="1:36">
      <c r="A97" s="29">
        <v>385</v>
      </c>
      <c r="B97" s="30">
        <v>474</v>
      </c>
      <c r="C97" s="30">
        <v>368.18181818181819</v>
      </c>
      <c r="D97" s="30">
        <v>287.85425101214577</v>
      </c>
      <c r="E97" s="30">
        <v>193.07535641547861</v>
      </c>
      <c r="F97" s="30">
        <v>132.15613382899627</v>
      </c>
      <c r="G97" s="30">
        <v>69.501466275659823</v>
      </c>
      <c r="H97" s="31">
        <v>41.774383078730907</v>
      </c>
      <c r="I97" s="9">
        <f t="shared" si="188"/>
        <v>0.47399999999999998</v>
      </c>
      <c r="J97" s="8">
        <f t="shared" si="189"/>
        <v>4.2878017299302265</v>
      </c>
      <c r="K97" s="8">
        <f t="shared" si="190"/>
        <v>4.6399842480415883</v>
      </c>
      <c r="L97" s="8">
        <f t="shared" si="191"/>
        <v>4.992166766152951</v>
      </c>
      <c r="M97" s="8">
        <f t="shared" si="192"/>
        <v>5.2420442393695508</v>
      </c>
      <c r="N97" s="8">
        <f t="shared" si="193"/>
        <v>5.5942267574809135</v>
      </c>
      <c r="O97" s="8">
        <f t="shared" si="194"/>
        <v>5.8441042306975133</v>
      </c>
      <c r="P97" s="11">
        <f t="shared" si="195"/>
        <v>0.48499999999999932</v>
      </c>
      <c r="Q97" s="11">
        <f t="shared" si="196"/>
        <v>2.0000000000000004</v>
      </c>
      <c r="R97" s="11">
        <f t="shared" si="197"/>
        <v>0.48499999999999999</v>
      </c>
      <c r="S97" s="12">
        <f t="shared" si="198"/>
        <v>-147</v>
      </c>
      <c r="T97" s="12">
        <f t="shared" si="199"/>
        <v>588</v>
      </c>
      <c r="U97" s="12">
        <f t="shared" si="200"/>
        <v>215</v>
      </c>
      <c r="V97" s="13">
        <f t="shared" si="201"/>
        <v>242</v>
      </c>
      <c r="W97" s="15">
        <f t="shared" si="202"/>
        <v>1.4359999999999999</v>
      </c>
      <c r="X97" s="35"/>
      <c r="Y97" s="18">
        <f t="shared" si="203"/>
        <v>186.14599999999999</v>
      </c>
      <c r="Z97" s="18">
        <f t="shared" si="204"/>
        <v>155.69800000000001</v>
      </c>
      <c r="AA97" s="18">
        <f t="shared" si="205"/>
        <v>62.655000000000001</v>
      </c>
      <c r="AC97" s="23">
        <f t="shared" si="206"/>
        <v>474</v>
      </c>
      <c r="AD97" s="23">
        <f t="shared" si="207"/>
        <v>368.18181818181819</v>
      </c>
      <c r="AE97" s="23">
        <f t="shared" si="208"/>
        <v>287.85425101214577</v>
      </c>
      <c r="AF97" s="23">
        <f t="shared" si="209"/>
        <v>193.07535641547861</v>
      </c>
      <c r="AG97" s="23">
        <f t="shared" si="210"/>
        <v>132.15613382899627</v>
      </c>
      <c r="AH97" s="23">
        <f t="shared" si="211"/>
        <v>69.501466275659823</v>
      </c>
      <c r="AI97" s="23">
        <f t="shared" si="212"/>
        <v>41.774383078730907</v>
      </c>
    </row>
    <row r="98" spans="1:36">
      <c r="A98" s="29">
        <v>386</v>
      </c>
      <c r="B98" s="30">
        <v>467.8</v>
      </c>
      <c r="C98" s="30">
        <v>365.38417033094197</v>
      </c>
      <c r="D98" s="30">
        <v>286.87653311529033</v>
      </c>
      <c r="E98" s="30">
        <v>193.38569656883013</v>
      </c>
      <c r="F98" s="30">
        <v>132.79712339137018</v>
      </c>
      <c r="G98" s="30">
        <v>70.071899340922712</v>
      </c>
      <c r="H98" s="31">
        <v>42.17961048328926</v>
      </c>
      <c r="I98" s="9">
        <f t="shared" si="188"/>
        <v>0.46779999999999999</v>
      </c>
      <c r="J98" s="8">
        <f t="shared" si="189"/>
        <v>4.2769211320657741</v>
      </c>
      <c r="K98" s="8">
        <f t="shared" si="190"/>
        <v>4.6291036501771359</v>
      </c>
      <c r="L98" s="8">
        <f t="shared" si="191"/>
        <v>4.9812861682884986</v>
      </c>
      <c r="M98" s="8">
        <f t="shared" si="192"/>
        <v>5.2311636415050993</v>
      </c>
      <c r="N98" s="8">
        <f t="shared" si="193"/>
        <v>5.5833461596164611</v>
      </c>
      <c r="O98" s="8">
        <f t="shared" si="194"/>
        <v>5.8332236328330609</v>
      </c>
      <c r="P98" s="11">
        <f t="shared" si="195"/>
        <v>0.47299999999999803</v>
      </c>
      <c r="Q98" s="11">
        <f t="shared" si="196"/>
        <v>2.0000000000000009</v>
      </c>
      <c r="R98" s="11">
        <f t="shared" si="197"/>
        <v>0.47299999999999998</v>
      </c>
      <c r="S98" s="12">
        <f t="shared" si="198"/>
        <v>-153</v>
      </c>
      <c r="T98" s="12">
        <f t="shared" si="199"/>
        <v>612</v>
      </c>
      <c r="U98" s="12">
        <f t="shared" si="200"/>
        <v>218</v>
      </c>
      <c r="V98" s="13">
        <f t="shared" si="201"/>
        <v>241</v>
      </c>
      <c r="W98" s="15">
        <f t="shared" si="202"/>
        <v>1.454</v>
      </c>
      <c r="X98" s="35"/>
      <c r="Y98" s="18">
        <f t="shared" si="203"/>
        <v>180.923</v>
      </c>
      <c r="Z98" s="18">
        <f t="shared" si="204"/>
        <v>154.07900000000001</v>
      </c>
      <c r="AA98" s="18">
        <f t="shared" si="205"/>
        <v>62.725000000000001</v>
      </c>
      <c r="AC98" s="23">
        <f t="shared" si="206"/>
        <v>467.80000000000007</v>
      </c>
      <c r="AD98" s="23">
        <f t="shared" si="207"/>
        <v>365.38417033094197</v>
      </c>
      <c r="AE98" s="23">
        <f t="shared" si="208"/>
        <v>286.87653311529033</v>
      </c>
      <c r="AF98" s="23">
        <f t="shared" si="209"/>
        <v>193.38569656883013</v>
      </c>
      <c r="AG98" s="23">
        <f t="shared" si="210"/>
        <v>132.79712339137018</v>
      </c>
      <c r="AH98" s="23">
        <f t="shared" si="211"/>
        <v>70.071899340922712</v>
      </c>
      <c r="AI98" s="23">
        <f t="shared" si="212"/>
        <v>42.17961048328926</v>
      </c>
    </row>
    <row r="99" spans="1:36">
      <c r="A99" s="29">
        <v>727</v>
      </c>
      <c r="B99" s="30">
        <v>840.2</v>
      </c>
      <c r="C99" s="30">
        <v>670.84811923349901</v>
      </c>
      <c r="D99" s="30">
        <v>535.84183673469397</v>
      </c>
      <c r="E99" s="30">
        <v>368.83230904302025</v>
      </c>
      <c r="F99" s="30">
        <v>256.78484107579465</v>
      </c>
      <c r="G99" s="30">
        <v>137.467277486911</v>
      </c>
      <c r="H99" s="31">
        <v>83.287073750991283</v>
      </c>
      <c r="I99" s="9">
        <f t="shared" si="188"/>
        <v>0.84020000000000006</v>
      </c>
      <c r="J99" s="8">
        <f t="shared" si="189"/>
        <v>4.2314695904306809</v>
      </c>
      <c r="K99" s="8">
        <f t="shared" si="190"/>
        <v>4.5836521085420436</v>
      </c>
      <c r="L99" s="8">
        <f t="shared" si="191"/>
        <v>4.9358346266534063</v>
      </c>
      <c r="M99" s="8">
        <f t="shared" si="192"/>
        <v>5.1857120998700061</v>
      </c>
      <c r="N99" s="8">
        <f t="shared" si="193"/>
        <v>5.5378946179813688</v>
      </c>
      <c r="O99" s="8">
        <f t="shared" si="194"/>
        <v>5.7877720911979686</v>
      </c>
      <c r="P99" s="11">
        <f t="shared" si="195"/>
        <v>0.42599999999999694</v>
      </c>
      <c r="Q99" s="11">
        <f t="shared" si="196"/>
        <v>2.0000000000000013</v>
      </c>
      <c r="R99" s="11">
        <f t="shared" si="197"/>
        <v>0.42599999999999999</v>
      </c>
      <c r="S99" s="12">
        <f t="shared" si="198"/>
        <v>-94</v>
      </c>
      <c r="T99" s="12">
        <f t="shared" si="199"/>
        <v>376</v>
      </c>
      <c r="U99" s="12">
        <f t="shared" si="200"/>
        <v>230</v>
      </c>
      <c r="V99" s="13">
        <f t="shared" si="201"/>
        <v>453</v>
      </c>
      <c r="W99" s="15">
        <f t="shared" si="202"/>
        <v>1.532</v>
      </c>
      <c r="X99" s="35"/>
      <c r="Y99" s="18">
        <f t="shared" si="203"/>
        <v>304.358</v>
      </c>
      <c r="Z99" s="18">
        <f t="shared" si="204"/>
        <v>279.05700000000002</v>
      </c>
      <c r="AA99" s="18">
        <f t="shared" si="205"/>
        <v>119.318</v>
      </c>
      <c r="AC99" s="23">
        <f t="shared" si="206"/>
        <v>840.20000000000016</v>
      </c>
      <c r="AD99" s="23">
        <f t="shared" si="207"/>
        <v>670.84811923349901</v>
      </c>
      <c r="AE99" s="23">
        <f t="shared" si="208"/>
        <v>535.84183673469397</v>
      </c>
      <c r="AF99" s="23">
        <f t="shared" si="209"/>
        <v>368.83230904302025</v>
      </c>
      <c r="AG99" s="23">
        <f t="shared" si="210"/>
        <v>256.78484107579465</v>
      </c>
      <c r="AH99" s="23">
        <f t="shared" si="211"/>
        <v>137.467277486911</v>
      </c>
      <c r="AI99" s="23">
        <f t="shared" si="212"/>
        <v>83.287073750991283</v>
      </c>
    </row>
    <row r="100" spans="1:36">
      <c r="A100" s="29">
        <v>711</v>
      </c>
      <c r="B100" s="30">
        <v>804.3</v>
      </c>
      <c r="C100" s="30">
        <v>647.08283671036941</v>
      </c>
      <c r="D100" s="30">
        <v>520.02155172413791</v>
      </c>
      <c r="E100" s="30">
        <v>360.67264573991025</v>
      </c>
      <c r="F100" s="30">
        <v>252.3953974895397</v>
      </c>
      <c r="G100" s="30">
        <v>135.86148648648646</v>
      </c>
      <c r="H100" s="31">
        <v>82.520519835841299</v>
      </c>
      <c r="I100" s="9">
        <f t="shared" si="188"/>
        <v>0.8042999999999999</v>
      </c>
      <c r="J100" s="8">
        <f t="shared" si="189"/>
        <v>4.214843848047698</v>
      </c>
      <c r="K100" s="8">
        <f t="shared" si="190"/>
        <v>4.5670263661590607</v>
      </c>
      <c r="L100" s="8">
        <f t="shared" si="191"/>
        <v>4.9192088842704234</v>
      </c>
      <c r="M100" s="8">
        <f t="shared" si="192"/>
        <v>5.1690863574870232</v>
      </c>
      <c r="N100" s="8">
        <f t="shared" si="193"/>
        <v>5.521268875598385</v>
      </c>
      <c r="O100" s="8">
        <f t="shared" si="194"/>
        <v>5.7711463488149857</v>
      </c>
      <c r="P100" s="11">
        <f t="shared" si="195"/>
        <v>0.40999999999999909</v>
      </c>
      <c r="Q100" s="11">
        <f t="shared" si="196"/>
        <v>2.0000000000000004</v>
      </c>
      <c r="R100" s="11">
        <f t="shared" si="197"/>
        <v>0.41</v>
      </c>
      <c r="S100" s="12">
        <f t="shared" si="198"/>
        <v>-102</v>
      </c>
      <c r="T100" s="12">
        <f t="shared" si="199"/>
        <v>408</v>
      </c>
      <c r="U100" s="12">
        <f t="shared" si="200"/>
        <v>234</v>
      </c>
      <c r="V100" s="13">
        <f t="shared" si="201"/>
        <v>440</v>
      </c>
      <c r="W100" s="15">
        <f t="shared" si="202"/>
        <v>1.5620000000000001</v>
      </c>
      <c r="X100" s="35"/>
      <c r="Y100" s="18">
        <f t="shared" si="203"/>
        <v>284.27800000000002</v>
      </c>
      <c r="Z100" s="18">
        <f t="shared" si="204"/>
        <v>267.62599999999998</v>
      </c>
      <c r="AA100" s="18">
        <f t="shared" si="205"/>
        <v>116.53400000000001</v>
      </c>
      <c r="AC100" s="23">
        <f t="shared" si="206"/>
        <v>804.29999999999984</v>
      </c>
      <c r="AD100" s="23">
        <f t="shared" si="207"/>
        <v>647.08283671036941</v>
      </c>
      <c r="AE100" s="23">
        <f t="shared" si="208"/>
        <v>520.02155172413791</v>
      </c>
      <c r="AF100" s="23">
        <f t="shared" si="209"/>
        <v>360.67264573991025</v>
      </c>
      <c r="AG100" s="23">
        <f t="shared" si="210"/>
        <v>252.3953974895397</v>
      </c>
      <c r="AH100" s="23">
        <f t="shared" si="211"/>
        <v>135.86148648648646</v>
      </c>
      <c r="AI100" s="23">
        <f t="shared" si="212"/>
        <v>82.520519835841299</v>
      </c>
    </row>
    <row r="101" spans="1:36">
      <c r="A101" s="29">
        <v>706</v>
      </c>
      <c r="B101" s="30">
        <v>789.5</v>
      </c>
      <c r="C101" s="30">
        <v>638.21856287425146</v>
      </c>
      <c r="D101" s="30">
        <v>514.89130434782612</v>
      </c>
      <c r="E101" s="30">
        <v>358.86363636363637</v>
      </c>
      <c r="F101" s="30">
        <v>251.96808510638297</v>
      </c>
      <c r="G101" s="30">
        <v>136.12068965517241</v>
      </c>
      <c r="H101" s="31">
        <v>82.81468531468532</v>
      </c>
      <c r="I101" s="9">
        <f t="shared" si="188"/>
        <v>0.78949999999999998</v>
      </c>
      <c r="J101" s="8">
        <f t="shared" si="189"/>
        <v>4.204119982655925</v>
      </c>
      <c r="K101" s="8">
        <f t="shared" si="190"/>
        <v>4.5563025007672868</v>
      </c>
      <c r="L101" s="8">
        <f t="shared" si="191"/>
        <v>4.9084850188786495</v>
      </c>
      <c r="M101" s="8">
        <f t="shared" si="192"/>
        <v>5.1583624920952493</v>
      </c>
      <c r="N101" s="8">
        <f t="shared" si="193"/>
        <v>5.510545010206612</v>
      </c>
      <c r="O101" s="8">
        <f t="shared" si="194"/>
        <v>5.7604224834232118</v>
      </c>
      <c r="P101" s="11">
        <f t="shared" si="195"/>
        <v>0.3999999999999993</v>
      </c>
      <c r="Q101" s="11">
        <f t="shared" si="196"/>
        <v>2.0000000000000004</v>
      </c>
      <c r="R101" s="11">
        <f t="shared" si="197"/>
        <v>0.4</v>
      </c>
      <c r="S101" s="12">
        <f t="shared" si="198"/>
        <v>-107</v>
      </c>
      <c r="T101" s="12">
        <f t="shared" si="199"/>
        <v>428</v>
      </c>
      <c r="U101" s="12">
        <f t="shared" si="200"/>
        <v>237</v>
      </c>
      <c r="V101" s="13">
        <f t="shared" si="201"/>
        <v>437</v>
      </c>
      <c r="W101" s="15">
        <f t="shared" si="202"/>
        <v>1.581</v>
      </c>
      <c r="X101" s="35"/>
      <c r="Y101" s="18">
        <f t="shared" si="203"/>
        <v>274.60899999999998</v>
      </c>
      <c r="Z101" s="18">
        <f t="shared" si="204"/>
        <v>262.923</v>
      </c>
      <c r="AA101" s="18">
        <f t="shared" si="205"/>
        <v>115.84699999999999</v>
      </c>
      <c r="AC101" s="23">
        <f t="shared" si="206"/>
        <v>789.5</v>
      </c>
      <c r="AD101" s="23">
        <f t="shared" si="207"/>
        <v>638.21856287425146</v>
      </c>
      <c r="AE101" s="23">
        <f t="shared" si="208"/>
        <v>514.89130434782612</v>
      </c>
      <c r="AF101" s="23">
        <f t="shared" si="209"/>
        <v>358.86363636363637</v>
      </c>
      <c r="AG101" s="23">
        <f t="shared" si="210"/>
        <v>251.96808510638297</v>
      </c>
      <c r="AH101" s="23">
        <f t="shared" si="211"/>
        <v>136.12068965517241</v>
      </c>
      <c r="AI101" s="23">
        <f t="shared" si="212"/>
        <v>82.81468531468532</v>
      </c>
    </row>
    <row r="102" spans="1:36">
      <c r="A102" s="29">
        <v>704</v>
      </c>
      <c r="B102" s="30">
        <v>784.2</v>
      </c>
      <c r="C102" s="30">
        <v>635.15118790496774</v>
      </c>
      <c r="D102" s="30">
        <v>513.21989528795814</v>
      </c>
      <c r="E102" s="30">
        <v>358.40950639853753</v>
      </c>
      <c r="F102" s="30">
        <v>251.99228791773783</v>
      </c>
      <c r="G102" s="30">
        <v>136.33518776077887</v>
      </c>
      <c r="H102" s="31">
        <v>83.001693480101622</v>
      </c>
      <c r="I102" s="9">
        <f t="shared" si="188"/>
        <v>0.78420000000000001</v>
      </c>
      <c r="J102" s="8">
        <f t="shared" si="189"/>
        <v>4.1997551772534747</v>
      </c>
      <c r="K102" s="8">
        <f t="shared" si="190"/>
        <v>4.5519376953648374</v>
      </c>
      <c r="L102" s="8">
        <f t="shared" si="191"/>
        <v>4.9041202134761992</v>
      </c>
      <c r="M102" s="8">
        <f t="shared" si="192"/>
        <v>5.1539976866927999</v>
      </c>
      <c r="N102" s="8">
        <f t="shared" si="193"/>
        <v>5.5061802048041617</v>
      </c>
      <c r="O102" s="8">
        <f t="shared" si="194"/>
        <v>5.7560576780207615</v>
      </c>
      <c r="P102" s="11">
        <f t="shared" si="195"/>
        <v>0.3959999999999998</v>
      </c>
      <c r="Q102" s="11">
        <f t="shared" si="196"/>
        <v>2.0000000000000004</v>
      </c>
      <c r="R102" s="11">
        <f t="shared" si="197"/>
        <v>0.39600000000000002</v>
      </c>
      <c r="S102" s="12">
        <f t="shared" si="198"/>
        <v>-109</v>
      </c>
      <c r="T102" s="12">
        <f t="shared" si="199"/>
        <v>436</v>
      </c>
      <c r="U102" s="12">
        <f t="shared" si="200"/>
        <v>238</v>
      </c>
      <c r="V102" s="13">
        <f t="shared" si="201"/>
        <v>436</v>
      </c>
      <c r="W102" s="15">
        <f t="shared" si="202"/>
        <v>1.589</v>
      </c>
      <c r="X102" s="35"/>
      <c r="Y102" s="18">
        <f t="shared" si="203"/>
        <v>270.98</v>
      </c>
      <c r="Z102" s="18">
        <f t="shared" si="204"/>
        <v>261.22800000000001</v>
      </c>
      <c r="AA102" s="18">
        <f t="shared" si="205"/>
        <v>115.657</v>
      </c>
      <c r="AC102" s="23">
        <f t="shared" si="206"/>
        <v>784.20000000000016</v>
      </c>
      <c r="AD102" s="23">
        <f t="shared" si="207"/>
        <v>635.15118790496774</v>
      </c>
      <c r="AE102" s="23">
        <f t="shared" si="208"/>
        <v>513.21989528795814</v>
      </c>
      <c r="AF102" s="23">
        <f t="shared" si="209"/>
        <v>358.40950639853753</v>
      </c>
      <c r="AG102" s="23">
        <f t="shared" si="210"/>
        <v>251.99228791773783</v>
      </c>
      <c r="AH102" s="23">
        <f t="shared" si="211"/>
        <v>136.33518776077887</v>
      </c>
      <c r="AI102" s="23">
        <f t="shared" si="212"/>
        <v>83.001693480101622</v>
      </c>
    </row>
    <row r="103" spans="1:36">
      <c r="A103" s="29">
        <v>1382</v>
      </c>
      <c r="B103" s="30">
        <v>1330.7</v>
      </c>
      <c r="C103" s="30">
        <v>1096.1953868684404</v>
      </c>
      <c r="D103" s="30">
        <v>898.31233123312347</v>
      </c>
      <c r="E103" s="30">
        <v>638.83821411425834</v>
      </c>
      <c r="F103" s="30">
        <v>454.88833181403834</v>
      </c>
      <c r="G103" s="30">
        <v>249.56864216054018</v>
      </c>
      <c r="H103" s="31">
        <v>152.9305853509041</v>
      </c>
      <c r="I103" s="9">
        <f t="shared" si="188"/>
        <v>1.3307</v>
      </c>
      <c r="J103" s="8">
        <f t="shared" si="189"/>
        <v>4.1595671932336202</v>
      </c>
      <c r="K103" s="8">
        <f t="shared" si="190"/>
        <v>4.5117497113449829</v>
      </c>
      <c r="L103" s="8">
        <f t="shared" si="191"/>
        <v>4.8639322294563456</v>
      </c>
      <c r="M103" s="8">
        <f t="shared" si="192"/>
        <v>5.1138097026729454</v>
      </c>
      <c r="N103" s="8">
        <f t="shared" si="193"/>
        <v>5.4659922207843072</v>
      </c>
      <c r="O103" s="8">
        <f t="shared" si="194"/>
        <v>5.7158696940009071</v>
      </c>
      <c r="P103" s="11">
        <f t="shared" si="195"/>
        <v>0.36099999999999982</v>
      </c>
      <c r="Q103" s="11">
        <f t="shared" si="196"/>
        <v>2.0000000000000004</v>
      </c>
      <c r="R103" s="11">
        <f t="shared" si="197"/>
        <v>0.36099999999999999</v>
      </c>
      <c r="S103" s="12">
        <f t="shared" si="198"/>
        <v>-70</v>
      </c>
      <c r="T103" s="12">
        <f t="shared" si="199"/>
        <v>280</v>
      </c>
      <c r="U103" s="12">
        <f t="shared" si="200"/>
        <v>250</v>
      </c>
      <c r="V103" s="13">
        <f t="shared" si="201"/>
        <v>768</v>
      </c>
      <c r="W103" s="15">
        <f t="shared" si="202"/>
        <v>1.6639999999999999</v>
      </c>
      <c r="X103" s="35"/>
      <c r="Y103" s="18">
        <f t="shared" si="203"/>
        <v>432.38799999999998</v>
      </c>
      <c r="Z103" s="18">
        <f t="shared" si="204"/>
        <v>443.42399999999998</v>
      </c>
      <c r="AA103" s="18">
        <f t="shared" si="205"/>
        <v>205.32</v>
      </c>
      <c r="AC103" s="23">
        <f t="shared" si="206"/>
        <v>1330.7000000000003</v>
      </c>
      <c r="AD103" s="23">
        <f t="shared" si="207"/>
        <v>1096.1953868684404</v>
      </c>
      <c r="AE103" s="23">
        <f t="shared" si="208"/>
        <v>898.31233123312347</v>
      </c>
      <c r="AF103" s="23">
        <f t="shared" si="209"/>
        <v>638.83821411425834</v>
      </c>
      <c r="AG103" s="23">
        <f t="shared" si="210"/>
        <v>454.88833181403834</v>
      </c>
      <c r="AH103" s="23">
        <f t="shared" si="211"/>
        <v>249.56864216054018</v>
      </c>
      <c r="AI103" s="23">
        <f t="shared" si="212"/>
        <v>152.9305853509041</v>
      </c>
    </row>
    <row r="104" spans="1:36">
      <c r="A104" s="29">
        <v>1387</v>
      </c>
      <c r="B104" s="30">
        <v>1320.4</v>
      </c>
      <c r="C104" s="30">
        <v>1096.2730627306273</v>
      </c>
      <c r="D104" s="30">
        <v>904.38356164383561</v>
      </c>
      <c r="E104" s="30">
        <v>648.84520884520884</v>
      </c>
      <c r="F104" s="30">
        <v>464.92957746478874</v>
      </c>
      <c r="G104" s="30">
        <v>256.88715953307394</v>
      </c>
      <c r="H104" s="31">
        <v>157.94258373205741</v>
      </c>
      <c r="I104" s="9">
        <f t="shared" si="188"/>
        <v>1.3204</v>
      </c>
      <c r="J104" s="8">
        <f t="shared" si="189"/>
        <v>4.1398790864012369</v>
      </c>
      <c r="K104" s="8">
        <f t="shared" si="190"/>
        <v>4.4920616045125987</v>
      </c>
      <c r="L104" s="8">
        <f t="shared" si="191"/>
        <v>4.8442441226239614</v>
      </c>
      <c r="M104" s="8">
        <f t="shared" si="192"/>
        <v>5.0941215958405612</v>
      </c>
      <c r="N104" s="8">
        <f t="shared" si="193"/>
        <v>5.4463041139519239</v>
      </c>
      <c r="O104" s="8">
        <f t="shared" si="194"/>
        <v>5.6961815871685237</v>
      </c>
      <c r="P104" s="11">
        <f t="shared" si="195"/>
        <v>0.34499999999999947</v>
      </c>
      <c r="Q104" s="11">
        <f t="shared" si="196"/>
        <v>2.0000000000000004</v>
      </c>
      <c r="R104" s="11">
        <f t="shared" si="197"/>
        <v>0.34499999999999997</v>
      </c>
      <c r="S104" s="12">
        <f t="shared" si="198"/>
        <v>-74</v>
      </c>
      <c r="T104" s="12">
        <f t="shared" si="199"/>
        <v>296</v>
      </c>
      <c r="U104" s="12">
        <f t="shared" si="200"/>
        <v>255</v>
      </c>
      <c r="V104" s="13">
        <f t="shared" si="201"/>
        <v>777</v>
      </c>
      <c r="W104" s="15">
        <f t="shared" si="202"/>
        <v>1.7030000000000001</v>
      </c>
      <c r="X104" s="35"/>
      <c r="Y104" s="18">
        <f t="shared" si="203"/>
        <v>416.01600000000002</v>
      </c>
      <c r="Z104" s="18">
        <f t="shared" si="204"/>
        <v>439.45400000000001</v>
      </c>
      <c r="AA104" s="18">
        <f t="shared" si="205"/>
        <v>208.042</v>
      </c>
      <c r="AC104" s="23">
        <f t="shared" si="206"/>
        <v>1320.4</v>
      </c>
      <c r="AD104" s="23">
        <f t="shared" si="207"/>
        <v>1096.2730627306273</v>
      </c>
      <c r="AE104" s="23">
        <f t="shared" si="208"/>
        <v>904.38356164383561</v>
      </c>
      <c r="AF104" s="23">
        <f t="shared" si="209"/>
        <v>648.84520884520884</v>
      </c>
      <c r="AG104" s="23">
        <f t="shared" si="210"/>
        <v>464.92957746478874</v>
      </c>
      <c r="AH104" s="23">
        <f t="shared" si="211"/>
        <v>256.88715953307394</v>
      </c>
      <c r="AI104" s="23">
        <f t="shared" si="212"/>
        <v>157.94258373205741</v>
      </c>
    </row>
    <row r="105" spans="1:36">
      <c r="A105" s="29">
        <v>1386</v>
      </c>
      <c r="B105" s="30">
        <v>1319.3</v>
      </c>
      <c r="C105" s="30">
        <v>1092.671779141104</v>
      </c>
      <c r="D105" s="30">
        <v>899.52272727272714</v>
      </c>
      <c r="E105" s="30">
        <v>643.56097560975604</v>
      </c>
      <c r="F105" s="30">
        <v>460.22093023255809</v>
      </c>
      <c r="G105" s="30">
        <v>253.71153846153842</v>
      </c>
      <c r="H105" s="31">
        <v>155.82283464566927</v>
      </c>
      <c r="I105" s="9">
        <f t="shared" si="188"/>
        <v>1.3192999999999999</v>
      </c>
      <c r="J105" s="8">
        <f t="shared" si="189"/>
        <v>4.1461280356782382</v>
      </c>
      <c r="K105" s="8">
        <f t="shared" si="190"/>
        <v>4.4983105537896009</v>
      </c>
      <c r="L105" s="8">
        <f t="shared" si="191"/>
        <v>4.8504930719009627</v>
      </c>
      <c r="M105" s="8">
        <f t="shared" si="192"/>
        <v>5.1003705451175634</v>
      </c>
      <c r="N105" s="8">
        <f t="shared" si="193"/>
        <v>5.4525530632289252</v>
      </c>
      <c r="O105" s="8">
        <f t="shared" si="194"/>
        <v>5.702430536445525</v>
      </c>
      <c r="P105" s="11">
        <f t="shared" si="195"/>
        <v>0.35000000000000003</v>
      </c>
      <c r="Q105" s="11">
        <f t="shared" si="196"/>
        <v>2.0000000000000004</v>
      </c>
      <c r="R105" s="11">
        <f t="shared" si="197"/>
        <v>0.35</v>
      </c>
      <c r="S105" s="12">
        <f t="shared" si="198"/>
        <v>-73</v>
      </c>
      <c r="T105" s="12">
        <f t="shared" si="199"/>
        <v>292</v>
      </c>
      <c r="U105" s="12">
        <f t="shared" si="200"/>
        <v>254</v>
      </c>
      <c r="V105" s="13">
        <f t="shared" si="201"/>
        <v>771</v>
      </c>
      <c r="W105" s="15">
        <f t="shared" si="202"/>
        <v>1.69</v>
      </c>
      <c r="X105" s="35"/>
      <c r="Y105" s="18">
        <f t="shared" si="203"/>
        <v>419.77699999999999</v>
      </c>
      <c r="Z105" s="18">
        <f t="shared" si="204"/>
        <v>439.30200000000002</v>
      </c>
      <c r="AA105" s="18">
        <f t="shared" si="205"/>
        <v>206.50899999999999</v>
      </c>
      <c r="AC105" s="23">
        <f t="shared" si="206"/>
        <v>1319.2999999999997</v>
      </c>
      <c r="AD105" s="23">
        <f t="shared" si="207"/>
        <v>1092.671779141104</v>
      </c>
      <c r="AE105" s="23">
        <f t="shared" si="208"/>
        <v>899.52272727272714</v>
      </c>
      <c r="AF105" s="23">
        <f t="shared" si="209"/>
        <v>643.56097560975604</v>
      </c>
      <c r="AG105" s="23">
        <f t="shared" si="210"/>
        <v>460.22093023255809</v>
      </c>
      <c r="AH105" s="23">
        <f t="shared" si="211"/>
        <v>253.71153846153842</v>
      </c>
      <c r="AI105" s="23">
        <f t="shared" si="212"/>
        <v>155.82283464566927</v>
      </c>
    </row>
    <row r="106" spans="1:36" ht="13.5" thickBot="1">
      <c r="A106" s="32">
        <v>1383</v>
      </c>
      <c r="B106" s="33">
        <v>1312.3</v>
      </c>
      <c r="C106" s="33">
        <v>1090.084297317253</v>
      </c>
      <c r="D106" s="33">
        <v>899.6572212065812</v>
      </c>
      <c r="E106" s="33">
        <v>645.81692913385814</v>
      </c>
      <c r="F106" s="33">
        <v>462.94684854186255</v>
      </c>
      <c r="G106" s="33">
        <v>255.90873634945393</v>
      </c>
      <c r="H106" s="34">
        <v>157.37527982091459</v>
      </c>
      <c r="I106" s="9">
        <f t="shared" si="188"/>
        <v>1.3123</v>
      </c>
      <c r="J106" s="8">
        <f t="shared" si="189"/>
        <v>4.1386184338994934</v>
      </c>
      <c r="K106" s="8">
        <f t="shared" si="190"/>
        <v>4.4908009520108552</v>
      </c>
      <c r="L106" s="8">
        <f t="shared" si="191"/>
        <v>4.8429834701222179</v>
      </c>
      <c r="M106" s="8">
        <f t="shared" si="192"/>
        <v>5.0928609433388177</v>
      </c>
      <c r="N106" s="8">
        <f t="shared" si="193"/>
        <v>5.4450434614501804</v>
      </c>
      <c r="O106" s="8">
        <f t="shared" si="194"/>
        <v>5.6949209346667802</v>
      </c>
      <c r="P106" s="11">
        <f t="shared" si="195"/>
        <v>0.3439999999999992</v>
      </c>
      <c r="Q106" s="11">
        <f t="shared" si="196"/>
        <v>2.0000000000000009</v>
      </c>
      <c r="R106" s="11">
        <f t="shared" si="197"/>
        <v>0.34399999999999997</v>
      </c>
      <c r="S106" s="12">
        <f t="shared" si="198"/>
        <v>-75</v>
      </c>
      <c r="T106" s="12">
        <f t="shared" si="199"/>
        <v>300</v>
      </c>
      <c r="U106" s="12">
        <f t="shared" si="200"/>
        <v>256</v>
      </c>
      <c r="V106" s="13">
        <f t="shared" si="201"/>
        <v>773</v>
      </c>
      <c r="W106" s="15">
        <f t="shared" si="202"/>
        <v>1.7050000000000001</v>
      </c>
      <c r="X106" s="35"/>
      <c r="Y106" s="18">
        <f t="shared" si="203"/>
        <v>412.64299999999997</v>
      </c>
      <c r="Z106" s="18">
        <f t="shared" si="204"/>
        <v>436.71</v>
      </c>
      <c r="AA106" s="18">
        <f t="shared" si="205"/>
        <v>207.03800000000001</v>
      </c>
      <c r="AC106" s="23">
        <f t="shared" si="206"/>
        <v>1312.2999999999997</v>
      </c>
      <c r="AD106" s="23">
        <f t="shared" si="207"/>
        <v>1090.084297317253</v>
      </c>
      <c r="AE106" s="23">
        <f t="shared" si="208"/>
        <v>899.6572212065812</v>
      </c>
      <c r="AF106" s="23">
        <f t="shared" si="209"/>
        <v>645.81692913385814</v>
      </c>
      <c r="AG106" s="23">
        <f t="shared" si="210"/>
        <v>462.94684854186255</v>
      </c>
      <c r="AH106" s="23">
        <f t="shared" si="211"/>
        <v>255.90873634945393</v>
      </c>
      <c r="AI106" s="23">
        <f t="shared" si="212"/>
        <v>157.37527982091459</v>
      </c>
    </row>
    <row r="107" spans="1:36">
      <c r="A107" s="24">
        <f t="shared" ref="A107:W107" si="213">AVERAGE(A95:A98)</f>
        <v>383.5</v>
      </c>
      <c r="B107" s="24">
        <f t="shared" si="213"/>
        <v>509.22499999999997</v>
      </c>
      <c r="C107" s="24">
        <f t="shared" si="213"/>
        <v>390.8901263683041</v>
      </c>
      <c r="D107" s="24">
        <f t="shared" si="213"/>
        <v>303.01060199642347</v>
      </c>
      <c r="E107" s="24">
        <f t="shared" si="213"/>
        <v>201.29740191338678</v>
      </c>
      <c r="F107" s="24">
        <f t="shared" si="213"/>
        <v>136.96949642985666</v>
      </c>
      <c r="G107" s="24">
        <f t="shared" si="213"/>
        <v>71.608729051482342</v>
      </c>
      <c r="H107" s="24">
        <f t="shared" si="213"/>
        <v>42.931222120716022</v>
      </c>
      <c r="I107" s="24">
        <f t="shared" si="213"/>
        <v>0.50922500000000004</v>
      </c>
      <c r="J107" s="24">
        <f t="shared" si="213"/>
        <v>4.3066887511888208</v>
      </c>
      <c r="K107" s="24">
        <f t="shared" si="213"/>
        <v>4.6588712693001835</v>
      </c>
      <c r="L107" s="24">
        <f t="shared" si="213"/>
        <v>5.0110537874115453</v>
      </c>
      <c r="M107" s="24">
        <f t="shared" si="213"/>
        <v>5.2609312606281451</v>
      </c>
      <c r="N107" s="24">
        <f t="shared" si="213"/>
        <v>5.6131137787395078</v>
      </c>
      <c r="O107" s="24">
        <f t="shared" si="213"/>
        <v>5.8629912519561076</v>
      </c>
      <c r="P107" s="24">
        <f t="shared" si="213"/>
        <v>0.50774999999999826</v>
      </c>
      <c r="Q107" s="24">
        <f t="shared" si="213"/>
        <v>2.0000000000000009</v>
      </c>
      <c r="R107" s="24">
        <f t="shared" si="213"/>
        <v>0.50774999999999992</v>
      </c>
      <c r="S107" s="24">
        <f t="shared" si="213"/>
        <v>-133.5</v>
      </c>
      <c r="T107" s="24">
        <f t="shared" si="213"/>
        <v>534</v>
      </c>
      <c r="U107" s="24">
        <f t="shared" si="213"/>
        <v>210.75</v>
      </c>
      <c r="V107" s="24">
        <f t="shared" si="213"/>
        <v>254.25</v>
      </c>
      <c r="W107" s="24">
        <f t="shared" si="213"/>
        <v>1.4057500000000001</v>
      </c>
      <c r="X107" s="36">
        <f>SLOPE(W107:W109,A107:A109)</f>
        <v>2.6975505858999299E-4</v>
      </c>
      <c r="Y107" s="24">
        <f>AVERAGE(Y95:Y98)</f>
        <v>206.21449999999999</v>
      </c>
      <c r="Z107" s="24">
        <f>AVERAGE(Z95:Z98)</f>
        <v>166.041</v>
      </c>
      <c r="AA107" s="24">
        <f>AVERAGE(AA95:AA98)</f>
        <v>65.360749999999996</v>
      </c>
      <c r="AB107"/>
      <c r="AC107" s="24">
        <f t="shared" ref="AC107:AI107" si="214">AVERAGE(AC95:AC98)</f>
        <v>509.22500000000002</v>
      </c>
      <c r="AD107" s="24">
        <f t="shared" si="214"/>
        <v>390.8901263683041</v>
      </c>
      <c r="AE107" s="24">
        <f t="shared" si="214"/>
        <v>303.01060199642347</v>
      </c>
      <c r="AF107" s="24">
        <f t="shared" si="214"/>
        <v>201.29740191338678</v>
      </c>
      <c r="AG107" s="24">
        <f t="shared" si="214"/>
        <v>136.96949642985666</v>
      </c>
      <c r="AH107" s="24">
        <f t="shared" si="214"/>
        <v>71.608729051482342</v>
      </c>
      <c r="AI107" s="24">
        <f t="shared" si="214"/>
        <v>42.931222120716022</v>
      </c>
    </row>
    <row r="108" spans="1:36">
      <c r="A108" s="24">
        <f t="shared" ref="A108:W108" si="215">AVERAGE(A99:A102)</f>
        <v>712</v>
      </c>
      <c r="B108" s="24">
        <f t="shared" si="215"/>
        <v>804.55</v>
      </c>
      <c r="C108" s="24">
        <f t="shared" si="215"/>
        <v>647.82517668077185</v>
      </c>
      <c r="D108" s="24">
        <f t="shared" si="215"/>
        <v>520.99364702365403</v>
      </c>
      <c r="E108" s="24">
        <f t="shared" si="215"/>
        <v>361.6945243862761</v>
      </c>
      <c r="F108" s="24">
        <f t="shared" si="215"/>
        <v>253.28515289736379</v>
      </c>
      <c r="G108" s="24">
        <f t="shared" si="215"/>
        <v>136.44616034733718</v>
      </c>
      <c r="H108" s="24">
        <f t="shared" si="215"/>
        <v>82.905993095404881</v>
      </c>
      <c r="I108" s="24">
        <f t="shared" si="215"/>
        <v>0.80454999999999988</v>
      </c>
      <c r="J108" s="24">
        <f t="shared" si="215"/>
        <v>4.2125471495969444</v>
      </c>
      <c r="K108" s="24">
        <f t="shared" si="215"/>
        <v>4.5647296677083071</v>
      </c>
      <c r="L108" s="24">
        <f t="shared" si="215"/>
        <v>4.9169121858196689</v>
      </c>
      <c r="M108" s="24">
        <f t="shared" si="215"/>
        <v>5.1667896590362696</v>
      </c>
      <c r="N108" s="24">
        <f t="shared" si="215"/>
        <v>5.5189721771476314</v>
      </c>
      <c r="O108" s="24">
        <f t="shared" si="215"/>
        <v>5.7688496503642313</v>
      </c>
      <c r="P108" s="24">
        <f t="shared" si="215"/>
        <v>0.40799999999999881</v>
      </c>
      <c r="Q108" s="24">
        <f t="shared" si="215"/>
        <v>2.0000000000000004</v>
      </c>
      <c r="R108" s="24">
        <f t="shared" si="215"/>
        <v>0.40800000000000003</v>
      </c>
      <c r="S108" s="24">
        <f t="shared" si="215"/>
        <v>-103</v>
      </c>
      <c r="T108" s="24">
        <f t="shared" si="215"/>
        <v>412</v>
      </c>
      <c r="U108" s="24">
        <f t="shared" si="215"/>
        <v>234.75</v>
      </c>
      <c r="V108" s="24">
        <f t="shared" si="215"/>
        <v>441.5</v>
      </c>
      <c r="W108" s="24">
        <f t="shared" si="215"/>
        <v>1.5660000000000003</v>
      </c>
      <c r="X108" s="24"/>
      <c r="Y108" s="24">
        <f>AVERAGE(Y99:Y102)</f>
        <v>283.55624999999998</v>
      </c>
      <c r="Z108" s="24">
        <f>AVERAGE(Z99:Z102)</f>
        <v>267.70850000000002</v>
      </c>
      <c r="AA108" s="24">
        <f>AVERAGE(AA99:AA102)</f>
        <v>116.839</v>
      </c>
      <c r="AB108" s="24">
        <f>AC108/AC107</f>
        <v>1.5799499239039718</v>
      </c>
      <c r="AC108" s="24">
        <f t="shared" ref="AC108:AI108" si="216">AVERAGE(AC99:AC102)</f>
        <v>804.55000000000007</v>
      </c>
      <c r="AD108" s="24">
        <f t="shared" si="216"/>
        <v>647.82517668077185</v>
      </c>
      <c r="AE108" s="24">
        <f t="shared" si="216"/>
        <v>520.99364702365403</v>
      </c>
      <c r="AF108" s="24">
        <f t="shared" si="216"/>
        <v>361.6945243862761</v>
      </c>
      <c r="AG108" s="24">
        <f t="shared" si="216"/>
        <v>253.28515289736379</v>
      </c>
      <c r="AH108" s="24">
        <f t="shared" si="216"/>
        <v>136.44616034733718</v>
      </c>
      <c r="AI108" s="24">
        <f t="shared" si="216"/>
        <v>82.905993095404881</v>
      </c>
      <c r="AJ108" s="1">
        <f>AI108/AI107</f>
        <v>1.9311351738901334</v>
      </c>
    </row>
    <row r="109" spans="1:36" ht="13.5" thickBot="1">
      <c r="A109" s="24">
        <f t="shared" ref="A109:W109" si="217">AVERAGE(A103:A106)</f>
        <v>1384.5</v>
      </c>
      <c r="B109" s="24">
        <f t="shared" si="217"/>
        <v>1320.6750000000002</v>
      </c>
      <c r="C109" s="24">
        <f t="shared" si="217"/>
        <v>1093.8061315143561</v>
      </c>
      <c r="D109" s="24">
        <f t="shared" si="217"/>
        <v>900.46896033906683</v>
      </c>
      <c r="E109" s="24">
        <f t="shared" si="217"/>
        <v>644.2653319257704</v>
      </c>
      <c r="F109" s="24">
        <f t="shared" si="217"/>
        <v>460.74642201331187</v>
      </c>
      <c r="G109" s="24">
        <f t="shared" si="217"/>
        <v>254.01901912615165</v>
      </c>
      <c r="H109" s="24">
        <f t="shared" si="217"/>
        <v>156.01782088738634</v>
      </c>
      <c r="I109" s="24">
        <f t="shared" si="217"/>
        <v>1.320675</v>
      </c>
      <c r="J109" s="24">
        <f t="shared" si="217"/>
        <v>4.1460481873031476</v>
      </c>
      <c r="K109" s="24">
        <f t="shared" si="217"/>
        <v>4.4982307054145094</v>
      </c>
      <c r="L109" s="24">
        <f t="shared" si="217"/>
        <v>4.8504132235258721</v>
      </c>
      <c r="M109" s="24">
        <f t="shared" si="217"/>
        <v>5.1002906967424719</v>
      </c>
      <c r="N109" s="24">
        <f t="shared" si="217"/>
        <v>5.4524732148538337</v>
      </c>
      <c r="O109" s="24">
        <f t="shared" si="217"/>
        <v>5.7023506880704335</v>
      </c>
      <c r="P109" s="24">
        <f t="shared" si="217"/>
        <v>0.34999999999999964</v>
      </c>
      <c r="Q109" s="24">
        <f t="shared" si="217"/>
        <v>2.0000000000000009</v>
      </c>
      <c r="R109" s="24">
        <f t="shared" si="217"/>
        <v>0.35</v>
      </c>
      <c r="S109" s="24">
        <f t="shared" si="217"/>
        <v>-73</v>
      </c>
      <c r="T109" s="24">
        <f t="shared" si="217"/>
        <v>292</v>
      </c>
      <c r="U109" s="24">
        <f t="shared" si="217"/>
        <v>253.75</v>
      </c>
      <c r="V109" s="24">
        <f t="shared" si="217"/>
        <v>772.25</v>
      </c>
      <c r="W109" s="24">
        <f t="shared" si="217"/>
        <v>1.6905000000000001</v>
      </c>
      <c r="X109" s="24"/>
      <c r="Y109" s="24">
        <f>AVERAGE(Y103:Y106)</f>
        <v>420.20600000000002</v>
      </c>
      <c r="Z109" s="24">
        <f>AVERAGE(Z103:Z106)</f>
        <v>439.72249999999997</v>
      </c>
      <c r="AA109" s="24">
        <f>AVERAGE(AA103:AA106)</f>
        <v>206.72725</v>
      </c>
      <c r="AB109" s="24">
        <f>AC109/AC107</f>
        <v>2.5934999263586822</v>
      </c>
      <c r="AC109" s="24">
        <f t="shared" ref="AC109:AI109" si="218">AVERAGE(AC103:AC106)</f>
        <v>1320.675</v>
      </c>
      <c r="AD109" s="24">
        <f t="shared" si="218"/>
        <v>1093.8061315143561</v>
      </c>
      <c r="AE109" s="24">
        <f t="shared" si="218"/>
        <v>900.46896033906683</v>
      </c>
      <c r="AF109" s="24">
        <f t="shared" si="218"/>
        <v>644.2653319257704</v>
      </c>
      <c r="AG109" s="24">
        <f t="shared" si="218"/>
        <v>460.74642201331187</v>
      </c>
      <c r="AH109" s="24">
        <f t="shared" si="218"/>
        <v>254.01901912615165</v>
      </c>
      <c r="AI109" s="24">
        <f t="shared" si="218"/>
        <v>156.01782088738634</v>
      </c>
      <c r="AJ109" s="1">
        <f>AI109/AI107</f>
        <v>3.6341341611167768</v>
      </c>
    </row>
    <row r="110" spans="1:36">
      <c r="A110" s="26">
        <v>378</v>
      </c>
      <c r="B110" s="27">
        <v>578.4</v>
      </c>
      <c r="C110" s="27">
        <v>442.75345883420266</v>
      </c>
      <c r="D110" s="27">
        <v>342.38358326756111</v>
      </c>
      <c r="E110" s="27">
        <v>226.73461387691097</v>
      </c>
      <c r="F110" s="27">
        <v>153.93896380411636</v>
      </c>
      <c r="G110" s="27">
        <v>80.288728484175437</v>
      </c>
      <c r="H110" s="28">
        <v>48.082465085346918</v>
      </c>
      <c r="I110" s="9">
        <f t="shared" ref="I110:I121" si="219">B110/1000</f>
        <v>0.57840000000000003</v>
      </c>
      <c r="J110" s="8">
        <f t="shared" ref="J110:J121" si="220">LOG10((((3*150*150)*B110)/C110)-((3*150*150)))</f>
        <v>4.3155505344219049</v>
      </c>
      <c r="K110" s="8">
        <f t="shared" ref="K110:K121" si="221">LOG10((((3*150*150)*B110)/D110)-((3*150*150)))</f>
        <v>4.6677330525332676</v>
      </c>
      <c r="L110" s="8">
        <f t="shared" ref="L110:L121" si="222">LOG10((((3*150*150)*B110)/E110)-((3*150*150)))</f>
        <v>5.0199155706446303</v>
      </c>
      <c r="M110" s="8">
        <f t="shared" ref="M110:M121" si="223">LOG10((((3*150*150)*B110)/F110)-((3*150*150)))</f>
        <v>5.2697930438612302</v>
      </c>
      <c r="N110" s="8">
        <f t="shared" ref="N110:N121" si="224">LOG10((((3*150*150)*B110)/G110)-((3*150*150)))</f>
        <v>5.621975561972592</v>
      </c>
      <c r="O110" s="8">
        <f t="shared" ref="O110:O121" si="225">LOG10((((3*150*150)*B110)/H110)-((3*150*150)))</f>
        <v>5.8718530351891927</v>
      </c>
      <c r="P110" s="11">
        <f t="shared" ref="P110:P121" si="226">10^(INTERCEPT(J110:O110,$J$1:$O$1))</f>
        <v>0.5169999999999999</v>
      </c>
      <c r="Q110" s="11">
        <f t="shared" ref="Q110:Q121" si="227">LINEST(J110:O110,$J$1:$O$1)</f>
        <v>2.0000000000000004</v>
      </c>
      <c r="R110" s="11">
        <f t="shared" ref="R110:R121" si="228">ROUND(10^((SUM(J110:N110)-2*SUM($J$1:$N$1))/5),3)</f>
        <v>0.51700000000000002</v>
      </c>
      <c r="S110" s="12">
        <f t="shared" ref="S110:S121" si="229">ROUND(-1.5*((150^2)/(R110*I110))/1000,0)</f>
        <v>-113</v>
      </c>
      <c r="T110" s="12">
        <f t="shared" ref="T110:T121" si="230">-4*S110</f>
        <v>452</v>
      </c>
      <c r="U110" s="12">
        <f t="shared" ref="U110:U121" si="231">ROUND(150/(R110^0.5),0)</f>
        <v>209</v>
      </c>
      <c r="V110" s="13">
        <f t="shared" ref="V110:V121" si="232">ROUND(150*I110*ATAN((1800*SQRT(3*R110))/(3*150))*SQRT(3/(R110)),0)</f>
        <v>287</v>
      </c>
      <c r="W110" s="15">
        <f t="shared" ref="W110:W121" si="233">ROUND(1/SQRT(R110),3)</f>
        <v>1.391</v>
      </c>
      <c r="X110" s="36">
        <f>SLOPE(W110:W121,A110:A121)</f>
        <v>2.3538937785726926E-4</v>
      </c>
      <c r="Y110" s="18">
        <f t="shared" ref="Y110:Y121" si="234">ROUND(B110-D110,3)</f>
        <v>236.01599999999999</v>
      </c>
      <c r="Z110" s="18">
        <f t="shared" ref="Z110:Z121" si="235">ROUND(D110-F110,3)</f>
        <v>188.44499999999999</v>
      </c>
      <c r="AA110" s="18">
        <f t="shared" ref="AA110:AA121" si="236">ROUND(F110-G110,3)</f>
        <v>73.650000000000006</v>
      </c>
      <c r="AC110" s="23">
        <f t="shared" ref="AC110:AC121" si="237">((B110)*3*150^2)/(R110*$AC$3^2+3*150^2)</f>
        <v>578.39999999999986</v>
      </c>
      <c r="AD110" s="23">
        <f t="shared" ref="AD110:AD121" si="238">((B110)*3*150^2)/(R110*$AD$3^2+3*150^2)</f>
        <v>442.75345883420266</v>
      </c>
      <c r="AE110" s="23">
        <f t="shared" ref="AE110:AE121" si="239">((B110)*3*150^2)/(R110*$AE$3^2+3*150^2)</f>
        <v>342.38358326756111</v>
      </c>
      <c r="AF110" s="23">
        <f t="shared" ref="AF110:AF121" si="240">((B110)*3*150^2)/(R110*$AF$3^2+3*150^2)</f>
        <v>226.73461387691097</v>
      </c>
      <c r="AG110" s="23">
        <f t="shared" ref="AG110:AG121" si="241">((B110)*3*150^2)/(R110*$AG$3^2+3*150^2)</f>
        <v>153.93896380411636</v>
      </c>
      <c r="AH110" s="23">
        <f t="shared" ref="AH110:AH121" si="242">((B110)*3*150^2)/(R110*$AH$3^2+3*150^2)</f>
        <v>80.288728484175437</v>
      </c>
      <c r="AI110" s="23">
        <f t="shared" ref="AI110:AI121" si="243">((B110)*3*150^2)/(R110*$AI$3^2+3*150^2)</f>
        <v>48.082465085346918</v>
      </c>
    </row>
    <row r="111" spans="1:36">
      <c r="A111" s="29">
        <v>383</v>
      </c>
      <c r="B111" s="30">
        <v>471.5</v>
      </c>
      <c r="C111" s="30">
        <v>368.44466311646215</v>
      </c>
      <c r="D111" s="30">
        <v>289.38216039279871</v>
      </c>
      <c r="E111" s="30">
        <v>195.15728476821192</v>
      </c>
      <c r="F111" s="30">
        <v>134.05041698256255</v>
      </c>
      <c r="G111" s="30">
        <v>70.753301320528209</v>
      </c>
      <c r="H111" s="31">
        <v>42.595157793302818</v>
      </c>
      <c r="I111" s="9">
        <f t="shared" si="219"/>
        <v>0.47149999999999997</v>
      </c>
      <c r="J111" s="8">
        <f t="shared" si="220"/>
        <v>4.2760019899620501</v>
      </c>
      <c r="K111" s="8">
        <f t="shared" si="221"/>
        <v>4.6281845080734128</v>
      </c>
      <c r="L111" s="8">
        <f t="shared" si="222"/>
        <v>4.9803670261847754</v>
      </c>
      <c r="M111" s="8">
        <f t="shared" si="223"/>
        <v>5.2302444994013753</v>
      </c>
      <c r="N111" s="8">
        <f t="shared" si="224"/>
        <v>5.582427017512738</v>
      </c>
      <c r="O111" s="8">
        <f t="shared" si="225"/>
        <v>5.8323044907293378</v>
      </c>
      <c r="P111" s="11">
        <f t="shared" si="226"/>
        <v>0.47199999999999781</v>
      </c>
      <c r="Q111" s="11">
        <f t="shared" si="227"/>
        <v>2.0000000000000013</v>
      </c>
      <c r="R111" s="11">
        <f t="shared" si="228"/>
        <v>0.47199999999999998</v>
      </c>
      <c r="S111" s="12">
        <f t="shared" si="229"/>
        <v>-152</v>
      </c>
      <c r="T111" s="12">
        <f t="shared" si="230"/>
        <v>608</v>
      </c>
      <c r="U111" s="12">
        <f t="shared" si="231"/>
        <v>218</v>
      </c>
      <c r="V111" s="13">
        <f t="shared" si="232"/>
        <v>243</v>
      </c>
      <c r="W111" s="15">
        <f t="shared" si="233"/>
        <v>1.456</v>
      </c>
      <c r="X111" s="35"/>
      <c r="Y111" s="18">
        <f t="shared" si="234"/>
        <v>182.11799999999999</v>
      </c>
      <c r="Z111" s="18">
        <f t="shared" si="235"/>
        <v>155.33199999999999</v>
      </c>
      <c r="AA111" s="18">
        <f t="shared" si="236"/>
        <v>63.296999999999997</v>
      </c>
      <c r="AC111" s="23">
        <f t="shared" si="237"/>
        <v>471.5</v>
      </c>
      <c r="AD111" s="23">
        <f t="shared" si="238"/>
        <v>368.44466311646215</v>
      </c>
      <c r="AE111" s="23">
        <f t="shared" si="239"/>
        <v>289.38216039279871</v>
      </c>
      <c r="AF111" s="23">
        <f t="shared" si="240"/>
        <v>195.15728476821192</v>
      </c>
      <c r="AG111" s="23">
        <f t="shared" si="241"/>
        <v>134.05041698256255</v>
      </c>
      <c r="AH111" s="23">
        <f t="shared" si="242"/>
        <v>70.753301320528209</v>
      </c>
      <c r="AI111" s="23">
        <f t="shared" si="243"/>
        <v>42.595157793302818</v>
      </c>
    </row>
    <row r="112" spans="1:36">
      <c r="A112" s="29">
        <v>385</v>
      </c>
      <c r="B112" s="30">
        <v>458.4</v>
      </c>
      <c r="C112" s="30">
        <v>361.38752627890676</v>
      </c>
      <c r="D112" s="30">
        <v>285.78553615960095</v>
      </c>
      <c r="E112" s="30">
        <v>194.3196269605765</v>
      </c>
      <c r="F112" s="30">
        <v>134.19203747072598</v>
      </c>
      <c r="G112" s="30">
        <v>71.224362958359222</v>
      </c>
      <c r="H112" s="31">
        <v>42.985746436609148</v>
      </c>
      <c r="I112" s="9">
        <f t="shared" si="219"/>
        <v>0.45839999999999997</v>
      </c>
      <c r="J112" s="8">
        <f t="shared" si="220"/>
        <v>4.2581581933407948</v>
      </c>
      <c r="K112" s="8">
        <f t="shared" si="221"/>
        <v>4.6103407114521566</v>
      </c>
      <c r="L112" s="8">
        <f t="shared" si="222"/>
        <v>4.9625232295635193</v>
      </c>
      <c r="M112" s="8">
        <f t="shared" si="223"/>
        <v>5.2124007027801191</v>
      </c>
      <c r="N112" s="8">
        <f t="shared" si="224"/>
        <v>5.5645832208914818</v>
      </c>
      <c r="O112" s="8">
        <f t="shared" si="225"/>
        <v>5.8144606941080816</v>
      </c>
      <c r="P112" s="11">
        <f t="shared" si="226"/>
        <v>0.45299999999999857</v>
      </c>
      <c r="Q112" s="11">
        <f t="shared" si="227"/>
        <v>2.0000000000000009</v>
      </c>
      <c r="R112" s="11">
        <f t="shared" si="228"/>
        <v>0.45300000000000001</v>
      </c>
      <c r="S112" s="12">
        <f t="shared" si="229"/>
        <v>-163</v>
      </c>
      <c r="T112" s="12">
        <f t="shared" si="230"/>
        <v>652</v>
      </c>
      <c r="U112" s="12">
        <f t="shared" si="231"/>
        <v>223</v>
      </c>
      <c r="V112" s="13">
        <f t="shared" si="232"/>
        <v>241</v>
      </c>
      <c r="W112" s="15">
        <f t="shared" si="233"/>
        <v>1.486</v>
      </c>
      <c r="X112" s="35"/>
      <c r="Y112" s="18">
        <f t="shared" si="234"/>
        <v>172.614</v>
      </c>
      <c r="Z112" s="18">
        <f t="shared" si="235"/>
        <v>151.59299999999999</v>
      </c>
      <c r="AA112" s="18">
        <f t="shared" si="236"/>
        <v>62.968000000000004</v>
      </c>
      <c r="AC112" s="23">
        <f t="shared" si="237"/>
        <v>458.39999999999992</v>
      </c>
      <c r="AD112" s="23">
        <f t="shared" si="238"/>
        <v>361.38752627890676</v>
      </c>
      <c r="AE112" s="23">
        <f t="shared" si="239"/>
        <v>285.78553615960095</v>
      </c>
      <c r="AF112" s="23">
        <f t="shared" si="240"/>
        <v>194.3196269605765</v>
      </c>
      <c r="AG112" s="23">
        <f t="shared" si="241"/>
        <v>134.19203747072598</v>
      </c>
      <c r="AH112" s="23">
        <f t="shared" si="242"/>
        <v>71.224362958359222</v>
      </c>
      <c r="AI112" s="23">
        <f t="shared" si="243"/>
        <v>42.985746436609148</v>
      </c>
    </row>
    <row r="113" spans="1:36">
      <c r="A113" s="29">
        <v>384</v>
      </c>
      <c r="B113" s="30">
        <v>449.9</v>
      </c>
      <c r="C113" s="30">
        <v>356.18402533427161</v>
      </c>
      <c r="D113" s="30">
        <v>282.6005025125628</v>
      </c>
      <c r="E113" s="30">
        <v>192.92452830188677</v>
      </c>
      <c r="F113" s="30">
        <v>133.58076009501187</v>
      </c>
      <c r="G113" s="30">
        <v>71.09671302149178</v>
      </c>
      <c r="H113" s="31">
        <v>42.962184873949575</v>
      </c>
      <c r="I113" s="9">
        <f t="shared" si="219"/>
        <v>0.44989999999999997</v>
      </c>
      <c r="J113" s="8">
        <f t="shared" si="220"/>
        <v>4.2494429614425826</v>
      </c>
      <c r="K113" s="8">
        <f t="shared" si="221"/>
        <v>4.6016254795539444</v>
      </c>
      <c r="L113" s="8">
        <f t="shared" si="222"/>
        <v>4.9538079976653071</v>
      </c>
      <c r="M113" s="8">
        <f t="shared" si="223"/>
        <v>5.2036854708819069</v>
      </c>
      <c r="N113" s="8">
        <f t="shared" si="224"/>
        <v>5.5558679889932696</v>
      </c>
      <c r="O113" s="8">
        <f t="shared" si="225"/>
        <v>5.8057454622098694</v>
      </c>
      <c r="P113" s="11">
        <f t="shared" si="226"/>
        <v>0.4439999999999994</v>
      </c>
      <c r="Q113" s="11">
        <f t="shared" si="227"/>
        <v>2.0000000000000004</v>
      </c>
      <c r="R113" s="11">
        <f t="shared" si="228"/>
        <v>0.44400000000000001</v>
      </c>
      <c r="S113" s="12">
        <f t="shared" si="229"/>
        <v>-169</v>
      </c>
      <c r="T113" s="12">
        <f t="shared" si="230"/>
        <v>676</v>
      </c>
      <c r="U113" s="12">
        <f t="shared" si="231"/>
        <v>225</v>
      </c>
      <c r="V113" s="13">
        <f t="shared" si="232"/>
        <v>238</v>
      </c>
      <c r="W113" s="15">
        <f t="shared" si="233"/>
        <v>1.5009999999999999</v>
      </c>
      <c r="X113" s="35"/>
      <c r="Y113" s="18">
        <f t="shared" si="234"/>
        <v>167.29900000000001</v>
      </c>
      <c r="Z113" s="18">
        <f t="shared" si="235"/>
        <v>149.02000000000001</v>
      </c>
      <c r="AA113" s="18">
        <f t="shared" si="236"/>
        <v>62.484000000000002</v>
      </c>
      <c r="AC113" s="23">
        <f t="shared" si="237"/>
        <v>449.89999999999992</v>
      </c>
      <c r="AD113" s="23">
        <f t="shared" si="238"/>
        <v>356.18402533427161</v>
      </c>
      <c r="AE113" s="23">
        <f t="shared" si="239"/>
        <v>282.6005025125628</v>
      </c>
      <c r="AF113" s="23">
        <f t="shared" si="240"/>
        <v>192.92452830188677</v>
      </c>
      <c r="AG113" s="23">
        <f t="shared" si="241"/>
        <v>133.58076009501187</v>
      </c>
      <c r="AH113" s="23">
        <f t="shared" si="242"/>
        <v>71.09671302149178</v>
      </c>
      <c r="AI113" s="23">
        <f t="shared" si="243"/>
        <v>42.962184873949575</v>
      </c>
    </row>
    <row r="114" spans="1:36">
      <c r="A114" s="29">
        <v>728</v>
      </c>
      <c r="B114" s="30">
        <v>823.3</v>
      </c>
      <c r="C114" s="30">
        <v>666.18017262047465</v>
      </c>
      <c r="D114" s="30">
        <v>537.87020905923339</v>
      </c>
      <c r="E114" s="30">
        <v>375.25068368277113</v>
      </c>
      <c r="F114" s="30">
        <v>263.65286080273268</v>
      </c>
      <c r="G114" s="30">
        <v>142.53808864265926</v>
      </c>
      <c r="H114" s="31">
        <v>86.748384377634153</v>
      </c>
      <c r="I114" s="9">
        <f t="shared" si="219"/>
        <v>0.82329999999999992</v>
      </c>
      <c r="J114" s="8">
        <f t="shared" si="220"/>
        <v>4.2019430634016501</v>
      </c>
      <c r="K114" s="8">
        <f t="shared" si="221"/>
        <v>4.5541255815130128</v>
      </c>
      <c r="L114" s="8">
        <f t="shared" si="222"/>
        <v>4.9063080996243755</v>
      </c>
      <c r="M114" s="8">
        <f t="shared" si="223"/>
        <v>5.1561855728409753</v>
      </c>
      <c r="N114" s="8">
        <f t="shared" si="224"/>
        <v>5.508368090952338</v>
      </c>
      <c r="O114" s="8">
        <f t="shared" si="225"/>
        <v>5.7582455641689378</v>
      </c>
      <c r="P114" s="11">
        <f t="shared" si="226"/>
        <v>0.39799999999999736</v>
      </c>
      <c r="Q114" s="11">
        <f t="shared" si="227"/>
        <v>2.0000000000000013</v>
      </c>
      <c r="R114" s="11">
        <f t="shared" si="228"/>
        <v>0.39800000000000002</v>
      </c>
      <c r="S114" s="12">
        <f t="shared" si="229"/>
        <v>-103</v>
      </c>
      <c r="T114" s="12">
        <f t="shared" si="230"/>
        <v>412</v>
      </c>
      <c r="U114" s="12">
        <f t="shared" si="231"/>
        <v>238</v>
      </c>
      <c r="V114" s="13">
        <f t="shared" si="232"/>
        <v>456</v>
      </c>
      <c r="W114" s="15">
        <f t="shared" si="233"/>
        <v>1.585</v>
      </c>
      <c r="X114" s="35"/>
      <c r="Y114" s="18">
        <f t="shared" si="234"/>
        <v>285.43</v>
      </c>
      <c r="Z114" s="18">
        <f t="shared" si="235"/>
        <v>274.21699999999998</v>
      </c>
      <c r="AA114" s="18">
        <f t="shared" si="236"/>
        <v>121.11499999999999</v>
      </c>
      <c r="AC114" s="23">
        <f t="shared" si="237"/>
        <v>823.29999999999984</v>
      </c>
      <c r="AD114" s="23">
        <f t="shared" si="238"/>
        <v>666.18017262047465</v>
      </c>
      <c r="AE114" s="23">
        <f t="shared" si="239"/>
        <v>537.87020905923339</v>
      </c>
      <c r="AF114" s="23">
        <f t="shared" si="240"/>
        <v>375.25068368277113</v>
      </c>
      <c r="AG114" s="23">
        <f t="shared" si="241"/>
        <v>263.65286080273268</v>
      </c>
      <c r="AH114" s="23">
        <f t="shared" si="242"/>
        <v>142.53808864265926</v>
      </c>
      <c r="AI114" s="23">
        <f t="shared" si="243"/>
        <v>86.748384377634153</v>
      </c>
    </row>
    <row r="115" spans="1:36">
      <c r="A115" s="29">
        <v>711</v>
      </c>
      <c r="B115" s="30">
        <v>789.1</v>
      </c>
      <c r="C115" s="30">
        <v>641.27437996628953</v>
      </c>
      <c r="D115" s="30">
        <v>519.60052677787542</v>
      </c>
      <c r="E115" s="30">
        <v>364.14397784956168</v>
      </c>
      <c r="F115" s="30">
        <v>256.64570685169127</v>
      </c>
      <c r="G115" s="30">
        <v>139.22018348623854</v>
      </c>
      <c r="H115" s="31">
        <v>84.861628907370246</v>
      </c>
      <c r="I115" s="9">
        <f t="shared" si="219"/>
        <v>0.78910000000000002</v>
      </c>
      <c r="J115" s="8">
        <f t="shared" si="220"/>
        <v>4.1920095926536698</v>
      </c>
      <c r="K115" s="8">
        <f t="shared" si="221"/>
        <v>4.5441921107650325</v>
      </c>
      <c r="L115" s="8">
        <f t="shared" si="222"/>
        <v>4.8963746288763952</v>
      </c>
      <c r="M115" s="8">
        <f t="shared" si="223"/>
        <v>5.146252102092995</v>
      </c>
      <c r="N115" s="8">
        <f t="shared" si="224"/>
        <v>5.4984346202043577</v>
      </c>
      <c r="O115" s="8">
        <f t="shared" si="225"/>
        <v>5.7483120934209575</v>
      </c>
      <c r="P115" s="11">
        <f t="shared" si="226"/>
        <v>0.38899999999999718</v>
      </c>
      <c r="Q115" s="11">
        <f t="shared" si="227"/>
        <v>2.0000000000000013</v>
      </c>
      <c r="R115" s="11">
        <f t="shared" si="228"/>
        <v>0.38900000000000001</v>
      </c>
      <c r="S115" s="12">
        <f t="shared" si="229"/>
        <v>-110</v>
      </c>
      <c r="T115" s="12">
        <f t="shared" si="230"/>
        <v>440</v>
      </c>
      <c r="U115" s="12">
        <f t="shared" si="231"/>
        <v>241</v>
      </c>
      <c r="V115" s="13">
        <f t="shared" si="232"/>
        <v>442</v>
      </c>
      <c r="W115" s="15">
        <f t="shared" si="233"/>
        <v>1.603</v>
      </c>
      <c r="X115" s="35"/>
      <c r="Y115" s="18">
        <f t="shared" si="234"/>
        <v>269.49900000000002</v>
      </c>
      <c r="Z115" s="18">
        <f t="shared" si="235"/>
        <v>262.95499999999998</v>
      </c>
      <c r="AA115" s="18">
        <f t="shared" si="236"/>
        <v>117.426</v>
      </c>
      <c r="AC115" s="23">
        <f t="shared" si="237"/>
        <v>789.10000000000014</v>
      </c>
      <c r="AD115" s="23">
        <f t="shared" si="238"/>
        <v>641.27437996628953</v>
      </c>
      <c r="AE115" s="23">
        <f t="shared" si="239"/>
        <v>519.60052677787542</v>
      </c>
      <c r="AF115" s="23">
        <f t="shared" si="240"/>
        <v>364.14397784956168</v>
      </c>
      <c r="AG115" s="23">
        <f t="shared" si="241"/>
        <v>256.64570685169127</v>
      </c>
      <c r="AH115" s="23">
        <f t="shared" si="242"/>
        <v>139.22018348623854</v>
      </c>
      <c r="AI115" s="23">
        <f t="shared" si="243"/>
        <v>84.861628907370246</v>
      </c>
    </row>
    <row r="116" spans="1:36">
      <c r="A116" s="29">
        <v>704</v>
      </c>
      <c r="B116" s="30">
        <v>776.8</v>
      </c>
      <c r="C116" s="30">
        <v>633.41386808407822</v>
      </c>
      <c r="D116" s="30">
        <v>514.66431095406358</v>
      </c>
      <c r="E116" s="30">
        <v>361.97576887232054</v>
      </c>
      <c r="F116" s="30">
        <v>255.75065847234413</v>
      </c>
      <c r="G116" s="30">
        <v>139.11174785100283</v>
      </c>
      <c r="H116" s="31">
        <v>84.902360827747003</v>
      </c>
      <c r="I116" s="9">
        <f t="shared" si="219"/>
        <v>0.77679999999999993</v>
      </c>
      <c r="J116" s="8">
        <f t="shared" si="220"/>
        <v>4.1841233542396719</v>
      </c>
      <c r="K116" s="8">
        <f t="shared" si="221"/>
        <v>4.5363058723510337</v>
      </c>
      <c r="L116" s="8">
        <f t="shared" si="222"/>
        <v>4.8884883904623964</v>
      </c>
      <c r="M116" s="8">
        <f t="shared" si="223"/>
        <v>5.1383658636789962</v>
      </c>
      <c r="N116" s="8">
        <f t="shared" si="224"/>
        <v>5.4905483817903589</v>
      </c>
      <c r="O116" s="8">
        <f t="shared" si="225"/>
        <v>5.7404258550069587</v>
      </c>
      <c r="P116" s="11">
        <f t="shared" si="226"/>
        <v>0.3819999999999989</v>
      </c>
      <c r="Q116" s="11">
        <f t="shared" si="227"/>
        <v>2.0000000000000009</v>
      </c>
      <c r="R116" s="11">
        <f t="shared" si="228"/>
        <v>0.38200000000000001</v>
      </c>
      <c r="S116" s="12">
        <f t="shared" si="229"/>
        <v>-114</v>
      </c>
      <c r="T116" s="12">
        <f t="shared" si="230"/>
        <v>456</v>
      </c>
      <c r="U116" s="12">
        <f t="shared" si="231"/>
        <v>243</v>
      </c>
      <c r="V116" s="13">
        <f t="shared" si="232"/>
        <v>438</v>
      </c>
      <c r="W116" s="15">
        <f t="shared" si="233"/>
        <v>1.6180000000000001</v>
      </c>
      <c r="X116" s="35"/>
      <c r="Y116" s="18">
        <f t="shared" si="234"/>
        <v>262.13600000000002</v>
      </c>
      <c r="Z116" s="18">
        <f t="shared" si="235"/>
        <v>258.91399999999999</v>
      </c>
      <c r="AA116" s="18">
        <f t="shared" si="236"/>
        <v>116.639</v>
      </c>
      <c r="AC116" s="23">
        <f t="shared" si="237"/>
        <v>776.79999999999984</v>
      </c>
      <c r="AD116" s="23">
        <f t="shared" si="238"/>
        <v>633.41386808407822</v>
      </c>
      <c r="AE116" s="23">
        <f t="shared" si="239"/>
        <v>514.66431095406358</v>
      </c>
      <c r="AF116" s="23">
        <f t="shared" si="240"/>
        <v>361.97576887232054</v>
      </c>
      <c r="AG116" s="23">
        <f t="shared" si="241"/>
        <v>255.75065847234413</v>
      </c>
      <c r="AH116" s="23">
        <f t="shared" si="242"/>
        <v>139.11174785100283</v>
      </c>
      <c r="AI116" s="23">
        <f t="shared" si="243"/>
        <v>84.902360827747003</v>
      </c>
    </row>
    <row r="117" spans="1:36">
      <c r="A117" s="29">
        <v>706</v>
      </c>
      <c r="B117" s="30">
        <v>774.9</v>
      </c>
      <c r="C117" s="30">
        <v>633.39488980382646</v>
      </c>
      <c r="D117" s="30">
        <v>515.68322981366452</v>
      </c>
      <c r="E117" s="30">
        <v>363.63209760675733</v>
      </c>
      <c r="F117" s="30">
        <v>257.38485385296718</v>
      </c>
      <c r="G117" s="30">
        <v>140.27878349022444</v>
      </c>
      <c r="H117" s="31">
        <v>85.69374815688586</v>
      </c>
      <c r="I117" s="9">
        <f t="shared" si="219"/>
        <v>0.77489999999999992</v>
      </c>
      <c r="J117" s="8">
        <f t="shared" si="220"/>
        <v>4.178401341533756</v>
      </c>
      <c r="K117" s="8">
        <f t="shared" si="221"/>
        <v>4.5305838596451178</v>
      </c>
      <c r="L117" s="8">
        <f t="shared" si="222"/>
        <v>4.8827663777564805</v>
      </c>
      <c r="M117" s="8">
        <f t="shared" si="223"/>
        <v>5.1326438509730803</v>
      </c>
      <c r="N117" s="8">
        <f t="shared" si="224"/>
        <v>5.484826369084443</v>
      </c>
      <c r="O117" s="8">
        <f t="shared" si="225"/>
        <v>5.7347038423010428</v>
      </c>
      <c r="P117" s="11">
        <f t="shared" si="226"/>
        <v>0.37699999999999972</v>
      </c>
      <c r="Q117" s="11">
        <f t="shared" si="227"/>
        <v>2.0000000000000004</v>
      </c>
      <c r="R117" s="11">
        <f t="shared" si="228"/>
        <v>0.377</v>
      </c>
      <c r="S117" s="12">
        <f t="shared" si="229"/>
        <v>-116</v>
      </c>
      <c r="T117" s="12">
        <f t="shared" si="230"/>
        <v>464</v>
      </c>
      <c r="U117" s="12">
        <f t="shared" si="231"/>
        <v>244</v>
      </c>
      <c r="V117" s="13">
        <f t="shared" si="232"/>
        <v>439</v>
      </c>
      <c r="W117" s="15">
        <f t="shared" si="233"/>
        <v>1.629</v>
      </c>
      <c r="X117" s="35"/>
      <c r="Y117" s="18">
        <f t="shared" si="234"/>
        <v>259.21699999999998</v>
      </c>
      <c r="Z117" s="18">
        <f t="shared" si="235"/>
        <v>258.298</v>
      </c>
      <c r="AA117" s="18">
        <f t="shared" si="236"/>
        <v>117.10599999999999</v>
      </c>
      <c r="AC117" s="23">
        <f t="shared" si="237"/>
        <v>774.89999999999986</v>
      </c>
      <c r="AD117" s="23">
        <f t="shared" si="238"/>
        <v>633.39488980382646</v>
      </c>
      <c r="AE117" s="23">
        <f t="shared" si="239"/>
        <v>515.68322981366452</v>
      </c>
      <c r="AF117" s="23">
        <f t="shared" si="240"/>
        <v>363.63209760675733</v>
      </c>
      <c r="AG117" s="23">
        <f t="shared" si="241"/>
        <v>257.38485385296718</v>
      </c>
      <c r="AH117" s="23">
        <f t="shared" si="242"/>
        <v>140.27878349022444</v>
      </c>
      <c r="AI117" s="23">
        <f t="shared" si="243"/>
        <v>85.69374815688586</v>
      </c>
    </row>
    <row r="118" spans="1:36">
      <c r="A118" s="29">
        <v>1383</v>
      </c>
      <c r="B118" s="30">
        <v>1339.2</v>
      </c>
      <c r="C118" s="30">
        <v>1110.7888916195627</v>
      </c>
      <c r="D118" s="30">
        <v>915.58796718322708</v>
      </c>
      <c r="E118" s="30">
        <v>656.1489465948066</v>
      </c>
      <c r="F118" s="30">
        <v>469.78484565014037</v>
      </c>
      <c r="G118" s="30">
        <v>259.33384972889235</v>
      </c>
      <c r="H118" s="31">
        <v>159.37797524595368</v>
      </c>
      <c r="I118" s="9">
        <f t="shared" si="219"/>
        <v>1.3391999999999999</v>
      </c>
      <c r="J118" s="8">
        <f t="shared" si="220"/>
        <v>4.1423894661188356</v>
      </c>
      <c r="K118" s="8">
        <f t="shared" si="221"/>
        <v>4.4945719842301983</v>
      </c>
      <c r="L118" s="8">
        <f t="shared" si="222"/>
        <v>4.846754502341561</v>
      </c>
      <c r="M118" s="8">
        <f t="shared" si="223"/>
        <v>5.0966319755581608</v>
      </c>
      <c r="N118" s="8">
        <f t="shared" si="224"/>
        <v>5.4488144936695235</v>
      </c>
      <c r="O118" s="8">
        <f t="shared" si="225"/>
        <v>5.6986919668861233</v>
      </c>
      <c r="P118" s="11">
        <f t="shared" si="226"/>
        <v>0.34699999999999731</v>
      </c>
      <c r="Q118" s="11">
        <f t="shared" si="227"/>
        <v>2.0000000000000013</v>
      </c>
      <c r="R118" s="11">
        <f t="shared" si="228"/>
        <v>0.34699999999999998</v>
      </c>
      <c r="S118" s="12">
        <f t="shared" si="229"/>
        <v>-73</v>
      </c>
      <c r="T118" s="12">
        <f t="shared" si="230"/>
        <v>292</v>
      </c>
      <c r="U118" s="12">
        <f t="shared" si="231"/>
        <v>255</v>
      </c>
      <c r="V118" s="13">
        <f t="shared" si="232"/>
        <v>786</v>
      </c>
      <c r="W118" s="15">
        <f t="shared" si="233"/>
        <v>1.698</v>
      </c>
      <c r="X118" s="35"/>
      <c r="Y118" s="18">
        <f t="shared" si="234"/>
        <v>423.61200000000002</v>
      </c>
      <c r="Z118" s="18">
        <f t="shared" si="235"/>
        <v>445.803</v>
      </c>
      <c r="AA118" s="18">
        <f t="shared" si="236"/>
        <v>210.45099999999999</v>
      </c>
      <c r="AC118" s="23">
        <f t="shared" si="237"/>
        <v>1339.2000000000003</v>
      </c>
      <c r="AD118" s="23">
        <f t="shared" si="238"/>
        <v>1110.7888916195627</v>
      </c>
      <c r="AE118" s="23">
        <f t="shared" si="239"/>
        <v>915.58796718322708</v>
      </c>
      <c r="AF118" s="23">
        <f t="shared" si="240"/>
        <v>656.1489465948066</v>
      </c>
      <c r="AG118" s="23">
        <f t="shared" si="241"/>
        <v>469.78484565014037</v>
      </c>
      <c r="AH118" s="23">
        <f t="shared" si="242"/>
        <v>259.33384972889235</v>
      </c>
      <c r="AI118" s="23">
        <f t="shared" si="243"/>
        <v>159.37797524595368</v>
      </c>
    </row>
    <row r="119" spans="1:36">
      <c r="A119" s="29">
        <v>1387</v>
      </c>
      <c r="B119" s="30">
        <v>1336.3</v>
      </c>
      <c r="C119" s="30">
        <v>1111.1141906873613</v>
      </c>
      <c r="D119" s="30">
        <v>917.78846153846143</v>
      </c>
      <c r="E119" s="30">
        <v>659.57551826258623</v>
      </c>
      <c r="F119" s="30">
        <v>473.19405099150134</v>
      </c>
      <c r="G119" s="30">
        <v>261.81426332288396</v>
      </c>
      <c r="H119" s="31">
        <v>161.07762777242041</v>
      </c>
      <c r="I119" s="9">
        <f t="shared" si="219"/>
        <v>1.3363</v>
      </c>
      <c r="J119" s="8">
        <f t="shared" si="220"/>
        <v>4.1360860973840978</v>
      </c>
      <c r="K119" s="8">
        <f t="shared" si="221"/>
        <v>4.4882686154954605</v>
      </c>
      <c r="L119" s="8">
        <f t="shared" si="222"/>
        <v>4.8404511336068223</v>
      </c>
      <c r="M119" s="8">
        <f t="shared" si="223"/>
        <v>5.0903286068234221</v>
      </c>
      <c r="N119" s="8">
        <f t="shared" si="224"/>
        <v>5.4425111249347848</v>
      </c>
      <c r="O119" s="8">
        <f t="shared" si="225"/>
        <v>5.6923885981513846</v>
      </c>
      <c r="P119" s="11">
        <f t="shared" si="226"/>
        <v>0.34200000000000019</v>
      </c>
      <c r="Q119" s="11">
        <f t="shared" si="227"/>
        <v>2</v>
      </c>
      <c r="R119" s="11">
        <f t="shared" si="228"/>
        <v>0.34200000000000003</v>
      </c>
      <c r="S119" s="12">
        <f t="shared" si="229"/>
        <v>-74</v>
      </c>
      <c r="T119" s="12">
        <f t="shared" si="230"/>
        <v>296</v>
      </c>
      <c r="U119" s="12">
        <f t="shared" si="231"/>
        <v>256</v>
      </c>
      <c r="V119" s="13">
        <f t="shared" si="232"/>
        <v>789</v>
      </c>
      <c r="W119" s="15">
        <f t="shared" si="233"/>
        <v>1.71</v>
      </c>
      <c r="X119" s="35"/>
      <c r="Y119" s="18">
        <f t="shared" si="234"/>
        <v>418.512</v>
      </c>
      <c r="Z119" s="18">
        <f t="shared" si="235"/>
        <v>444.59399999999999</v>
      </c>
      <c r="AA119" s="18">
        <f t="shared" si="236"/>
        <v>211.38</v>
      </c>
      <c r="AC119" s="23">
        <f t="shared" si="237"/>
        <v>1336.2999999999997</v>
      </c>
      <c r="AD119" s="23">
        <f t="shared" si="238"/>
        <v>1111.1141906873613</v>
      </c>
      <c r="AE119" s="23">
        <f t="shared" si="239"/>
        <v>917.78846153846143</v>
      </c>
      <c r="AF119" s="23">
        <f t="shared" si="240"/>
        <v>659.57551826258623</v>
      </c>
      <c r="AG119" s="23">
        <f t="shared" si="241"/>
        <v>473.19405099150134</v>
      </c>
      <c r="AH119" s="23">
        <f t="shared" si="242"/>
        <v>261.81426332288396</v>
      </c>
      <c r="AI119" s="23">
        <f t="shared" si="243"/>
        <v>161.07762777242041</v>
      </c>
    </row>
    <row r="120" spans="1:36">
      <c r="A120" s="29">
        <v>1379</v>
      </c>
      <c r="B120" s="30">
        <v>1341.6</v>
      </c>
      <c r="C120" s="30">
        <v>1111.1411042944785</v>
      </c>
      <c r="D120" s="30">
        <v>914.72727272727275</v>
      </c>
      <c r="E120" s="30">
        <v>654.43902439024396</v>
      </c>
      <c r="F120" s="30">
        <v>468</v>
      </c>
      <c r="G120" s="30">
        <v>258</v>
      </c>
      <c r="H120" s="31">
        <v>158.45669291338584</v>
      </c>
      <c r="I120" s="9">
        <f t="shared" si="219"/>
        <v>1.3415999999999999</v>
      </c>
      <c r="J120" s="8">
        <f t="shared" si="220"/>
        <v>4.1461280356782382</v>
      </c>
      <c r="K120" s="8">
        <f t="shared" si="221"/>
        <v>4.4983105537896009</v>
      </c>
      <c r="L120" s="8">
        <f t="shared" si="222"/>
        <v>4.8504930719009627</v>
      </c>
      <c r="M120" s="8">
        <f t="shared" si="223"/>
        <v>5.1003705451175625</v>
      </c>
      <c r="N120" s="8">
        <f t="shared" si="224"/>
        <v>5.4525530632289252</v>
      </c>
      <c r="O120" s="8">
        <f t="shared" si="225"/>
        <v>5.702430536445525</v>
      </c>
      <c r="P120" s="11">
        <f t="shared" si="226"/>
        <v>0.35000000000000003</v>
      </c>
      <c r="Q120" s="11">
        <f t="shared" si="227"/>
        <v>2</v>
      </c>
      <c r="R120" s="11">
        <f t="shared" si="228"/>
        <v>0.35</v>
      </c>
      <c r="S120" s="12">
        <f t="shared" si="229"/>
        <v>-72</v>
      </c>
      <c r="T120" s="12">
        <f t="shared" si="230"/>
        <v>288</v>
      </c>
      <c r="U120" s="12">
        <f t="shared" si="231"/>
        <v>254</v>
      </c>
      <c r="V120" s="13">
        <f t="shared" si="232"/>
        <v>784</v>
      </c>
      <c r="W120" s="15">
        <f t="shared" si="233"/>
        <v>1.69</v>
      </c>
      <c r="X120" s="35"/>
      <c r="Y120" s="18">
        <f t="shared" si="234"/>
        <v>426.87299999999999</v>
      </c>
      <c r="Z120" s="18">
        <f t="shared" si="235"/>
        <v>446.72699999999998</v>
      </c>
      <c r="AA120" s="18">
        <f t="shared" si="236"/>
        <v>210</v>
      </c>
      <c r="AC120" s="23">
        <f t="shared" si="237"/>
        <v>1341.6</v>
      </c>
      <c r="AD120" s="23">
        <f t="shared" si="238"/>
        <v>1111.1411042944785</v>
      </c>
      <c r="AE120" s="23">
        <f t="shared" si="239"/>
        <v>914.72727272727275</v>
      </c>
      <c r="AF120" s="23">
        <f t="shared" si="240"/>
        <v>654.43902439024396</v>
      </c>
      <c r="AG120" s="23">
        <f t="shared" si="241"/>
        <v>468</v>
      </c>
      <c r="AH120" s="23">
        <f t="shared" si="242"/>
        <v>258</v>
      </c>
      <c r="AI120" s="23">
        <f t="shared" si="243"/>
        <v>158.45669291338584</v>
      </c>
    </row>
    <row r="121" spans="1:36" ht="13.5" thickBot="1">
      <c r="A121" s="32">
        <v>1385</v>
      </c>
      <c r="B121" s="33">
        <v>1324.5</v>
      </c>
      <c r="C121" s="33">
        <v>1107.3043101312855</v>
      </c>
      <c r="D121" s="33">
        <v>918.94079555966698</v>
      </c>
      <c r="E121" s="33">
        <v>664.57601605619664</v>
      </c>
      <c r="F121" s="33">
        <v>478.96576663452265</v>
      </c>
      <c r="G121" s="33">
        <v>266.39179404666129</v>
      </c>
      <c r="H121" s="34">
        <v>164.30284485610321</v>
      </c>
      <c r="I121" s="9">
        <f t="shared" si="219"/>
        <v>1.3245</v>
      </c>
      <c r="J121" s="8">
        <f t="shared" si="220"/>
        <v>4.1218879851036814</v>
      </c>
      <c r="K121" s="8">
        <f t="shared" si="221"/>
        <v>4.4740705032150432</v>
      </c>
      <c r="L121" s="8">
        <f t="shared" si="222"/>
        <v>4.8262530213264059</v>
      </c>
      <c r="M121" s="8">
        <f t="shared" si="223"/>
        <v>5.0761304945430057</v>
      </c>
      <c r="N121" s="8">
        <f t="shared" si="224"/>
        <v>5.4283130126543684</v>
      </c>
      <c r="O121" s="8">
        <f t="shared" si="225"/>
        <v>5.6781904858709682</v>
      </c>
      <c r="P121" s="11">
        <f t="shared" si="226"/>
        <v>0.33099999999999868</v>
      </c>
      <c r="Q121" s="11">
        <f t="shared" si="227"/>
        <v>2.0000000000000009</v>
      </c>
      <c r="R121" s="11">
        <f t="shared" si="228"/>
        <v>0.33100000000000002</v>
      </c>
      <c r="S121" s="12">
        <f t="shared" si="229"/>
        <v>-77</v>
      </c>
      <c r="T121" s="12">
        <f t="shared" si="230"/>
        <v>308</v>
      </c>
      <c r="U121" s="12">
        <f t="shared" si="231"/>
        <v>261</v>
      </c>
      <c r="V121" s="13">
        <f t="shared" si="232"/>
        <v>793</v>
      </c>
      <c r="W121" s="15">
        <f t="shared" si="233"/>
        <v>1.738</v>
      </c>
      <c r="X121" s="35"/>
      <c r="Y121" s="18">
        <f t="shared" si="234"/>
        <v>405.55900000000003</v>
      </c>
      <c r="Z121" s="18">
        <f t="shared" si="235"/>
        <v>439.97500000000002</v>
      </c>
      <c r="AA121" s="18">
        <f t="shared" si="236"/>
        <v>212.57400000000001</v>
      </c>
      <c r="AC121" s="23">
        <f t="shared" si="237"/>
        <v>1324.5</v>
      </c>
      <c r="AD121" s="23">
        <f t="shared" si="238"/>
        <v>1107.3043101312855</v>
      </c>
      <c r="AE121" s="23">
        <f t="shared" si="239"/>
        <v>918.94079555966698</v>
      </c>
      <c r="AF121" s="23">
        <f t="shared" si="240"/>
        <v>664.57601605619664</v>
      </c>
      <c r="AG121" s="23">
        <f t="shared" si="241"/>
        <v>478.96576663452265</v>
      </c>
      <c r="AH121" s="23">
        <f t="shared" si="242"/>
        <v>266.39179404666129</v>
      </c>
      <c r="AI121" s="23">
        <f t="shared" si="243"/>
        <v>164.30284485610321</v>
      </c>
    </row>
    <row r="122" spans="1:36">
      <c r="A122" s="24">
        <f t="shared" ref="A122:W122" si="244">AVERAGE(A110:A113)</f>
        <v>382.5</v>
      </c>
      <c r="B122" s="24">
        <f t="shared" si="244"/>
        <v>489.55000000000007</v>
      </c>
      <c r="C122" s="24">
        <f t="shared" si="244"/>
        <v>382.19241839096082</v>
      </c>
      <c r="D122" s="24">
        <f t="shared" si="244"/>
        <v>300.03794558313086</v>
      </c>
      <c r="E122" s="24">
        <f t="shared" si="244"/>
        <v>202.28401347689652</v>
      </c>
      <c r="F122" s="24">
        <f t="shared" si="244"/>
        <v>138.94054458810419</v>
      </c>
      <c r="G122" s="24">
        <f t="shared" si="244"/>
        <v>73.340776446138662</v>
      </c>
      <c r="H122" s="24">
        <f t="shared" si="244"/>
        <v>44.156388547302114</v>
      </c>
      <c r="I122" s="24">
        <f t="shared" si="244"/>
        <v>0.48954999999999999</v>
      </c>
      <c r="J122" s="24">
        <f t="shared" si="244"/>
        <v>4.2747884197918333</v>
      </c>
      <c r="K122" s="24">
        <f t="shared" si="244"/>
        <v>4.6269709379031951</v>
      </c>
      <c r="L122" s="24">
        <f t="shared" si="244"/>
        <v>4.9791534560145578</v>
      </c>
      <c r="M122" s="24">
        <f t="shared" si="244"/>
        <v>5.2290309292311576</v>
      </c>
      <c r="N122" s="24">
        <f t="shared" si="244"/>
        <v>5.5812134473425203</v>
      </c>
      <c r="O122" s="24">
        <f t="shared" si="244"/>
        <v>5.8310909205591201</v>
      </c>
      <c r="P122" s="24">
        <f t="shared" si="244"/>
        <v>0.47149999999999892</v>
      </c>
      <c r="Q122" s="24">
        <f t="shared" si="244"/>
        <v>2.0000000000000009</v>
      </c>
      <c r="R122" s="24">
        <f t="shared" si="244"/>
        <v>0.47149999999999997</v>
      </c>
      <c r="S122" s="24">
        <f t="shared" si="244"/>
        <v>-149.25</v>
      </c>
      <c r="T122" s="24">
        <f t="shared" si="244"/>
        <v>597</v>
      </c>
      <c r="U122" s="24">
        <f t="shared" si="244"/>
        <v>218.75</v>
      </c>
      <c r="V122" s="24">
        <f t="shared" si="244"/>
        <v>252.25</v>
      </c>
      <c r="W122" s="24">
        <f t="shared" si="244"/>
        <v>1.4584999999999999</v>
      </c>
      <c r="X122" s="36">
        <f>SLOPE(W122:W124,A122:A124)</f>
        <v>2.3543539206313674E-4</v>
      </c>
      <c r="Y122" s="24">
        <f>AVERAGE(Y110:Y113)</f>
        <v>189.51175000000001</v>
      </c>
      <c r="Z122" s="24">
        <f>AVERAGE(Z110:Z113)</f>
        <v>161.0975</v>
      </c>
      <c r="AA122" s="24">
        <f>AVERAGE(AA110:AA113)</f>
        <v>65.59975</v>
      </c>
      <c r="AB122"/>
      <c r="AC122" s="24">
        <f t="shared" ref="AC122:AI122" si="245">AVERAGE(AC110:AC113)</f>
        <v>489.5499999999999</v>
      </c>
      <c r="AD122" s="24">
        <f t="shared" si="245"/>
        <v>382.19241839096082</v>
      </c>
      <c r="AE122" s="24">
        <f t="shared" si="245"/>
        <v>300.03794558313086</v>
      </c>
      <c r="AF122" s="24">
        <f t="shared" si="245"/>
        <v>202.28401347689652</v>
      </c>
      <c r="AG122" s="24">
        <f t="shared" si="245"/>
        <v>138.94054458810419</v>
      </c>
      <c r="AH122" s="24">
        <f t="shared" si="245"/>
        <v>73.340776446138662</v>
      </c>
      <c r="AI122" s="24">
        <f t="shared" si="245"/>
        <v>44.156388547302114</v>
      </c>
    </row>
    <row r="123" spans="1:36">
      <c r="A123" s="24">
        <f t="shared" ref="A123:W123" si="246">AVERAGE(A114:A117)</f>
        <v>712.25</v>
      </c>
      <c r="B123" s="24">
        <f t="shared" si="246"/>
        <v>791.02499999999998</v>
      </c>
      <c r="C123" s="24">
        <f t="shared" si="246"/>
        <v>643.5658276186673</v>
      </c>
      <c r="D123" s="24">
        <f t="shared" si="246"/>
        <v>521.95456915120928</v>
      </c>
      <c r="E123" s="24">
        <f t="shared" si="246"/>
        <v>366.25063200285263</v>
      </c>
      <c r="F123" s="24">
        <f t="shared" si="246"/>
        <v>258.35851999493383</v>
      </c>
      <c r="G123" s="24">
        <f t="shared" si="246"/>
        <v>140.28720086753128</v>
      </c>
      <c r="H123" s="24">
        <f t="shared" si="246"/>
        <v>85.55153056740933</v>
      </c>
      <c r="I123" s="24">
        <f t="shared" si="246"/>
        <v>0.79102499999999987</v>
      </c>
      <c r="J123" s="24">
        <f t="shared" si="246"/>
        <v>4.1891193379571865</v>
      </c>
      <c r="K123" s="24">
        <f t="shared" si="246"/>
        <v>4.5413018560685483</v>
      </c>
      <c r="L123" s="24">
        <f t="shared" si="246"/>
        <v>4.893484374179911</v>
      </c>
      <c r="M123" s="24">
        <f t="shared" si="246"/>
        <v>5.1433618473965108</v>
      </c>
      <c r="N123" s="24">
        <f t="shared" si="246"/>
        <v>5.4955443655078735</v>
      </c>
      <c r="O123" s="24">
        <f t="shared" si="246"/>
        <v>5.7454218387244733</v>
      </c>
      <c r="P123" s="24">
        <f t="shared" si="246"/>
        <v>0.38649999999999829</v>
      </c>
      <c r="Q123" s="24">
        <f t="shared" si="246"/>
        <v>2.0000000000000009</v>
      </c>
      <c r="R123" s="24">
        <f t="shared" si="246"/>
        <v>0.38650000000000001</v>
      </c>
      <c r="S123" s="24">
        <f t="shared" si="246"/>
        <v>-110.75</v>
      </c>
      <c r="T123" s="24">
        <f t="shared" si="246"/>
        <v>443</v>
      </c>
      <c r="U123" s="24">
        <f t="shared" si="246"/>
        <v>241.5</v>
      </c>
      <c r="V123" s="24">
        <f t="shared" si="246"/>
        <v>443.75</v>
      </c>
      <c r="W123" s="24">
        <f t="shared" si="246"/>
        <v>1.6087500000000001</v>
      </c>
      <c r="X123" s="24"/>
      <c r="Y123" s="24">
        <f>AVERAGE(Y114:Y117)</f>
        <v>269.07050000000004</v>
      </c>
      <c r="Z123" s="24">
        <f>AVERAGE(Z114:Z117)</f>
        <v>263.596</v>
      </c>
      <c r="AA123" s="24">
        <f>AVERAGE(AA114:AA117)</f>
        <v>118.0715</v>
      </c>
      <c r="AB123" s="24">
        <f>AC123/AC122</f>
        <v>1.6158206516188336</v>
      </c>
      <c r="AC123" s="24">
        <f t="shared" ref="AC123:AI123" si="247">AVERAGE(AC114:AC117)</f>
        <v>791.02499999999986</v>
      </c>
      <c r="AD123" s="24">
        <f t="shared" si="247"/>
        <v>643.5658276186673</v>
      </c>
      <c r="AE123" s="24">
        <f t="shared" si="247"/>
        <v>521.95456915120928</v>
      </c>
      <c r="AF123" s="24">
        <f t="shared" si="247"/>
        <v>366.25063200285263</v>
      </c>
      <c r="AG123" s="24">
        <f t="shared" si="247"/>
        <v>258.35851999493383</v>
      </c>
      <c r="AH123" s="24">
        <f t="shared" si="247"/>
        <v>140.28720086753128</v>
      </c>
      <c r="AI123" s="24">
        <f t="shared" si="247"/>
        <v>85.55153056740933</v>
      </c>
      <c r="AJ123" s="1">
        <f>AI123/AI122</f>
        <v>1.9374666584375002</v>
      </c>
    </row>
    <row r="124" spans="1:36" ht="13.5" thickBot="1">
      <c r="A124" s="24">
        <f t="shared" ref="A124:W124" si="248">AVERAGE(A118:A121)</f>
        <v>1383.5</v>
      </c>
      <c r="B124" s="24">
        <f t="shared" si="248"/>
        <v>1335.4</v>
      </c>
      <c r="C124" s="24">
        <f t="shared" si="248"/>
        <v>1110.0871241831719</v>
      </c>
      <c r="D124" s="24">
        <f t="shared" si="248"/>
        <v>916.76112425215706</v>
      </c>
      <c r="E124" s="24">
        <f t="shared" si="248"/>
        <v>658.68487632595838</v>
      </c>
      <c r="F124" s="24">
        <f t="shared" si="248"/>
        <v>472.4861658190411</v>
      </c>
      <c r="G124" s="24">
        <f t="shared" si="248"/>
        <v>261.38497677460941</v>
      </c>
      <c r="H124" s="24">
        <f t="shared" si="248"/>
        <v>160.80378519696578</v>
      </c>
      <c r="I124" s="24">
        <f t="shared" si="248"/>
        <v>1.3353999999999999</v>
      </c>
      <c r="J124" s="24">
        <f t="shared" si="248"/>
        <v>4.1366228960712128</v>
      </c>
      <c r="K124" s="24">
        <f t="shared" si="248"/>
        <v>4.4888054141825755</v>
      </c>
      <c r="L124" s="24">
        <f t="shared" si="248"/>
        <v>4.8409879322939382</v>
      </c>
      <c r="M124" s="24">
        <f t="shared" si="248"/>
        <v>5.090865405510538</v>
      </c>
      <c r="N124" s="24">
        <f t="shared" si="248"/>
        <v>5.4430479236219007</v>
      </c>
      <c r="O124" s="24">
        <f t="shared" si="248"/>
        <v>5.6929253968385005</v>
      </c>
      <c r="P124" s="24">
        <f t="shared" si="248"/>
        <v>0.34249999999999903</v>
      </c>
      <c r="Q124" s="24">
        <f t="shared" si="248"/>
        <v>2.0000000000000009</v>
      </c>
      <c r="R124" s="24">
        <f t="shared" si="248"/>
        <v>0.34250000000000003</v>
      </c>
      <c r="S124" s="24">
        <f t="shared" si="248"/>
        <v>-74</v>
      </c>
      <c r="T124" s="24">
        <f t="shared" si="248"/>
        <v>296</v>
      </c>
      <c r="U124" s="24">
        <f t="shared" si="248"/>
        <v>256.5</v>
      </c>
      <c r="V124" s="24">
        <f t="shared" si="248"/>
        <v>788</v>
      </c>
      <c r="W124" s="24">
        <f t="shared" si="248"/>
        <v>1.7090000000000001</v>
      </c>
      <c r="X124" s="24"/>
      <c r="Y124" s="24">
        <f>AVERAGE(Y118:Y121)</f>
        <v>418.63900000000001</v>
      </c>
      <c r="Z124" s="24">
        <f>AVERAGE(Z118:Z121)</f>
        <v>444.27474999999993</v>
      </c>
      <c r="AA124" s="24">
        <f>AVERAGE(AA118:AA121)</f>
        <v>211.10124999999999</v>
      </c>
      <c r="AB124" s="24">
        <f>AC124/AC122</f>
        <v>2.7278112552343998</v>
      </c>
      <c r="AC124" s="24">
        <f t="shared" ref="AC124:AI124" si="249">AVERAGE(AC118:AC121)</f>
        <v>1335.4</v>
      </c>
      <c r="AD124" s="24">
        <f t="shared" si="249"/>
        <v>1110.0871241831719</v>
      </c>
      <c r="AE124" s="24">
        <f t="shared" si="249"/>
        <v>916.76112425215706</v>
      </c>
      <c r="AF124" s="24">
        <f t="shared" si="249"/>
        <v>658.68487632595838</v>
      </c>
      <c r="AG124" s="24">
        <f t="shared" si="249"/>
        <v>472.4861658190411</v>
      </c>
      <c r="AH124" s="24">
        <f t="shared" si="249"/>
        <v>261.38497677460941</v>
      </c>
      <c r="AI124" s="24">
        <f t="shared" si="249"/>
        <v>160.80378519696578</v>
      </c>
      <c r="AJ124" s="1">
        <f>AI124/AI122</f>
        <v>3.6416878845222191</v>
      </c>
    </row>
    <row r="125" spans="1:36">
      <c r="A125" s="26">
        <v>372</v>
      </c>
      <c r="B125" s="27">
        <v>695</v>
      </c>
      <c r="C125" s="27">
        <v>491.64221337245863</v>
      </c>
      <c r="D125" s="27">
        <v>359.9792817679558</v>
      </c>
      <c r="E125" s="27">
        <v>224.62831286360699</v>
      </c>
      <c r="F125" s="27">
        <v>147.16261998870695</v>
      </c>
      <c r="G125" s="27">
        <v>74.125426621160415</v>
      </c>
      <c r="H125" s="28">
        <v>43.736365161939922</v>
      </c>
      <c r="I125" s="9">
        <f t="shared" ref="I125:I136" si="250">B125/1000</f>
        <v>0.69499999999999995</v>
      </c>
      <c r="J125" s="8">
        <f t="shared" ref="J125:J136" si="251">LOG10((((3*150*150)*B125)/C125)-((3*150*150)))</f>
        <v>4.4459154139511234</v>
      </c>
      <c r="K125" s="8">
        <f t="shared" ref="K125:K136" si="252">LOG10((((3*150*150)*B125)/D125)-((3*150*150)))</f>
        <v>4.7980979320624861</v>
      </c>
      <c r="L125" s="8">
        <f t="shared" ref="L125:L136" si="253">LOG10((((3*150*150)*B125)/E125)-((3*150*150)))</f>
        <v>5.1502804501738488</v>
      </c>
      <c r="M125" s="8">
        <f t="shared" ref="M125:M136" si="254">LOG10((((3*150*150)*B125)/F125)-((3*150*150)))</f>
        <v>5.4001579233904486</v>
      </c>
      <c r="N125" s="8">
        <f t="shared" ref="N125:N136" si="255">LOG10((((3*150*150)*B125)/G125)-((3*150*150)))</f>
        <v>5.7523404415018105</v>
      </c>
      <c r="O125" s="8">
        <f t="shared" ref="O125:O136" si="256">LOG10((((3*150*150)*B125)/H125)-((3*150*150)))</f>
        <v>6.0022179147184112</v>
      </c>
      <c r="P125" s="11">
        <f t="shared" ref="P125:P136" si="257">10^(INTERCEPT(J125:O125,$J$1:$O$1))</f>
        <v>0.69799999999999829</v>
      </c>
      <c r="Q125" s="11">
        <f t="shared" ref="Q125:Q136" si="258">LINEST(J125:O125,$J$1:$O$1)</f>
        <v>2.0000000000000004</v>
      </c>
      <c r="R125" s="11">
        <f t="shared" ref="R125:R136" si="259">ROUND(10^((SUM(J125:N125)-2*SUM($J$1:$N$1))/5),3)</f>
        <v>0.69799999999999995</v>
      </c>
      <c r="S125" s="12">
        <f t="shared" ref="S125:S136" si="260">ROUND(-1.5*((150^2)/(R125*I125))/1000,0)</f>
        <v>-70</v>
      </c>
      <c r="T125" s="12">
        <f t="shared" ref="T125:T136" si="261">-4*S125</f>
        <v>280</v>
      </c>
      <c r="U125" s="12">
        <f t="shared" ref="U125:U136" si="262">ROUND(150/(R125^0.5),0)</f>
        <v>180</v>
      </c>
      <c r="V125" s="13">
        <f t="shared" ref="V125:V136" si="263">ROUND(150*I125*ATAN((1800*SQRT(3*R125))/(3*150))*SQRT(3/(R125)),0)</f>
        <v>303</v>
      </c>
      <c r="W125" s="15">
        <f t="shared" ref="W125:W136" si="264">ROUND(1/SQRT(R125),3)</f>
        <v>1.1970000000000001</v>
      </c>
      <c r="X125" s="36">
        <f>SLOPE(W125:W136,A125:A136)</f>
        <v>2.6792100822121409E-4</v>
      </c>
      <c r="Y125" s="18">
        <f t="shared" ref="Y125:Y136" si="265">ROUND(B125-D125,3)</f>
        <v>335.02100000000002</v>
      </c>
      <c r="Z125" s="18">
        <f t="shared" ref="Z125:Z136" si="266">ROUND(D125-F125,3)</f>
        <v>212.81700000000001</v>
      </c>
      <c r="AA125" s="18">
        <f t="shared" ref="AA125:AA136" si="267">ROUND(F125-G125,3)</f>
        <v>73.037000000000006</v>
      </c>
      <c r="AC125" s="23">
        <f t="shared" ref="AC125:AC136" si="268">((B125)*3*150^2)/(R125*$AC$3^2+3*150^2)</f>
        <v>695</v>
      </c>
      <c r="AD125" s="23">
        <f t="shared" ref="AD125:AD136" si="269">((B125)*3*150^2)/(R125*$AD$3^2+3*150^2)</f>
        <v>491.64221337245863</v>
      </c>
      <c r="AE125" s="23">
        <f t="shared" ref="AE125:AE136" si="270">((B125)*3*150^2)/(R125*$AE$3^2+3*150^2)</f>
        <v>359.9792817679558</v>
      </c>
      <c r="AF125" s="23">
        <f t="shared" ref="AF125:AF136" si="271">((B125)*3*150^2)/(R125*$AF$3^2+3*150^2)</f>
        <v>224.62831286360699</v>
      </c>
      <c r="AG125" s="23">
        <f t="shared" ref="AG125:AG136" si="272">((B125)*3*150^2)/(R125*$AG$3^2+3*150^2)</f>
        <v>147.16261998870695</v>
      </c>
      <c r="AH125" s="23">
        <f t="shared" ref="AH125:AH136" si="273">((B125)*3*150^2)/(R125*$AH$3^2+3*150^2)</f>
        <v>74.125426621160415</v>
      </c>
      <c r="AI125" s="23">
        <f t="shared" ref="AI125:AI136" si="274">((B125)*3*150^2)/(R125*$AI$3^2+3*150^2)</f>
        <v>43.736365161939922</v>
      </c>
    </row>
    <row r="126" spans="1:36">
      <c r="A126" s="29">
        <v>377</v>
      </c>
      <c r="B126" s="30">
        <v>543.4</v>
      </c>
      <c r="C126" s="30">
        <v>404.94038419077049</v>
      </c>
      <c r="D126" s="30">
        <v>307.12132629992459</v>
      </c>
      <c r="E126" s="30">
        <v>198.97473452947634</v>
      </c>
      <c r="F126" s="30">
        <v>133.273381294964</v>
      </c>
      <c r="G126" s="30">
        <v>68.576476527006548</v>
      </c>
      <c r="H126" s="31">
        <v>40.82849128431176</v>
      </c>
      <c r="I126" s="9">
        <f t="shared" si="250"/>
        <v>0.54339999999999999</v>
      </c>
      <c r="J126" s="8">
        <f t="shared" si="251"/>
        <v>4.3632358044836943</v>
      </c>
      <c r="K126" s="8">
        <f t="shared" si="252"/>
        <v>4.7154183225950561</v>
      </c>
      <c r="L126" s="8">
        <f t="shared" si="253"/>
        <v>5.0676008407064188</v>
      </c>
      <c r="M126" s="8">
        <f t="shared" si="254"/>
        <v>5.3174783139230186</v>
      </c>
      <c r="N126" s="8">
        <f t="shared" si="255"/>
        <v>5.6696608320343813</v>
      </c>
      <c r="O126" s="8">
        <f t="shared" si="256"/>
        <v>5.9195383052509811</v>
      </c>
      <c r="P126" s="11">
        <f t="shared" si="257"/>
        <v>0.57699999999999807</v>
      </c>
      <c r="Q126" s="11">
        <f t="shared" si="258"/>
        <v>2.0000000000000009</v>
      </c>
      <c r="R126" s="11">
        <f t="shared" si="259"/>
        <v>0.57699999999999996</v>
      </c>
      <c r="S126" s="12">
        <f t="shared" si="260"/>
        <v>-108</v>
      </c>
      <c r="T126" s="12">
        <f t="shared" si="261"/>
        <v>432</v>
      </c>
      <c r="U126" s="12">
        <f t="shared" si="262"/>
        <v>197</v>
      </c>
      <c r="V126" s="13">
        <f t="shared" si="263"/>
        <v>257</v>
      </c>
      <c r="W126" s="15">
        <f t="shared" si="264"/>
        <v>1.3160000000000001</v>
      </c>
      <c r="X126" s="35"/>
      <c r="Y126" s="18">
        <f t="shared" si="265"/>
        <v>236.279</v>
      </c>
      <c r="Z126" s="18">
        <f t="shared" si="266"/>
        <v>173.84800000000001</v>
      </c>
      <c r="AA126" s="18">
        <f t="shared" si="267"/>
        <v>64.697000000000003</v>
      </c>
      <c r="AC126" s="23">
        <f t="shared" si="268"/>
        <v>543.39999999999986</v>
      </c>
      <c r="AD126" s="23">
        <f t="shared" si="269"/>
        <v>404.94038419077049</v>
      </c>
      <c r="AE126" s="23">
        <f t="shared" si="270"/>
        <v>307.12132629992459</v>
      </c>
      <c r="AF126" s="23">
        <f t="shared" si="271"/>
        <v>198.97473452947634</v>
      </c>
      <c r="AG126" s="23">
        <f t="shared" si="272"/>
        <v>133.273381294964</v>
      </c>
      <c r="AH126" s="23">
        <f t="shared" si="273"/>
        <v>68.576476527006548</v>
      </c>
      <c r="AI126" s="23">
        <f t="shared" si="274"/>
        <v>40.82849128431176</v>
      </c>
    </row>
    <row r="127" spans="1:36">
      <c r="A127" s="29">
        <v>376</v>
      </c>
      <c r="B127" s="30">
        <v>521.9</v>
      </c>
      <c r="C127" s="30">
        <v>394.84700739744443</v>
      </c>
      <c r="D127" s="30">
        <v>302.72621809744771</v>
      </c>
      <c r="E127" s="30">
        <v>198.51654621529093</v>
      </c>
      <c r="F127" s="30">
        <v>133.95790554414782</v>
      </c>
      <c r="G127" s="30">
        <v>69.438531133581677</v>
      </c>
      <c r="H127" s="31">
        <v>41.473299427844871</v>
      </c>
      <c r="I127" s="9">
        <f t="shared" si="250"/>
        <v>0.52190000000000003</v>
      </c>
      <c r="J127" s="8">
        <f t="shared" si="251"/>
        <v>4.3368598209168097</v>
      </c>
      <c r="K127" s="8">
        <f t="shared" si="252"/>
        <v>4.6890423390281724</v>
      </c>
      <c r="L127" s="8">
        <f t="shared" si="253"/>
        <v>5.0412248571395342</v>
      </c>
      <c r="M127" s="8">
        <f t="shared" si="254"/>
        <v>5.291102330356134</v>
      </c>
      <c r="N127" s="8">
        <f t="shared" si="255"/>
        <v>5.6432848484674967</v>
      </c>
      <c r="O127" s="8">
        <f t="shared" si="256"/>
        <v>5.8931623216840965</v>
      </c>
      <c r="P127" s="11">
        <f t="shared" si="257"/>
        <v>0.54299999999999915</v>
      </c>
      <c r="Q127" s="11">
        <f t="shared" si="258"/>
        <v>2</v>
      </c>
      <c r="R127" s="11">
        <f t="shared" si="259"/>
        <v>0.54300000000000004</v>
      </c>
      <c r="S127" s="12">
        <f t="shared" si="260"/>
        <v>-119</v>
      </c>
      <c r="T127" s="12">
        <f t="shared" si="261"/>
        <v>476</v>
      </c>
      <c r="U127" s="12">
        <f t="shared" si="262"/>
        <v>204</v>
      </c>
      <c r="V127" s="13">
        <f t="shared" si="263"/>
        <v>253</v>
      </c>
      <c r="W127" s="15">
        <f t="shared" si="264"/>
        <v>1.357</v>
      </c>
      <c r="X127" s="35"/>
      <c r="Y127" s="18">
        <f t="shared" si="265"/>
        <v>219.17400000000001</v>
      </c>
      <c r="Z127" s="18">
        <f t="shared" si="266"/>
        <v>168.768</v>
      </c>
      <c r="AA127" s="18">
        <f t="shared" si="267"/>
        <v>64.519000000000005</v>
      </c>
      <c r="AC127" s="23">
        <f t="shared" si="268"/>
        <v>521.89999999999986</v>
      </c>
      <c r="AD127" s="23">
        <f t="shared" si="269"/>
        <v>394.84700739744443</v>
      </c>
      <c r="AE127" s="23">
        <f t="shared" si="270"/>
        <v>302.72621809744771</v>
      </c>
      <c r="AF127" s="23">
        <f t="shared" si="271"/>
        <v>198.51654621529093</v>
      </c>
      <c r="AG127" s="23">
        <f t="shared" si="272"/>
        <v>133.95790554414782</v>
      </c>
      <c r="AH127" s="23">
        <f t="shared" si="273"/>
        <v>69.438531133581677</v>
      </c>
      <c r="AI127" s="23">
        <f t="shared" si="274"/>
        <v>41.473299427844871</v>
      </c>
    </row>
    <row r="128" spans="1:36">
      <c r="A128" s="29">
        <v>376</v>
      </c>
      <c r="B128" s="30">
        <v>512.1</v>
      </c>
      <c r="C128" s="30">
        <v>390.40829003840082</v>
      </c>
      <c r="D128" s="30">
        <v>300.99921630094053</v>
      </c>
      <c r="E128" s="30">
        <v>198.64235841737786</v>
      </c>
      <c r="F128" s="30">
        <v>134.57428170988089</v>
      </c>
      <c r="G128" s="30">
        <v>70.035557986870913</v>
      </c>
      <c r="H128" s="31">
        <v>41.902138337333632</v>
      </c>
      <c r="I128" s="9">
        <f t="shared" si="250"/>
        <v>0.5121</v>
      </c>
      <c r="J128" s="8">
        <f t="shared" si="251"/>
        <v>4.3230457354817009</v>
      </c>
      <c r="K128" s="8">
        <f t="shared" si="252"/>
        <v>4.6752282535930636</v>
      </c>
      <c r="L128" s="8">
        <f t="shared" si="253"/>
        <v>5.0274107717044263</v>
      </c>
      <c r="M128" s="8">
        <f t="shared" si="254"/>
        <v>5.2772882449210261</v>
      </c>
      <c r="N128" s="8">
        <f t="shared" si="255"/>
        <v>5.6294707630323888</v>
      </c>
      <c r="O128" s="8">
        <f t="shared" si="256"/>
        <v>5.8793482362489886</v>
      </c>
      <c r="P128" s="11">
        <f t="shared" si="257"/>
        <v>0.52599999999999592</v>
      </c>
      <c r="Q128" s="11">
        <f t="shared" si="258"/>
        <v>2.0000000000000013</v>
      </c>
      <c r="R128" s="11">
        <f t="shared" si="259"/>
        <v>0.52600000000000002</v>
      </c>
      <c r="S128" s="12">
        <f t="shared" si="260"/>
        <v>-125</v>
      </c>
      <c r="T128" s="12">
        <f t="shared" si="261"/>
        <v>500</v>
      </c>
      <c r="U128" s="12">
        <f t="shared" si="262"/>
        <v>207</v>
      </c>
      <c r="V128" s="13">
        <f t="shared" si="263"/>
        <v>252</v>
      </c>
      <c r="W128" s="15">
        <f t="shared" si="264"/>
        <v>1.379</v>
      </c>
      <c r="X128" s="35"/>
      <c r="Y128" s="18">
        <f t="shared" si="265"/>
        <v>211.101</v>
      </c>
      <c r="Z128" s="18">
        <f t="shared" si="266"/>
        <v>166.42500000000001</v>
      </c>
      <c r="AA128" s="18">
        <f t="shared" si="267"/>
        <v>64.539000000000001</v>
      </c>
      <c r="AC128" s="23">
        <f t="shared" si="268"/>
        <v>512.10000000000014</v>
      </c>
      <c r="AD128" s="23">
        <f t="shared" si="269"/>
        <v>390.40829003840082</v>
      </c>
      <c r="AE128" s="23">
        <f t="shared" si="270"/>
        <v>300.99921630094053</v>
      </c>
      <c r="AF128" s="23">
        <f t="shared" si="271"/>
        <v>198.64235841737786</v>
      </c>
      <c r="AG128" s="23">
        <f t="shared" si="272"/>
        <v>134.57428170988089</v>
      </c>
      <c r="AH128" s="23">
        <f t="shared" si="273"/>
        <v>70.035557986870913</v>
      </c>
      <c r="AI128" s="23">
        <f t="shared" si="274"/>
        <v>41.902138337333632</v>
      </c>
    </row>
    <row r="129" spans="1:36">
      <c r="A129" s="29">
        <v>723</v>
      </c>
      <c r="B129" s="30">
        <v>911.5</v>
      </c>
      <c r="C129" s="30">
        <v>713.26512868073269</v>
      </c>
      <c r="D129" s="30">
        <v>560.80803937653809</v>
      </c>
      <c r="E129" s="30">
        <v>378.68716244287492</v>
      </c>
      <c r="F129" s="30">
        <v>260.32939832444782</v>
      </c>
      <c r="G129" s="30">
        <v>137.52263126131564</v>
      </c>
      <c r="H129" s="31">
        <v>82.823479525078753</v>
      </c>
      <c r="I129" s="9">
        <f t="shared" si="250"/>
        <v>0.91149999999999998</v>
      </c>
      <c r="J129" s="8">
        <f t="shared" si="251"/>
        <v>4.2732328340430454</v>
      </c>
      <c r="K129" s="8">
        <f t="shared" si="252"/>
        <v>4.6254153521544081</v>
      </c>
      <c r="L129" s="8">
        <f t="shared" si="253"/>
        <v>4.9775978702657708</v>
      </c>
      <c r="M129" s="8">
        <f t="shared" si="254"/>
        <v>5.2274753434823706</v>
      </c>
      <c r="N129" s="8">
        <f t="shared" si="255"/>
        <v>5.5796578615937333</v>
      </c>
      <c r="O129" s="8">
        <f t="shared" si="256"/>
        <v>5.8295353348103331</v>
      </c>
      <c r="P129" s="11">
        <f t="shared" si="257"/>
        <v>0.46899999999999764</v>
      </c>
      <c r="Q129" s="11">
        <f t="shared" si="258"/>
        <v>2.0000000000000013</v>
      </c>
      <c r="R129" s="11">
        <f t="shared" si="259"/>
        <v>0.46899999999999997</v>
      </c>
      <c r="S129" s="12">
        <f t="shared" si="260"/>
        <v>-79</v>
      </c>
      <c r="T129" s="12">
        <f t="shared" si="261"/>
        <v>316</v>
      </c>
      <c r="U129" s="12">
        <f t="shared" si="262"/>
        <v>219</v>
      </c>
      <c r="V129" s="13">
        <f t="shared" si="263"/>
        <v>471</v>
      </c>
      <c r="W129" s="15">
        <f t="shared" si="264"/>
        <v>1.46</v>
      </c>
      <c r="X129" s="35"/>
      <c r="Y129" s="18">
        <f t="shared" si="265"/>
        <v>350.69200000000001</v>
      </c>
      <c r="Z129" s="18">
        <f t="shared" si="266"/>
        <v>300.47899999999998</v>
      </c>
      <c r="AA129" s="18">
        <f t="shared" si="267"/>
        <v>122.807</v>
      </c>
      <c r="AC129" s="23">
        <f t="shared" si="268"/>
        <v>911.5</v>
      </c>
      <c r="AD129" s="23">
        <f t="shared" si="269"/>
        <v>713.26512868073269</v>
      </c>
      <c r="AE129" s="23">
        <f t="shared" si="270"/>
        <v>560.80803937653809</v>
      </c>
      <c r="AF129" s="23">
        <f t="shared" si="271"/>
        <v>378.68716244287492</v>
      </c>
      <c r="AG129" s="23">
        <f t="shared" si="272"/>
        <v>260.32939832444782</v>
      </c>
      <c r="AH129" s="23">
        <f t="shared" si="273"/>
        <v>137.52263126131564</v>
      </c>
      <c r="AI129" s="23">
        <f t="shared" si="274"/>
        <v>82.823479525078753</v>
      </c>
    </row>
    <row r="130" spans="1:36">
      <c r="A130" s="29">
        <v>708</v>
      </c>
      <c r="B130" s="30">
        <v>871.7</v>
      </c>
      <c r="C130" s="30">
        <v>690.12139338494023</v>
      </c>
      <c r="D130" s="30">
        <v>547.55025125628151</v>
      </c>
      <c r="E130" s="30">
        <v>373.79931389365356</v>
      </c>
      <c r="F130" s="30">
        <v>258.81828978622332</v>
      </c>
      <c r="G130" s="30">
        <v>137.75284450063214</v>
      </c>
      <c r="H130" s="31">
        <v>83.241023682200165</v>
      </c>
      <c r="I130" s="9">
        <f t="shared" si="250"/>
        <v>0.87170000000000003</v>
      </c>
      <c r="J130" s="8">
        <f t="shared" si="251"/>
        <v>4.2494429614425826</v>
      </c>
      <c r="K130" s="8">
        <f t="shared" si="252"/>
        <v>4.6016254795539444</v>
      </c>
      <c r="L130" s="8">
        <f t="shared" si="253"/>
        <v>4.9538079976653071</v>
      </c>
      <c r="M130" s="8">
        <f t="shared" si="254"/>
        <v>5.2036854708819069</v>
      </c>
      <c r="N130" s="8">
        <f t="shared" si="255"/>
        <v>5.5558679889932696</v>
      </c>
      <c r="O130" s="8">
        <f t="shared" si="256"/>
        <v>5.8057454622098694</v>
      </c>
      <c r="P130" s="11">
        <f t="shared" si="257"/>
        <v>0.4439999999999994</v>
      </c>
      <c r="Q130" s="11">
        <f t="shared" si="258"/>
        <v>2.0000000000000004</v>
      </c>
      <c r="R130" s="11">
        <f t="shared" si="259"/>
        <v>0.44400000000000001</v>
      </c>
      <c r="S130" s="12">
        <f t="shared" si="260"/>
        <v>-87</v>
      </c>
      <c r="T130" s="12">
        <f t="shared" si="261"/>
        <v>348</v>
      </c>
      <c r="U130" s="12">
        <f t="shared" si="262"/>
        <v>225</v>
      </c>
      <c r="V130" s="13">
        <f t="shared" si="263"/>
        <v>461</v>
      </c>
      <c r="W130" s="15">
        <f t="shared" si="264"/>
        <v>1.5009999999999999</v>
      </c>
      <c r="X130" s="35"/>
      <c r="Y130" s="18">
        <f t="shared" si="265"/>
        <v>324.14999999999998</v>
      </c>
      <c r="Z130" s="18">
        <f t="shared" si="266"/>
        <v>288.73200000000003</v>
      </c>
      <c r="AA130" s="18">
        <f t="shared" si="267"/>
        <v>121.065</v>
      </c>
      <c r="AC130" s="23">
        <f t="shared" si="268"/>
        <v>871.70000000000016</v>
      </c>
      <c r="AD130" s="23">
        <f t="shared" si="269"/>
        <v>690.12139338494023</v>
      </c>
      <c r="AE130" s="23">
        <f t="shared" si="270"/>
        <v>547.55025125628151</v>
      </c>
      <c r="AF130" s="23">
        <f t="shared" si="271"/>
        <v>373.79931389365356</v>
      </c>
      <c r="AG130" s="23">
        <f t="shared" si="272"/>
        <v>258.81828978622332</v>
      </c>
      <c r="AH130" s="23">
        <f t="shared" si="273"/>
        <v>137.75284450063214</v>
      </c>
      <c r="AI130" s="23">
        <f t="shared" si="274"/>
        <v>83.241023682200165</v>
      </c>
    </row>
    <row r="131" spans="1:36">
      <c r="A131" s="29">
        <v>706</v>
      </c>
      <c r="B131" s="30">
        <v>862.3</v>
      </c>
      <c r="C131" s="30">
        <v>685.57420494699636</v>
      </c>
      <c r="D131" s="30">
        <v>545.75949367088606</v>
      </c>
      <c r="E131" s="30">
        <v>374.09978308026024</v>
      </c>
      <c r="F131" s="30">
        <v>259.72891566265059</v>
      </c>
      <c r="G131" s="30">
        <v>138.63344051446944</v>
      </c>
      <c r="H131" s="31">
        <v>83.881322957198435</v>
      </c>
      <c r="I131" s="9">
        <f t="shared" si="250"/>
        <v>0.86229999999999996</v>
      </c>
      <c r="J131" s="8">
        <f t="shared" si="251"/>
        <v>4.2405492482826004</v>
      </c>
      <c r="K131" s="8">
        <f t="shared" si="252"/>
        <v>4.5927317663939622</v>
      </c>
      <c r="L131" s="8">
        <f t="shared" si="253"/>
        <v>4.9449142845053249</v>
      </c>
      <c r="M131" s="8">
        <f t="shared" si="254"/>
        <v>5.1947917577219247</v>
      </c>
      <c r="N131" s="8">
        <f t="shared" si="255"/>
        <v>5.5469742758332874</v>
      </c>
      <c r="O131" s="8">
        <f t="shared" si="256"/>
        <v>5.7968517490498872</v>
      </c>
      <c r="P131" s="11">
        <f t="shared" si="257"/>
        <v>0.43499999999999878</v>
      </c>
      <c r="Q131" s="11">
        <f t="shared" si="258"/>
        <v>2.0000000000000009</v>
      </c>
      <c r="R131" s="11">
        <f t="shared" si="259"/>
        <v>0.435</v>
      </c>
      <c r="S131" s="12">
        <f t="shared" si="260"/>
        <v>-90</v>
      </c>
      <c r="T131" s="12">
        <f t="shared" si="261"/>
        <v>360</v>
      </c>
      <c r="U131" s="12">
        <f t="shared" si="262"/>
        <v>227</v>
      </c>
      <c r="V131" s="13">
        <f t="shared" si="263"/>
        <v>460</v>
      </c>
      <c r="W131" s="15">
        <f t="shared" si="264"/>
        <v>1.516</v>
      </c>
      <c r="X131" s="35"/>
      <c r="Y131" s="18">
        <f t="shared" si="265"/>
        <v>316.541</v>
      </c>
      <c r="Z131" s="18">
        <f t="shared" si="266"/>
        <v>286.03100000000001</v>
      </c>
      <c r="AA131" s="18">
        <f t="shared" si="267"/>
        <v>121.095</v>
      </c>
      <c r="AC131" s="23">
        <f t="shared" si="268"/>
        <v>862.29999999999984</v>
      </c>
      <c r="AD131" s="23">
        <f t="shared" si="269"/>
        <v>685.57420494699636</v>
      </c>
      <c r="AE131" s="23">
        <f t="shared" si="270"/>
        <v>545.75949367088606</v>
      </c>
      <c r="AF131" s="23">
        <f t="shared" si="271"/>
        <v>374.09978308026024</v>
      </c>
      <c r="AG131" s="23">
        <f t="shared" si="272"/>
        <v>259.72891566265059</v>
      </c>
      <c r="AH131" s="23">
        <f t="shared" si="273"/>
        <v>138.63344051446944</v>
      </c>
      <c r="AI131" s="23">
        <f t="shared" si="274"/>
        <v>83.881322957198435</v>
      </c>
    </row>
    <row r="132" spans="1:36">
      <c r="A132" s="29">
        <v>706</v>
      </c>
      <c r="B132" s="30">
        <v>857.2</v>
      </c>
      <c r="C132" s="30">
        <v>684.42157558552174</v>
      </c>
      <c r="D132" s="30">
        <v>546.68367346938783</v>
      </c>
      <c r="E132" s="30">
        <v>376.2949956101844</v>
      </c>
      <c r="F132" s="30">
        <v>261.98044009779954</v>
      </c>
      <c r="G132" s="30">
        <v>140.24869109947645</v>
      </c>
      <c r="H132" s="31">
        <v>84.972244250594784</v>
      </c>
      <c r="I132" s="9">
        <f t="shared" si="250"/>
        <v>0.85720000000000007</v>
      </c>
      <c r="J132" s="8">
        <f t="shared" si="251"/>
        <v>4.2314695904306809</v>
      </c>
      <c r="K132" s="8">
        <f t="shared" si="252"/>
        <v>4.5836521085420436</v>
      </c>
      <c r="L132" s="8">
        <f t="shared" si="253"/>
        <v>4.9358346266534063</v>
      </c>
      <c r="M132" s="8">
        <f t="shared" si="254"/>
        <v>5.1857120998700061</v>
      </c>
      <c r="N132" s="8">
        <f t="shared" si="255"/>
        <v>5.5378946179813688</v>
      </c>
      <c r="O132" s="8">
        <f t="shared" si="256"/>
        <v>5.7877720911979686</v>
      </c>
      <c r="P132" s="11">
        <f t="shared" si="257"/>
        <v>0.42599999999999694</v>
      </c>
      <c r="Q132" s="11">
        <f t="shared" si="258"/>
        <v>2.0000000000000013</v>
      </c>
      <c r="R132" s="11">
        <f t="shared" si="259"/>
        <v>0.42599999999999999</v>
      </c>
      <c r="S132" s="12">
        <f t="shared" si="260"/>
        <v>-92</v>
      </c>
      <c r="T132" s="12">
        <f t="shared" si="261"/>
        <v>368</v>
      </c>
      <c r="U132" s="12">
        <f t="shared" si="262"/>
        <v>230</v>
      </c>
      <c r="V132" s="13">
        <f t="shared" si="263"/>
        <v>462</v>
      </c>
      <c r="W132" s="15">
        <f t="shared" si="264"/>
        <v>1.532</v>
      </c>
      <c r="X132" s="35"/>
      <c r="Y132" s="18">
        <f t="shared" si="265"/>
        <v>310.51600000000002</v>
      </c>
      <c r="Z132" s="18">
        <f t="shared" si="266"/>
        <v>284.70299999999997</v>
      </c>
      <c r="AA132" s="18">
        <f t="shared" si="267"/>
        <v>121.732</v>
      </c>
      <c r="AC132" s="23">
        <f t="shared" si="268"/>
        <v>857.20000000000016</v>
      </c>
      <c r="AD132" s="23">
        <f t="shared" si="269"/>
        <v>684.42157558552174</v>
      </c>
      <c r="AE132" s="23">
        <f t="shared" si="270"/>
        <v>546.68367346938783</v>
      </c>
      <c r="AF132" s="23">
        <f t="shared" si="271"/>
        <v>376.2949956101844</v>
      </c>
      <c r="AG132" s="23">
        <f t="shared" si="272"/>
        <v>261.98044009779954</v>
      </c>
      <c r="AH132" s="23">
        <f t="shared" si="273"/>
        <v>140.24869109947645</v>
      </c>
      <c r="AI132" s="23">
        <f t="shared" si="274"/>
        <v>84.972244250594784</v>
      </c>
    </row>
    <row r="133" spans="1:36">
      <c r="A133" s="29">
        <v>1373</v>
      </c>
      <c r="B133" s="30">
        <v>1399.1</v>
      </c>
      <c r="C133" s="30">
        <v>1137.0003611846855</v>
      </c>
      <c r="D133" s="30">
        <v>921.26865671641781</v>
      </c>
      <c r="E133" s="30">
        <v>645.63913244116281</v>
      </c>
      <c r="F133" s="30">
        <v>455.04119687771026</v>
      </c>
      <c r="G133" s="30">
        <v>246.84191954834154</v>
      </c>
      <c r="H133" s="31">
        <v>150.46243188987665</v>
      </c>
      <c r="I133" s="9">
        <f t="shared" si="250"/>
        <v>1.3991</v>
      </c>
      <c r="J133" s="8">
        <f t="shared" si="251"/>
        <v>4.1920095926536707</v>
      </c>
      <c r="K133" s="8">
        <f t="shared" si="252"/>
        <v>4.5441921107650325</v>
      </c>
      <c r="L133" s="8">
        <f t="shared" si="253"/>
        <v>4.8963746288763952</v>
      </c>
      <c r="M133" s="8">
        <f t="shared" si="254"/>
        <v>5.146252102092995</v>
      </c>
      <c r="N133" s="8">
        <f t="shared" si="255"/>
        <v>5.4984346202043577</v>
      </c>
      <c r="O133" s="8">
        <f t="shared" si="256"/>
        <v>5.7483120934209575</v>
      </c>
      <c r="P133" s="11">
        <f t="shared" si="257"/>
        <v>0.38899999999999879</v>
      </c>
      <c r="Q133" s="11">
        <f t="shared" si="258"/>
        <v>2.0000000000000009</v>
      </c>
      <c r="R133" s="11">
        <f t="shared" si="259"/>
        <v>0.38900000000000001</v>
      </c>
      <c r="S133" s="12">
        <f t="shared" si="260"/>
        <v>-62</v>
      </c>
      <c r="T133" s="12">
        <f t="shared" si="261"/>
        <v>248</v>
      </c>
      <c r="U133" s="12">
        <f t="shared" si="262"/>
        <v>241</v>
      </c>
      <c r="V133" s="13">
        <f t="shared" si="263"/>
        <v>783</v>
      </c>
      <c r="W133" s="15">
        <f t="shared" si="264"/>
        <v>1.603</v>
      </c>
      <c r="X133" s="35"/>
      <c r="Y133" s="18">
        <f t="shared" si="265"/>
        <v>477.83100000000002</v>
      </c>
      <c r="Z133" s="18">
        <f t="shared" si="266"/>
        <v>466.22699999999998</v>
      </c>
      <c r="AA133" s="18">
        <f t="shared" si="267"/>
        <v>208.19900000000001</v>
      </c>
      <c r="AC133" s="23">
        <f t="shared" si="268"/>
        <v>1399.0999999999997</v>
      </c>
      <c r="AD133" s="23">
        <f t="shared" si="269"/>
        <v>1137.0003611846855</v>
      </c>
      <c r="AE133" s="23">
        <f t="shared" si="270"/>
        <v>921.26865671641781</v>
      </c>
      <c r="AF133" s="23">
        <f t="shared" si="271"/>
        <v>645.63913244116281</v>
      </c>
      <c r="AG133" s="23">
        <f t="shared" si="272"/>
        <v>455.04119687771026</v>
      </c>
      <c r="AH133" s="23">
        <f t="shared" si="273"/>
        <v>246.84191954834154</v>
      </c>
      <c r="AI133" s="23">
        <f t="shared" si="274"/>
        <v>150.46243188987665</v>
      </c>
    </row>
    <row r="134" spans="1:36">
      <c r="A134" s="29">
        <v>1377</v>
      </c>
      <c r="B134" s="30">
        <v>1367.7</v>
      </c>
      <c r="C134" s="30">
        <v>1112.5542299349243</v>
      </c>
      <c r="D134" s="30">
        <v>902.17678100263868</v>
      </c>
      <c r="E134" s="30">
        <v>632.90143452105519</v>
      </c>
      <c r="F134" s="30">
        <v>446.37728459530035</v>
      </c>
      <c r="G134" s="30">
        <v>242.32813607370662</v>
      </c>
      <c r="H134" s="31">
        <v>147.76361279170271</v>
      </c>
      <c r="I134" s="9">
        <f t="shared" si="250"/>
        <v>1.3677000000000001</v>
      </c>
      <c r="J134" s="8">
        <f t="shared" si="251"/>
        <v>4.189770956346873</v>
      </c>
      <c r="K134" s="8">
        <f t="shared" si="252"/>
        <v>4.5419534744582357</v>
      </c>
      <c r="L134" s="8">
        <f t="shared" si="253"/>
        <v>4.8941359925695984</v>
      </c>
      <c r="M134" s="8">
        <f t="shared" si="254"/>
        <v>5.1440134657861982</v>
      </c>
      <c r="N134" s="8">
        <f t="shared" si="255"/>
        <v>5.4961959838975609</v>
      </c>
      <c r="O134" s="8">
        <f t="shared" si="256"/>
        <v>5.7460734571141607</v>
      </c>
      <c r="P134" s="11">
        <f t="shared" si="257"/>
        <v>0.38699999999999679</v>
      </c>
      <c r="Q134" s="11">
        <f t="shared" si="258"/>
        <v>2.0000000000000013</v>
      </c>
      <c r="R134" s="11">
        <f t="shared" si="259"/>
        <v>0.38700000000000001</v>
      </c>
      <c r="S134" s="12">
        <f t="shared" si="260"/>
        <v>-64</v>
      </c>
      <c r="T134" s="12">
        <f t="shared" si="261"/>
        <v>256</v>
      </c>
      <c r="U134" s="12">
        <f t="shared" si="262"/>
        <v>241</v>
      </c>
      <c r="V134" s="13">
        <f t="shared" si="263"/>
        <v>767</v>
      </c>
      <c r="W134" s="15">
        <f t="shared" si="264"/>
        <v>1.607</v>
      </c>
      <c r="X134" s="35"/>
      <c r="Y134" s="18">
        <f t="shared" si="265"/>
        <v>465.52300000000002</v>
      </c>
      <c r="Z134" s="18">
        <f t="shared" si="266"/>
        <v>455.79899999999998</v>
      </c>
      <c r="AA134" s="18">
        <f t="shared" si="267"/>
        <v>204.04900000000001</v>
      </c>
      <c r="AC134" s="23">
        <f t="shared" si="268"/>
        <v>1367.7000000000003</v>
      </c>
      <c r="AD134" s="23">
        <f t="shared" si="269"/>
        <v>1112.5542299349243</v>
      </c>
      <c r="AE134" s="23">
        <f t="shared" si="270"/>
        <v>902.17678100263868</v>
      </c>
      <c r="AF134" s="23">
        <f t="shared" si="271"/>
        <v>632.90143452105519</v>
      </c>
      <c r="AG134" s="23">
        <f t="shared" si="272"/>
        <v>446.37728459530035</v>
      </c>
      <c r="AH134" s="23">
        <f t="shared" si="273"/>
        <v>242.32813607370662</v>
      </c>
      <c r="AI134" s="23">
        <f t="shared" si="274"/>
        <v>147.76361279170271</v>
      </c>
    </row>
    <row r="135" spans="1:36">
      <c r="A135" s="29">
        <v>1374</v>
      </c>
      <c r="B135" s="30">
        <v>1383.2</v>
      </c>
      <c r="C135" s="30">
        <v>1109.1233071988597</v>
      </c>
      <c r="D135" s="30">
        <v>888.94601542416467</v>
      </c>
      <c r="E135" s="30">
        <v>614.48245224344748</v>
      </c>
      <c r="F135" s="30">
        <v>429.03225806451621</v>
      </c>
      <c r="G135" s="30">
        <v>230.37974683544309</v>
      </c>
      <c r="H135" s="31">
        <v>139.77364591754247</v>
      </c>
      <c r="I135" s="9">
        <f t="shared" si="250"/>
        <v>1.3832</v>
      </c>
      <c r="J135" s="8">
        <f t="shared" si="251"/>
        <v>4.2221960463017192</v>
      </c>
      <c r="K135" s="8">
        <f t="shared" si="252"/>
        <v>4.5743785644130819</v>
      </c>
      <c r="L135" s="8">
        <f t="shared" si="253"/>
        <v>4.9265610825244446</v>
      </c>
      <c r="M135" s="8">
        <f t="shared" si="254"/>
        <v>5.1764385557410444</v>
      </c>
      <c r="N135" s="8">
        <f t="shared" si="255"/>
        <v>5.5286210738524071</v>
      </c>
      <c r="O135" s="8">
        <f t="shared" si="256"/>
        <v>5.7784985470690069</v>
      </c>
      <c r="P135" s="11">
        <f t="shared" si="257"/>
        <v>0.4169999999999966</v>
      </c>
      <c r="Q135" s="11">
        <f t="shared" si="258"/>
        <v>2.0000000000000013</v>
      </c>
      <c r="R135" s="11">
        <f t="shared" si="259"/>
        <v>0.41699999999999998</v>
      </c>
      <c r="S135" s="12">
        <f t="shared" si="260"/>
        <v>-59</v>
      </c>
      <c r="T135" s="12">
        <f t="shared" si="261"/>
        <v>236</v>
      </c>
      <c r="U135" s="12">
        <f t="shared" si="262"/>
        <v>232</v>
      </c>
      <c r="V135" s="13">
        <f t="shared" si="263"/>
        <v>752</v>
      </c>
      <c r="W135" s="15">
        <f t="shared" si="264"/>
        <v>1.5489999999999999</v>
      </c>
      <c r="X135" s="35"/>
      <c r="Y135" s="18">
        <f t="shared" si="265"/>
        <v>494.25400000000002</v>
      </c>
      <c r="Z135" s="18">
        <f t="shared" si="266"/>
        <v>459.91399999999999</v>
      </c>
      <c r="AA135" s="18">
        <f t="shared" si="267"/>
        <v>198.65299999999999</v>
      </c>
      <c r="AC135" s="23">
        <f t="shared" si="268"/>
        <v>1383.2000000000003</v>
      </c>
      <c r="AD135" s="23">
        <f t="shared" si="269"/>
        <v>1109.1233071988597</v>
      </c>
      <c r="AE135" s="23">
        <f t="shared" si="270"/>
        <v>888.94601542416467</v>
      </c>
      <c r="AF135" s="23">
        <f t="shared" si="271"/>
        <v>614.48245224344748</v>
      </c>
      <c r="AG135" s="23">
        <f t="shared" si="272"/>
        <v>429.03225806451621</v>
      </c>
      <c r="AH135" s="23">
        <f t="shared" si="273"/>
        <v>230.37974683544309</v>
      </c>
      <c r="AI135" s="23">
        <f t="shared" si="274"/>
        <v>139.77364591754247</v>
      </c>
    </row>
    <row r="136" spans="1:36" ht="13.5" thickBot="1">
      <c r="A136" s="32">
        <v>1372</v>
      </c>
      <c r="B136" s="33">
        <v>1364.8</v>
      </c>
      <c r="C136" s="33">
        <v>1118.2811361981062</v>
      </c>
      <c r="D136" s="33">
        <v>912.29946524064155</v>
      </c>
      <c r="E136" s="33">
        <v>644.9905482041587</v>
      </c>
      <c r="F136" s="33">
        <v>457.37265415549592</v>
      </c>
      <c r="G136" s="33">
        <v>249.78038067349922</v>
      </c>
      <c r="H136" s="34">
        <v>152.73052820053712</v>
      </c>
      <c r="I136" s="9">
        <f t="shared" si="250"/>
        <v>1.3648</v>
      </c>
      <c r="J136" s="8">
        <f t="shared" si="251"/>
        <v>4.1726029312098607</v>
      </c>
      <c r="K136" s="8">
        <f t="shared" si="252"/>
        <v>4.5247854493212225</v>
      </c>
      <c r="L136" s="8">
        <f t="shared" si="253"/>
        <v>4.8769679674325852</v>
      </c>
      <c r="M136" s="8">
        <f t="shared" si="254"/>
        <v>5.126845440649185</v>
      </c>
      <c r="N136" s="8">
        <f t="shared" si="255"/>
        <v>5.4790279587605477</v>
      </c>
      <c r="O136" s="8">
        <f t="shared" si="256"/>
        <v>5.7289054319771475</v>
      </c>
      <c r="P136" s="11">
        <f t="shared" si="257"/>
        <v>0.37199999999999905</v>
      </c>
      <c r="Q136" s="11">
        <f t="shared" si="258"/>
        <v>2.0000000000000009</v>
      </c>
      <c r="R136" s="11">
        <f t="shared" si="259"/>
        <v>0.372</v>
      </c>
      <c r="S136" s="12">
        <f t="shared" si="260"/>
        <v>-66</v>
      </c>
      <c r="T136" s="12">
        <f t="shared" si="261"/>
        <v>264</v>
      </c>
      <c r="U136" s="12">
        <f t="shared" si="262"/>
        <v>246</v>
      </c>
      <c r="V136" s="13">
        <f t="shared" si="263"/>
        <v>778</v>
      </c>
      <c r="W136" s="15">
        <f t="shared" si="264"/>
        <v>1.64</v>
      </c>
      <c r="X136" s="35"/>
      <c r="Y136" s="18">
        <f t="shared" si="265"/>
        <v>452.50099999999998</v>
      </c>
      <c r="Z136" s="18">
        <f t="shared" si="266"/>
        <v>454.92700000000002</v>
      </c>
      <c r="AA136" s="18">
        <f t="shared" si="267"/>
        <v>207.59200000000001</v>
      </c>
      <c r="AC136" s="23">
        <f t="shared" si="268"/>
        <v>1364.7999999999997</v>
      </c>
      <c r="AD136" s="23">
        <f t="shared" si="269"/>
        <v>1118.2811361981062</v>
      </c>
      <c r="AE136" s="23">
        <f t="shared" si="270"/>
        <v>912.29946524064155</v>
      </c>
      <c r="AF136" s="23">
        <f t="shared" si="271"/>
        <v>644.9905482041587</v>
      </c>
      <c r="AG136" s="23">
        <f t="shared" si="272"/>
        <v>457.37265415549592</v>
      </c>
      <c r="AH136" s="23">
        <f t="shared" si="273"/>
        <v>249.78038067349922</v>
      </c>
      <c r="AI136" s="23">
        <f t="shared" si="274"/>
        <v>152.73052820053712</v>
      </c>
    </row>
    <row r="137" spans="1:36">
      <c r="A137" s="24">
        <f t="shared" ref="A137:W137" si="275">AVERAGE(A125:A128)</f>
        <v>375.25</v>
      </c>
      <c r="B137" s="24">
        <f t="shared" si="275"/>
        <v>568.1</v>
      </c>
      <c r="C137" s="24">
        <f t="shared" si="275"/>
        <v>420.45947374976856</v>
      </c>
      <c r="D137" s="24">
        <f t="shared" si="275"/>
        <v>317.70651061656713</v>
      </c>
      <c r="E137" s="24">
        <f t="shared" si="275"/>
        <v>205.19048800643804</v>
      </c>
      <c r="F137" s="24">
        <f t="shared" si="275"/>
        <v>137.24204713442492</v>
      </c>
      <c r="G137" s="24">
        <f t="shared" si="275"/>
        <v>70.543998067154888</v>
      </c>
      <c r="H137" s="24">
        <f t="shared" si="275"/>
        <v>41.98507355285755</v>
      </c>
      <c r="I137" s="24">
        <f t="shared" si="275"/>
        <v>0.56810000000000005</v>
      </c>
      <c r="J137" s="24">
        <f t="shared" si="275"/>
        <v>4.3672641937083316</v>
      </c>
      <c r="K137" s="24">
        <f t="shared" si="275"/>
        <v>4.7194467118196943</v>
      </c>
      <c r="L137" s="24">
        <f t="shared" si="275"/>
        <v>5.071629229931057</v>
      </c>
      <c r="M137" s="24">
        <f t="shared" si="275"/>
        <v>5.3215067031476568</v>
      </c>
      <c r="N137" s="24">
        <f t="shared" si="275"/>
        <v>5.6736892212590195</v>
      </c>
      <c r="O137" s="24">
        <f t="shared" si="275"/>
        <v>5.9235666944756193</v>
      </c>
      <c r="P137" s="24">
        <f t="shared" si="275"/>
        <v>0.58599999999999786</v>
      </c>
      <c r="Q137" s="24">
        <f t="shared" si="275"/>
        <v>2.0000000000000009</v>
      </c>
      <c r="R137" s="24">
        <f t="shared" si="275"/>
        <v>0.58600000000000008</v>
      </c>
      <c r="S137" s="24">
        <f t="shared" si="275"/>
        <v>-105.5</v>
      </c>
      <c r="T137" s="24">
        <f t="shared" si="275"/>
        <v>422</v>
      </c>
      <c r="U137" s="24">
        <f t="shared" si="275"/>
        <v>197</v>
      </c>
      <c r="V137" s="24">
        <f t="shared" si="275"/>
        <v>266.25</v>
      </c>
      <c r="W137" s="24">
        <f t="shared" si="275"/>
        <v>1.3122500000000001</v>
      </c>
      <c r="X137" s="36">
        <f>SLOPE(W137:W139,A137:A139)</f>
        <v>2.6810489512688962E-4</v>
      </c>
      <c r="Y137" s="24">
        <f>AVERAGE(Y125:Y128)</f>
        <v>250.39374999999998</v>
      </c>
      <c r="Z137" s="24">
        <f>AVERAGE(Z125:Z128)</f>
        <v>180.46449999999999</v>
      </c>
      <c r="AA137" s="24">
        <f>AVERAGE(AA125:AA128)</f>
        <v>66.698000000000008</v>
      </c>
      <c r="AB137"/>
      <c r="AC137" s="24">
        <f t="shared" ref="AC137:AI137" si="276">AVERAGE(AC125:AC128)</f>
        <v>568.09999999999991</v>
      </c>
      <c r="AD137" s="24">
        <f t="shared" si="276"/>
        <v>420.45947374976856</v>
      </c>
      <c r="AE137" s="24">
        <f t="shared" si="276"/>
        <v>317.70651061656713</v>
      </c>
      <c r="AF137" s="24">
        <f t="shared" si="276"/>
        <v>205.19048800643804</v>
      </c>
      <c r="AG137" s="24">
        <f t="shared" si="276"/>
        <v>137.24204713442492</v>
      </c>
      <c r="AH137" s="24">
        <f t="shared" si="276"/>
        <v>70.543998067154888</v>
      </c>
      <c r="AI137" s="24">
        <f t="shared" si="276"/>
        <v>41.98507355285755</v>
      </c>
    </row>
    <row r="138" spans="1:36">
      <c r="A138" s="24">
        <f t="shared" ref="A138:W138" si="277">AVERAGE(A129:A132)</f>
        <v>710.75</v>
      </c>
      <c r="B138" s="24">
        <f t="shared" si="277"/>
        <v>875.67499999999995</v>
      </c>
      <c r="C138" s="24">
        <f t="shared" si="277"/>
        <v>693.34557564954775</v>
      </c>
      <c r="D138" s="24">
        <f t="shared" si="277"/>
        <v>550.20036444327343</v>
      </c>
      <c r="E138" s="24">
        <f t="shared" si="277"/>
        <v>375.72031375674328</v>
      </c>
      <c r="F138" s="24">
        <f t="shared" si="277"/>
        <v>260.21426096778032</v>
      </c>
      <c r="G138" s="24">
        <f t="shared" si="277"/>
        <v>138.53940184397339</v>
      </c>
      <c r="H138" s="24">
        <f t="shared" si="277"/>
        <v>83.729517603768031</v>
      </c>
      <c r="I138" s="24">
        <f t="shared" si="277"/>
        <v>0.87567499999999998</v>
      </c>
      <c r="J138" s="24">
        <f t="shared" si="277"/>
        <v>4.2486736585497278</v>
      </c>
      <c r="K138" s="24">
        <f t="shared" si="277"/>
        <v>4.6008561766610896</v>
      </c>
      <c r="L138" s="24">
        <f t="shared" si="277"/>
        <v>4.9530386947724523</v>
      </c>
      <c r="M138" s="24">
        <f t="shared" si="277"/>
        <v>5.2029161679890521</v>
      </c>
      <c r="N138" s="24">
        <f t="shared" si="277"/>
        <v>5.5550986861004148</v>
      </c>
      <c r="O138" s="24">
        <f t="shared" si="277"/>
        <v>5.8049761593170146</v>
      </c>
      <c r="P138" s="24">
        <f t="shared" si="277"/>
        <v>0.44349999999999823</v>
      </c>
      <c r="Q138" s="24">
        <f t="shared" si="277"/>
        <v>2.0000000000000009</v>
      </c>
      <c r="R138" s="24">
        <f t="shared" si="277"/>
        <v>0.44350000000000001</v>
      </c>
      <c r="S138" s="24">
        <f t="shared" si="277"/>
        <v>-87</v>
      </c>
      <c r="T138" s="24">
        <f t="shared" si="277"/>
        <v>348</v>
      </c>
      <c r="U138" s="24">
        <f t="shared" si="277"/>
        <v>225.25</v>
      </c>
      <c r="V138" s="24">
        <f t="shared" si="277"/>
        <v>463.5</v>
      </c>
      <c r="W138" s="24">
        <f t="shared" si="277"/>
        <v>1.5022500000000001</v>
      </c>
      <c r="X138" s="24"/>
      <c r="Y138" s="24">
        <f>AVERAGE(Y129:Y132)</f>
        <v>325.47475000000003</v>
      </c>
      <c r="Z138" s="24">
        <f>AVERAGE(Z129:Z132)</f>
        <v>289.98624999999998</v>
      </c>
      <c r="AA138" s="24">
        <f>AVERAGE(AA129:AA132)</f>
        <v>121.67474999999999</v>
      </c>
      <c r="AB138" s="24">
        <f>AC138/AC137</f>
        <v>1.5414099630346774</v>
      </c>
      <c r="AC138" s="24">
        <f t="shared" ref="AC138:AI138" si="278">AVERAGE(AC129:AC132)</f>
        <v>875.67500000000007</v>
      </c>
      <c r="AD138" s="24">
        <f t="shared" si="278"/>
        <v>693.34557564954775</v>
      </c>
      <c r="AE138" s="24">
        <f t="shared" si="278"/>
        <v>550.20036444327343</v>
      </c>
      <c r="AF138" s="24">
        <f t="shared" si="278"/>
        <v>375.72031375674328</v>
      </c>
      <c r="AG138" s="24">
        <f t="shared" si="278"/>
        <v>260.21426096778032</v>
      </c>
      <c r="AH138" s="24">
        <f t="shared" si="278"/>
        <v>138.53940184397339</v>
      </c>
      <c r="AI138" s="24">
        <f t="shared" si="278"/>
        <v>83.729517603768031</v>
      </c>
      <c r="AJ138" s="1">
        <f>AI138/AI137</f>
        <v>1.9942686892844399</v>
      </c>
    </row>
    <row r="139" spans="1:36">
      <c r="A139" s="24">
        <f t="shared" ref="A139:W139" si="279">AVERAGE(A133:A136)</f>
        <v>1374</v>
      </c>
      <c r="B139" s="24">
        <f t="shared" si="279"/>
        <v>1378.7</v>
      </c>
      <c r="C139" s="24">
        <f t="shared" si="279"/>
        <v>1119.239758629144</v>
      </c>
      <c r="D139" s="24">
        <f t="shared" si="279"/>
        <v>906.17272959596562</v>
      </c>
      <c r="E139" s="24">
        <f t="shared" si="279"/>
        <v>634.50339185245605</v>
      </c>
      <c r="F139" s="24">
        <f t="shared" si="279"/>
        <v>446.95584842325565</v>
      </c>
      <c r="G139" s="24">
        <f t="shared" si="279"/>
        <v>242.33254578274762</v>
      </c>
      <c r="H139" s="24">
        <f t="shared" si="279"/>
        <v>147.68255469991473</v>
      </c>
      <c r="I139" s="24">
        <f t="shared" si="279"/>
        <v>1.3787</v>
      </c>
      <c r="J139" s="24">
        <f t="shared" si="279"/>
        <v>4.1941448816280307</v>
      </c>
      <c r="K139" s="24">
        <f t="shared" si="279"/>
        <v>4.5463273997393925</v>
      </c>
      <c r="L139" s="24">
        <f t="shared" si="279"/>
        <v>4.8985099178507552</v>
      </c>
      <c r="M139" s="24">
        <f t="shared" si="279"/>
        <v>5.148387391067355</v>
      </c>
      <c r="N139" s="24">
        <f t="shared" si="279"/>
        <v>5.5005699091787177</v>
      </c>
      <c r="O139" s="24">
        <f t="shared" si="279"/>
        <v>5.7504473823953175</v>
      </c>
      <c r="P139" s="24">
        <f t="shared" si="279"/>
        <v>0.39124999999999777</v>
      </c>
      <c r="Q139" s="24">
        <f t="shared" si="279"/>
        <v>2.0000000000000009</v>
      </c>
      <c r="R139" s="24">
        <f t="shared" si="279"/>
        <v>0.39124999999999999</v>
      </c>
      <c r="S139" s="24">
        <f t="shared" si="279"/>
        <v>-62.75</v>
      </c>
      <c r="T139" s="24">
        <f t="shared" si="279"/>
        <v>251</v>
      </c>
      <c r="U139" s="24">
        <f t="shared" si="279"/>
        <v>240</v>
      </c>
      <c r="V139" s="24">
        <f t="shared" si="279"/>
        <v>770</v>
      </c>
      <c r="W139" s="24">
        <f t="shared" si="279"/>
        <v>1.59975</v>
      </c>
      <c r="X139" s="24"/>
      <c r="Y139" s="24">
        <f>AVERAGE(Y133:Y136)</f>
        <v>472.52725000000004</v>
      </c>
      <c r="Z139" s="24">
        <f>AVERAGE(Z133:Z136)</f>
        <v>459.21675000000005</v>
      </c>
      <c r="AA139" s="24">
        <f>AVERAGE(AA133:AA136)</f>
        <v>204.62325000000001</v>
      </c>
      <c r="AB139" s="24">
        <f>AC139/AC137</f>
        <v>2.4268614680513996</v>
      </c>
      <c r="AC139" s="24">
        <f t="shared" ref="AC139:AI139" si="280">AVERAGE(AC133:AC136)</f>
        <v>1378.6999999999998</v>
      </c>
      <c r="AD139" s="24">
        <f t="shared" si="280"/>
        <v>1119.239758629144</v>
      </c>
      <c r="AE139" s="24">
        <f t="shared" si="280"/>
        <v>906.17272959596562</v>
      </c>
      <c r="AF139" s="24">
        <f t="shared" si="280"/>
        <v>634.50339185245605</v>
      </c>
      <c r="AG139" s="24">
        <f t="shared" si="280"/>
        <v>446.95584842325565</v>
      </c>
      <c r="AH139" s="24">
        <f t="shared" si="280"/>
        <v>242.33254578274762</v>
      </c>
      <c r="AI139" s="24">
        <f t="shared" si="280"/>
        <v>147.68255469991473</v>
      </c>
      <c r="AJ139" s="1">
        <f>AI139/AI137</f>
        <v>3.5175013928220995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98"/>
  <sheetViews>
    <sheetView zoomScaleNormal="55" workbookViewId="0">
      <pane ySplit="2" topLeftCell="A3" activePane="bottomLeft" state="frozen"/>
      <selection pane="bottomLeft" activeCell="B14" sqref="B14:S14"/>
    </sheetView>
  </sheetViews>
  <sheetFormatPr defaultRowHeight="12.75"/>
  <cols>
    <col min="1" max="8" width="9.140625" style="1"/>
    <col min="9" max="9" width="6.7109375" style="2" customWidth="1"/>
    <col min="10" max="17" width="6.7109375" style="1" customWidth="1"/>
    <col min="18" max="18" width="13.42578125" style="1" customWidth="1"/>
    <col min="19" max="19" width="14.42578125" style="1" customWidth="1"/>
    <col min="20" max="21" width="7.7109375" style="1" customWidth="1"/>
    <col min="22" max="22" width="8.85546875" style="1" customWidth="1"/>
    <col min="23" max="23" width="6.7109375" style="1" customWidth="1"/>
    <col min="24" max="24" width="7.5703125" style="1" customWidth="1"/>
    <col min="25" max="26" width="7.42578125" style="1" customWidth="1"/>
    <col min="27" max="16384" width="9.140625" style="1"/>
  </cols>
  <sheetData>
    <row r="1" spans="1:28" ht="18" customHeight="1">
      <c r="B1" s="3">
        <v>0</v>
      </c>
      <c r="C1" s="4">
        <v>200</v>
      </c>
      <c r="D1" s="4">
        <v>300</v>
      </c>
      <c r="E1" s="4">
        <v>450</v>
      </c>
      <c r="F1" s="4">
        <v>600</v>
      </c>
      <c r="G1" s="4">
        <v>900</v>
      </c>
      <c r="H1" s="4">
        <v>1200</v>
      </c>
      <c r="I1" s="14">
        <v>0</v>
      </c>
      <c r="J1" s="7">
        <f t="shared" ref="J1:O1" si="0">LOG10(C1)</f>
        <v>2.3010299956639813</v>
      </c>
      <c r="K1" s="7">
        <f t="shared" si="0"/>
        <v>2.4771212547196626</v>
      </c>
      <c r="L1" s="7">
        <f t="shared" si="0"/>
        <v>2.6532125137753435</v>
      </c>
      <c r="M1" s="7">
        <f t="shared" si="0"/>
        <v>2.7781512503836434</v>
      </c>
      <c r="N1" s="7">
        <f t="shared" si="0"/>
        <v>2.9542425094393248</v>
      </c>
      <c r="O1" s="7">
        <f t="shared" si="0"/>
        <v>3.0791812460476247</v>
      </c>
      <c r="P1" s="4"/>
      <c r="Q1" s="4"/>
      <c r="R1" s="4"/>
      <c r="S1" s="4"/>
    </row>
    <row r="2" spans="1:28" ht="17.25" customHeight="1" thickBot="1">
      <c r="A2" s="1" t="s">
        <v>18</v>
      </c>
      <c r="B2" s="17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7" t="s">
        <v>0</v>
      </c>
      <c r="J2" s="16" t="s">
        <v>1</v>
      </c>
      <c r="K2" s="16" t="s">
        <v>2</v>
      </c>
      <c r="L2" s="16" t="s">
        <v>3</v>
      </c>
      <c r="M2" s="16" t="s">
        <v>4</v>
      </c>
      <c r="N2" s="16" t="s">
        <v>5</v>
      </c>
      <c r="O2" s="16" t="s">
        <v>6</v>
      </c>
      <c r="P2" s="10" t="s">
        <v>9</v>
      </c>
      <c r="Q2" s="10" t="s">
        <v>8</v>
      </c>
      <c r="R2" s="10" t="s">
        <v>10</v>
      </c>
      <c r="S2" s="10" t="s">
        <v>15</v>
      </c>
      <c r="T2" s="10" t="s">
        <v>7</v>
      </c>
      <c r="U2" s="10" t="s">
        <v>12</v>
      </c>
      <c r="V2" s="10" t="s">
        <v>11</v>
      </c>
      <c r="W2" s="10" t="s">
        <v>13</v>
      </c>
      <c r="X2" s="10" t="s">
        <v>14</v>
      </c>
      <c r="Y2" s="10" t="s">
        <v>16</v>
      </c>
      <c r="Z2" s="10" t="s">
        <v>17</v>
      </c>
      <c r="AA2" s="10" t="s">
        <v>19</v>
      </c>
      <c r="AB2" s="10" t="s">
        <v>20</v>
      </c>
    </row>
    <row r="3" spans="1:28" ht="13.5" thickBot="1">
      <c r="A3" s="33">
        <v>26.7057</v>
      </c>
      <c r="B3" s="27">
        <v>393.5</v>
      </c>
      <c r="C3" s="27">
        <v>350.87516512549536</v>
      </c>
      <c r="D3" s="27">
        <v>309.03141361256547</v>
      </c>
      <c r="E3" s="27">
        <v>243.65325077399382</v>
      </c>
      <c r="F3" s="27">
        <v>187.97770700636943</v>
      </c>
      <c r="G3" s="27">
        <v>113.72832369942196</v>
      </c>
      <c r="H3" s="28">
        <v>73.232009925558316</v>
      </c>
      <c r="I3" s="9">
        <f t="shared" ref="I3:I14" si="1">B3/1000</f>
        <v>0.39350000000000002</v>
      </c>
      <c r="J3" s="8">
        <f t="shared" ref="J3:J14" si="2">LOG10((((3*150*150)*B3)/C3)-((3*150*150)))</f>
        <v>3.9138138523837167</v>
      </c>
      <c r="K3" s="8">
        <f t="shared" ref="K3:K14" si="3">LOG10((((3*150*150)*B3)/D3)-((3*150*150)))</f>
        <v>4.2659963704950785</v>
      </c>
      <c r="L3" s="8">
        <f t="shared" ref="L3:L14" si="4">LOG10((((3*150*150)*B3)/E3)-((3*150*150)))</f>
        <v>4.6181788886064421</v>
      </c>
      <c r="M3" s="8">
        <f t="shared" ref="M3:M14" si="5">LOG10((((3*150*150)*B3)/F3)-((3*150*150)))</f>
        <v>4.8680563618230419</v>
      </c>
      <c r="N3" s="8">
        <f t="shared" ref="N3:N14" si="6">LOG10((((3*150*150)*B3)/G3)-((3*150*150)))</f>
        <v>5.2202388799344037</v>
      </c>
      <c r="O3" s="8">
        <f t="shared" ref="O3:O14" si="7">LOG10((((3*150*150)*B3)/H3)-((3*150*150)))</f>
        <v>5.4701163531510035</v>
      </c>
      <c r="P3" s="11">
        <f t="shared" ref="P3:P14" si="8">10^(INTERCEPT(J3:O3,$J$1:$O$1))</f>
        <v>0.20499999999999952</v>
      </c>
      <c r="Q3" s="11">
        <f t="shared" ref="Q3:Q14" si="9">LINEST(J3:O3,$J$1:$O$1)</f>
        <v>2.0000000000000004</v>
      </c>
      <c r="R3" s="11">
        <f t="shared" ref="R3:R14" si="10">ROUND(10^((SUM(J3:N3)-2*SUM($J$1:$N$1))/5),3)</f>
        <v>0.20499999999999999</v>
      </c>
      <c r="S3" s="12">
        <f>ROUND(-2*((150^2)/(R3*I3))/1000,0)</f>
        <v>-558</v>
      </c>
      <c r="T3" s="12">
        <f t="shared" ref="T3:T14" si="11">-4*S3</f>
        <v>2232</v>
      </c>
      <c r="U3" s="12">
        <f t="shared" ref="U3:U14" si="12">ROUND(150/(R3^0.5),0)</f>
        <v>331</v>
      </c>
      <c r="V3" s="13">
        <f t="shared" ref="V3:V14" si="13">ROUND(150*I3*ATAN((1800*SQRT(3*R3))/(3*150))*SQRT(3/(R3)),0)</f>
        <v>285</v>
      </c>
      <c r="W3" s="15">
        <f t="shared" ref="W3:W14" si="14">ROUND(1/SQRT(R3),3)</f>
        <v>2.2090000000000001</v>
      </c>
      <c r="X3" s="18">
        <f t="shared" ref="X3:X14" si="15">ROUND(B3-D3,3)</f>
        <v>84.468999999999994</v>
      </c>
      <c r="Y3" s="18">
        <f t="shared" ref="Y3:Y14" si="16">ROUND(D3-F3,3)</f>
        <v>121.054</v>
      </c>
      <c r="Z3" s="18">
        <f t="shared" ref="Z3:Z14" si="17">ROUND(F3-G3,3)</f>
        <v>74.248999999999995</v>
      </c>
      <c r="AA3" s="37">
        <f>ROUND(A3/(150*150*PI())*1000,2)</f>
        <v>0.38</v>
      </c>
      <c r="AB3" s="4">
        <f>ROUND(SQRT(A3*1000/(0.71*PI())),0)</f>
        <v>109</v>
      </c>
    </row>
    <row r="4" spans="1:28" ht="13.5" thickBot="1">
      <c r="A4" s="33">
        <v>26.847000000000001</v>
      </c>
      <c r="B4" s="30">
        <v>370.2</v>
      </c>
      <c r="C4" s="30">
        <v>329.05583355280481</v>
      </c>
      <c r="D4" s="30">
        <v>288.91779396462016</v>
      </c>
      <c r="E4" s="30">
        <v>226.69932639314143</v>
      </c>
      <c r="F4" s="30">
        <v>174.18444165621077</v>
      </c>
      <c r="G4" s="30">
        <v>104.81313703284256</v>
      </c>
      <c r="H4" s="31">
        <v>67.292777508482786</v>
      </c>
      <c r="I4" s="9">
        <f t="shared" si="1"/>
        <v>0.37019999999999997</v>
      </c>
      <c r="J4" s="8">
        <f t="shared" si="2"/>
        <v>3.926342446625656</v>
      </c>
      <c r="K4" s="8">
        <f t="shared" si="3"/>
        <v>4.2785249647370183</v>
      </c>
      <c r="L4" s="8">
        <f t="shared" si="4"/>
        <v>4.6307074828483801</v>
      </c>
      <c r="M4" s="8">
        <f t="shared" si="5"/>
        <v>4.8805849560649799</v>
      </c>
      <c r="N4" s="8">
        <f t="shared" si="6"/>
        <v>5.2327674741763426</v>
      </c>
      <c r="O4" s="8">
        <f t="shared" si="7"/>
        <v>5.4826449473929424</v>
      </c>
      <c r="P4" s="11">
        <f t="shared" si="8"/>
        <v>0.21100000000000019</v>
      </c>
      <c r="Q4" s="11">
        <f t="shared" si="9"/>
        <v>1.9999999999999996</v>
      </c>
      <c r="R4" s="11">
        <f t="shared" si="10"/>
        <v>0.21099999999999999</v>
      </c>
      <c r="S4" s="12">
        <f t="shared" ref="S4:S67" si="18">ROUND(-2*((150^2)/(R4*I4))/1000,0)</f>
        <v>-576</v>
      </c>
      <c r="T4" s="12">
        <f t="shared" si="11"/>
        <v>2304</v>
      </c>
      <c r="U4" s="12">
        <f t="shared" si="12"/>
        <v>327</v>
      </c>
      <c r="V4" s="13">
        <f t="shared" si="13"/>
        <v>265</v>
      </c>
      <c r="W4" s="15">
        <f t="shared" si="14"/>
        <v>2.177</v>
      </c>
      <c r="X4" s="18">
        <f t="shared" si="15"/>
        <v>81.281999999999996</v>
      </c>
      <c r="Y4" s="18">
        <f t="shared" si="16"/>
        <v>114.733</v>
      </c>
      <c r="Z4" s="18">
        <f t="shared" si="17"/>
        <v>69.370999999999995</v>
      </c>
      <c r="AA4" s="37">
        <f t="shared" ref="AA4:AA67" si="19">ROUND(A4/(150*150*PI())*1000,2)</f>
        <v>0.38</v>
      </c>
      <c r="AB4" s="4">
        <f t="shared" ref="AB4:AB67" si="20">ROUND(SQRT(A4*1000/(0.71*PI())),0)</f>
        <v>110</v>
      </c>
    </row>
    <row r="5" spans="1:28" ht="13.5" thickBot="1">
      <c r="A5" s="33">
        <v>27.058949999999999</v>
      </c>
      <c r="B5" s="30">
        <v>365</v>
      </c>
      <c r="C5" s="30">
        <v>325.29046738843414</v>
      </c>
      <c r="D5" s="30">
        <v>286.34937238493723</v>
      </c>
      <c r="E5" s="30">
        <v>225.58714462299136</v>
      </c>
      <c r="F5" s="30">
        <v>173.91994917407877</v>
      </c>
      <c r="G5" s="30">
        <v>105.12672811059907</v>
      </c>
      <c r="H5" s="31">
        <v>67.65941670785962</v>
      </c>
      <c r="I5" s="9">
        <f t="shared" si="1"/>
        <v>0.36499999999999999</v>
      </c>
      <c r="J5" s="8">
        <f t="shared" si="2"/>
        <v>3.9159272116971158</v>
      </c>
      <c r="K5" s="8">
        <f t="shared" si="3"/>
        <v>4.2681097298084785</v>
      </c>
      <c r="L5" s="8">
        <f t="shared" si="4"/>
        <v>4.6202922479198412</v>
      </c>
      <c r="M5" s="8">
        <f t="shared" si="5"/>
        <v>4.870169721136441</v>
      </c>
      <c r="N5" s="8">
        <f t="shared" si="6"/>
        <v>5.2223522392478028</v>
      </c>
      <c r="O5" s="8">
        <f t="shared" si="7"/>
        <v>5.4722297124644026</v>
      </c>
      <c r="P5" s="11">
        <f t="shared" si="8"/>
        <v>0.20599999999999991</v>
      </c>
      <c r="Q5" s="11">
        <f t="shared" si="9"/>
        <v>2.0000000000000004</v>
      </c>
      <c r="R5" s="11">
        <f t="shared" si="10"/>
        <v>0.20599999999999999</v>
      </c>
      <c r="S5" s="12">
        <f t="shared" si="18"/>
        <v>-598</v>
      </c>
      <c r="T5" s="12">
        <f t="shared" si="11"/>
        <v>2392</v>
      </c>
      <c r="U5" s="12">
        <f t="shared" si="12"/>
        <v>330</v>
      </c>
      <c r="V5" s="13">
        <f t="shared" si="13"/>
        <v>264</v>
      </c>
      <c r="W5" s="15">
        <f t="shared" si="14"/>
        <v>2.2029999999999998</v>
      </c>
      <c r="X5" s="18">
        <f t="shared" si="15"/>
        <v>78.650999999999996</v>
      </c>
      <c r="Y5" s="18">
        <f t="shared" si="16"/>
        <v>112.429</v>
      </c>
      <c r="Z5" s="18">
        <f t="shared" si="17"/>
        <v>68.793000000000006</v>
      </c>
      <c r="AA5" s="37">
        <f t="shared" si="19"/>
        <v>0.38</v>
      </c>
      <c r="AB5" s="4">
        <f t="shared" si="20"/>
        <v>110</v>
      </c>
    </row>
    <row r="6" spans="1:28" ht="13.5" thickBot="1">
      <c r="A6" s="33">
        <v>27.058949999999999</v>
      </c>
      <c r="B6" s="30">
        <v>363</v>
      </c>
      <c r="C6" s="30">
        <v>323.50805386849748</v>
      </c>
      <c r="D6" s="30">
        <v>284.78033472803349</v>
      </c>
      <c r="E6" s="30">
        <v>224.35105067985168</v>
      </c>
      <c r="F6" s="30">
        <v>172.96696315120712</v>
      </c>
      <c r="G6" s="30">
        <v>104.55069124423963</v>
      </c>
      <c r="H6" s="31">
        <v>67.288680177953538</v>
      </c>
      <c r="I6" s="9">
        <f t="shared" si="1"/>
        <v>0.36299999999999999</v>
      </c>
      <c r="J6" s="8">
        <f t="shared" si="2"/>
        <v>3.9159272116971158</v>
      </c>
      <c r="K6" s="8">
        <f t="shared" si="3"/>
        <v>4.2681097298084785</v>
      </c>
      <c r="L6" s="8">
        <f t="shared" si="4"/>
        <v>4.6202922479198412</v>
      </c>
      <c r="M6" s="8">
        <f t="shared" si="5"/>
        <v>4.870169721136441</v>
      </c>
      <c r="N6" s="8">
        <f t="shared" si="6"/>
        <v>5.2223522392478028</v>
      </c>
      <c r="O6" s="8">
        <f t="shared" si="7"/>
        <v>5.4722297124644035</v>
      </c>
      <c r="P6" s="11">
        <f t="shared" si="8"/>
        <v>0.20599999999999949</v>
      </c>
      <c r="Q6" s="11">
        <f t="shared" si="9"/>
        <v>2.0000000000000004</v>
      </c>
      <c r="R6" s="11">
        <f t="shared" si="10"/>
        <v>0.20599999999999999</v>
      </c>
      <c r="S6" s="12">
        <f t="shared" si="18"/>
        <v>-602</v>
      </c>
      <c r="T6" s="12">
        <f t="shared" si="11"/>
        <v>2408</v>
      </c>
      <c r="U6" s="12">
        <f t="shared" si="12"/>
        <v>330</v>
      </c>
      <c r="V6" s="13">
        <f t="shared" si="13"/>
        <v>262</v>
      </c>
      <c r="W6" s="15">
        <f t="shared" si="14"/>
        <v>2.2029999999999998</v>
      </c>
      <c r="X6" s="18">
        <f t="shared" si="15"/>
        <v>78.22</v>
      </c>
      <c r="Y6" s="18">
        <f t="shared" si="16"/>
        <v>111.813</v>
      </c>
      <c r="Z6" s="18">
        <f t="shared" si="17"/>
        <v>68.415999999999997</v>
      </c>
      <c r="AA6" s="37">
        <f t="shared" si="19"/>
        <v>0.38</v>
      </c>
      <c r="AB6" s="4">
        <f t="shared" si="20"/>
        <v>110</v>
      </c>
    </row>
    <row r="7" spans="1:28" ht="13.5" thickBot="1">
      <c r="A7" s="33">
        <v>51.150599999999997</v>
      </c>
      <c r="B7" s="30">
        <v>640.79999999999995</v>
      </c>
      <c r="C7" s="30">
        <v>575.9520639147803</v>
      </c>
      <c r="D7" s="30">
        <v>511.27659574468083</v>
      </c>
      <c r="E7" s="30">
        <v>408.15286624203821</v>
      </c>
      <c r="F7" s="30">
        <v>318.27814569536423</v>
      </c>
      <c r="G7" s="30">
        <v>195.36585365853659</v>
      </c>
      <c r="H7" s="31">
        <v>126.80738786279683</v>
      </c>
      <c r="I7" s="9">
        <f t="shared" si="1"/>
        <v>0.64079999999999993</v>
      </c>
      <c r="J7" s="8">
        <f t="shared" si="2"/>
        <v>3.8808135922807914</v>
      </c>
      <c r="K7" s="8">
        <f t="shared" si="3"/>
        <v>4.2329961103921541</v>
      </c>
      <c r="L7" s="8">
        <f t="shared" si="4"/>
        <v>4.5851786285035168</v>
      </c>
      <c r="M7" s="8">
        <f t="shared" si="5"/>
        <v>4.8350561017201166</v>
      </c>
      <c r="N7" s="8">
        <f t="shared" si="6"/>
        <v>5.1872386198314784</v>
      </c>
      <c r="O7" s="8">
        <f t="shared" si="7"/>
        <v>5.4371160930480782</v>
      </c>
      <c r="P7" s="11">
        <f t="shared" si="8"/>
        <v>0.18999999999999992</v>
      </c>
      <c r="Q7" s="11">
        <f t="shared" si="9"/>
        <v>2.0000000000000004</v>
      </c>
      <c r="R7" s="11">
        <f t="shared" si="10"/>
        <v>0.19</v>
      </c>
      <c r="S7" s="12">
        <f t="shared" si="18"/>
        <v>-370</v>
      </c>
      <c r="T7" s="12">
        <f t="shared" si="11"/>
        <v>1480</v>
      </c>
      <c r="U7" s="12">
        <f t="shared" si="12"/>
        <v>344</v>
      </c>
      <c r="V7" s="13">
        <f t="shared" si="13"/>
        <v>478</v>
      </c>
      <c r="W7" s="15">
        <f t="shared" si="14"/>
        <v>2.294</v>
      </c>
      <c r="X7" s="18">
        <f t="shared" si="15"/>
        <v>129.523</v>
      </c>
      <c r="Y7" s="18">
        <f t="shared" si="16"/>
        <v>192.99799999999999</v>
      </c>
      <c r="Z7" s="18">
        <f t="shared" si="17"/>
        <v>122.91200000000001</v>
      </c>
      <c r="AA7" s="37">
        <f t="shared" si="19"/>
        <v>0.72</v>
      </c>
      <c r="AB7" s="4">
        <f t="shared" si="20"/>
        <v>151</v>
      </c>
    </row>
    <row r="8" spans="1:28" ht="13.5" thickBot="1">
      <c r="A8" s="33">
        <v>50.514749999999999</v>
      </c>
      <c r="B8" s="30">
        <v>618.5</v>
      </c>
      <c r="C8" s="30">
        <v>555.90878828229029</v>
      </c>
      <c r="D8" s="30">
        <v>493.4840425531915</v>
      </c>
      <c r="E8" s="30">
        <v>393.94904458598728</v>
      </c>
      <c r="F8" s="30">
        <v>307.20198675496687</v>
      </c>
      <c r="G8" s="30">
        <v>188.5670731707317</v>
      </c>
      <c r="H8" s="31">
        <v>122.39445910290237</v>
      </c>
      <c r="I8" s="9">
        <f t="shared" si="1"/>
        <v>0.61850000000000005</v>
      </c>
      <c r="J8" s="8">
        <f t="shared" si="2"/>
        <v>3.8808135922807914</v>
      </c>
      <c r="K8" s="8">
        <f t="shared" si="3"/>
        <v>4.2329961103921541</v>
      </c>
      <c r="L8" s="8">
        <f t="shared" si="4"/>
        <v>4.5851786285035168</v>
      </c>
      <c r="M8" s="8">
        <f t="shared" si="5"/>
        <v>4.8350561017201166</v>
      </c>
      <c r="N8" s="8">
        <f t="shared" si="6"/>
        <v>5.1872386198314784</v>
      </c>
      <c r="O8" s="8">
        <f t="shared" si="7"/>
        <v>5.4371160930480782</v>
      </c>
      <c r="P8" s="11">
        <f t="shared" si="8"/>
        <v>0.18999999999999992</v>
      </c>
      <c r="Q8" s="11">
        <f t="shared" si="9"/>
        <v>2.0000000000000004</v>
      </c>
      <c r="R8" s="11">
        <f t="shared" si="10"/>
        <v>0.19</v>
      </c>
      <c r="S8" s="12">
        <f t="shared" si="18"/>
        <v>-383</v>
      </c>
      <c r="T8" s="12">
        <f t="shared" si="11"/>
        <v>1532</v>
      </c>
      <c r="U8" s="12">
        <f t="shared" si="12"/>
        <v>344</v>
      </c>
      <c r="V8" s="13">
        <f t="shared" si="13"/>
        <v>461</v>
      </c>
      <c r="W8" s="15">
        <f t="shared" si="14"/>
        <v>2.294</v>
      </c>
      <c r="X8" s="18">
        <f t="shared" si="15"/>
        <v>125.01600000000001</v>
      </c>
      <c r="Y8" s="18">
        <f t="shared" si="16"/>
        <v>186.28200000000001</v>
      </c>
      <c r="Z8" s="18">
        <f t="shared" si="17"/>
        <v>118.63500000000001</v>
      </c>
      <c r="AA8" s="37">
        <f t="shared" si="19"/>
        <v>0.71</v>
      </c>
      <c r="AB8" s="4">
        <f t="shared" si="20"/>
        <v>150</v>
      </c>
    </row>
    <row r="9" spans="1:28" ht="13.5" thickBot="1">
      <c r="A9" s="33">
        <v>50.302799999999998</v>
      </c>
      <c r="B9" s="30">
        <v>611.20000000000005</v>
      </c>
      <c r="C9" s="30">
        <v>548.76296887470073</v>
      </c>
      <c r="D9" s="30">
        <v>486.62420382165607</v>
      </c>
      <c r="E9" s="30">
        <v>387.81725888324871</v>
      </c>
      <c r="F9" s="30">
        <v>301.97628458498025</v>
      </c>
      <c r="G9" s="30">
        <v>184.98789346246974</v>
      </c>
      <c r="H9" s="31">
        <v>119.93720565149137</v>
      </c>
      <c r="I9" s="9">
        <f t="shared" si="1"/>
        <v>0.61120000000000008</v>
      </c>
      <c r="J9" s="8">
        <f t="shared" si="2"/>
        <v>3.8853612200315122</v>
      </c>
      <c r="K9" s="8">
        <f t="shared" si="3"/>
        <v>4.2375437381428744</v>
      </c>
      <c r="L9" s="8">
        <f t="shared" si="4"/>
        <v>4.5897262562542371</v>
      </c>
      <c r="M9" s="8">
        <f t="shared" si="5"/>
        <v>4.8396037294708369</v>
      </c>
      <c r="N9" s="8">
        <f t="shared" si="6"/>
        <v>5.1917862475821996</v>
      </c>
      <c r="O9" s="8">
        <f t="shared" si="7"/>
        <v>5.4416637207987995</v>
      </c>
      <c r="P9" s="11">
        <f t="shared" si="8"/>
        <v>0.19199999999999981</v>
      </c>
      <c r="Q9" s="11">
        <f t="shared" si="9"/>
        <v>2.0000000000000009</v>
      </c>
      <c r="R9" s="11">
        <f t="shared" si="10"/>
        <v>0.192</v>
      </c>
      <c r="S9" s="12">
        <f t="shared" si="18"/>
        <v>-383</v>
      </c>
      <c r="T9" s="12">
        <f t="shared" si="11"/>
        <v>1532</v>
      </c>
      <c r="U9" s="12">
        <f t="shared" si="12"/>
        <v>342</v>
      </c>
      <c r="V9" s="13">
        <f t="shared" si="13"/>
        <v>454</v>
      </c>
      <c r="W9" s="15">
        <f t="shared" si="14"/>
        <v>2.282</v>
      </c>
      <c r="X9" s="18">
        <f t="shared" si="15"/>
        <v>124.57599999999999</v>
      </c>
      <c r="Y9" s="18">
        <f t="shared" si="16"/>
        <v>184.648</v>
      </c>
      <c r="Z9" s="18">
        <f t="shared" si="17"/>
        <v>116.988</v>
      </c>
      <c r="AA9" s="37">
        <f t="shared" si="19"/>
        <v>0.71</v>
      </c>
      <c r="AB9" s="4">
        <f t="shared" si="20"/>
        <v>150</v>
      </c>
    </row>
    <row r="10" spans="1:28" ht="13.5" thickBot="1">
      <c r="A10" s="33">
        <v>50.161499999999997</v>
      </c>
      <c r="B10" s="30">
        <v>607.20000000000005</v>
      </c>
      <c r="C10" s="30">
        <v>544.5920807866064</v>
      </c>
      <c r="D10" s="30">
        <v>482.41525423728814</v>
      </c>
      <c r="E10" s="30">
        <v>383.81795195954487</v>
      </c>
      <c r="F10" s="30">
        <v>298.42726081258189</v>
      </c>
      <c r="G10" s="30">
        <v>182.45192307692307</v>
      </c>
      <c r="H10" s="31">
        <v>118.16294758692268</v>
      </c>
      <c r="I10" s="9">
        <f t="shared" si="1"/>
        <v>0.60720000000000007</v>
      </c>
      <c r="J10" s="8">
        <f t="shared" si="2"/>
        <v>3.8898617212581885</v>
      </c>
      <c r="K10" s="8">
        <f t="shared" si="3"/>
        <v>4.2420442393695508</v>
      </c>
      <c r="L10" s="8">
        <f t="shared" si="4"/>
        <v>4.5942267574809135</v>
      </c>
      <c r="M10" s="8">
        <f t="shared" si="5"/>
        <v>4.8441042306975133</v>
      </c>
      <c r="N10" s="8">
        <f t="shared" si="6"/>
        <v>5.196286748808876</v>
      </c>
      <c r="O10" s="8">
        <f t="shared" si="7"/>
        <v>5.4461642220254758</v>
      </c>
      <c r="P10" s="11">
        <f t="shared" si="8"/>
        <v>0.19399999999999976</v>
      </c>
      <c r="Q10" s="11">
        <f t="shared" si="9"/>
        <v>2.0000000000000009</v>
      </c>
      <c r="R10" s="11">
        <f t="shared" si="10"/>
        <v>0.19400000000000001</v>
      </c>
      <c r="S10" s="12">
        <f t="shared" si="18"/>
        <v>-382</v>
      </c>
      <c r="T10" s="12">
        <f t="shared" si="11"/>
        <v>1528</v>
      </c>
      <c r="U10" s="12">
        <f t="shared" si="12"/>
        <v>341</v>
      </c>
      <c r="V10" s="13">
        <f t="shared" si="13"/>
        <v>449</v>
      </c>
      <c r="W10" s="15">
        <f t="shared" si="14"/>
        <v>2.27</v>
      </c>
      <c r="X10" s="18">
        <f t="shared" si="15"/>
        <v>124.785</v>
      </c>
      <c r="Y10" s="18">
        <f t="shared" si="16"/>
        <v>183.988</v>
      </c>
      <c r="Z10" s="18">
        <f t="shared" si="17"/>
        <v>115.97499999999999</v>
      </c>
      <c r="AA10" s="37">
        <f t="shared" si="19"/>
        <v>0.71</v>
      </c>
      <c r="AB10" s="4">
        <f t="shared" si="20"/>
        <v>150</v>
      </c>
    </row>
    <row r="11" spans="1:28" ht="13.5" thickBot="1">
      <c r="A11" s="33">
        <v>96.931799999999996</v>
      </c>
      <c r="B11" s="30">
        <v>1012</v>
      </c>
      <c r="C11" s="30">
        <v>922.85868684139427</v>
      </c>
      <c r="D11" s="30">
        <v>831.32530120481931</v>
      </c>
      <c r="E11" s="30">
        <v>679.65077233042314</v>
      </c>
      <c r="F11" s="30">
        <v>541.36947218259627</v>
      </c>
      <c r="G11" s="30">
        <v>342.35453315290931</v>
      </c>
      <c r="H11" s="31">
        <v>226.02739726027397</v>
      </c>
      <c r="I11" s="9">
        <f t="shared" si="1"/>
        <v>1.012</v>
      </c>
      <c r="J11" s="8">
        <f t="shared" si="2"/>
        <v>3.8142475957319202</v>
      </c>
      <c r="K11" s="8">
        <f t="shared" si="3"/>
        <v>4.1664301138432824</v>
      </c>
      <c r="L11" s="8">
        <f t="shared" si="4"/>
        <v>4.5186126319546451</v>
      </c>
      <c r="M11" s="8">
        <f t="shared" si="5"/>
        <v>4.7684901051712449</v>
      </c>
      <c r="N11" s="8">
        <f t="shared" si="6"/>
        <v>5.1206726232826076</v>
      </c>
      <c r="O11" s="8">
        <f t="shared" si="7"/>
        <v>5.3705500964992074</v>
      </c>
      <c r="P11" s="11">
        <f t="shared" si="8"/>
        <v>0.16299999999999973</v>
      </c>
      <c r="Q11" s="11">
        <f t="shared" si="9"/>
        <v>2.0000000000000009</v>
      </c>
      <c r="R11" s="11">
        <f t="shared" si="10"/>
        <v>0.16300000000000001</v>
      </c>
      <c r="S11" s="12">
        <f t="shared" si="18"/>
        <v>-273</v>
      </c>
      <c r="T11" s="12">
        <f t="shared" si="11"/>
        <v>1092</v>
      </c>
      <c r="U11" s="12">
        <f t="shared" si="12"/>
        <v>372</v>
      </c>
      <c r="V11" s="13">
        <f t="shared" si="13"/>
        <v>799</v>
      </c>
      <c r="W11" s="15">
        <f t="shared" si="14"/>
        <v>2.4769999999999999</v>
      </c>
      <c r="X11" s="18">
        <f t="shared" si="15"/>
        <v>180.67500000000001</v>
      </c>
      <c r="Y11" s="18">
        <f t="shared" si="16"/>
        <v>289.95600000000002</v>
      </c>
      <c r="Z11" s="18">
        <f t="shared" si="17"/>
        <v>199.01499999999999</v>
      </c>
      <c r="AA11" s="37">
        <f t="shared" si="19"/>
        <v>1.37</v>
      </c>
      <c r="AB11" s="4">
        <f t="shared" si="20"/>
        <v>208</v>
      </c>
    </row>
    <row r="12" spans="1:28" ht="13.5" thickBot="1">
      <c r="A12" s="33">
        <v>99.40455</v>
      </c>
      <c r="B12" s="30">
        <v>1025.4000000000001</v>
      </c>
      <c r="C12" s="30">
        <v>933.56487725923932</v>
      </c>
      <c r="D12" s="30">
        <v>839.5742358078603</v>
      </c>
      <c r="E12" s="30">
        <v>684.51268357810409</v>
      </c>
      <c r="F12" s="30">
        <v>543.88260254596889</v>
      </c>
      <c r="G12" s="30">
        <v>342.71390374331548</v>
      </c>
      <c r="H12" s="31">
        <v>225.79271873165004</v>
      </c>
      <c r="I12" s="9">
        <f t="shared" si="1"/>
        <v>1.0254000000000001</v>
      </c>
      <c r="J12" s="8">
        <f t="shared" si="2"/>
        <v>3.8221680793680175</v>
      </c>
      <c r="K12" s="8">
        <f t="shared" si="3"/>
        <v>4.1743505974793802</v>
      </c>
      <c r="L12" s="8">
        <f t="shared" si="4"/>
        <v>4.5265331155907429</v>
      </c>
      <c r="M12" s="8">
        <f t="shared" si="5"/>
        <v>4.7764105888073427</v>
      </c>
      <c r="N12" s="8">
        <f t="shared" si="6"/>
        <v>5.1285931069187045</v>
      </c>
      <c r="O12" s="8">
        <f t="shared" si="7"/>
        <v>5.3784705801353043</v>
      </c>
      <c r="P12" s="11">
        <f t="shared" si="8"/>
        <v>0.16599999999999993</v>
      </c>
      <c r="Q12" s="11">
        <f t="shared" si="9"/>
        <v>2.0000000000000004</v>
      </c>
      <c r="R12" s="11">
        <f t="shared" si="10"/>
        <v>0.16600000000000001</v>
      </c>
      <c r="S12" s="12">
        <f t="shared" si="18"/>
        <v>-264</v>
      </c>
      <c r="T12" s="12">
        <f t="shared" si="11"/>
        <v>1056</v>
      </c>
      <c r="U12" s="12">
        <f t="shared" si="12"/>
        <v>368</v>
      </c>
      <c r="V12" s="13">
        <f t="shared" si="13"/>
        <v>804</v>
      </c>
      <c r="W12" s="15">
        <f t="shared" si="14"/>
        <v>2.4540000000000002</v>
      </c>
      <c r="X12" s="18">
        <f t="shared" si="15"/>
        <v>185.82599999999999</v>
      </c>
      <c r="Y12" s="18">
        <f t="shared" si="16"/>
        <v>295.69200000000001</v>
      </c>
      <c r="Z12" s="18">
        <f t="shared" si="17"/>
        <v>201.16900000000001</v>
      </c>
      <c r="AA12" s="37">
        <f t="shared" si="19"/>
        <v>1.41</v>
      </c>
      <c r="AB12" s="4">
        <f t="shared" si="20"/>
        <v>211</v>
      </c>
    </row>
    <row r="13" spans="1:28" ht="13.5" thickBot="1">
      <c r="A13" s="33">
        <v>99.192599999999999</v>
      </c>
      <c r="B13" s="30">
        <v>1020.2</v>
      </c>
      <c r="C13" s="30">
        <v>929.83391844450466</v>
      </c>
      <c r="D13" s="30">
        <v>837.14442013129121</v>
      </c>
      <c r="E13" s="30">
        <v>683.78016085790898</v>
      </c>
      <c r="F13" s="30">
        <v>544.20341394025616</v>
      </c>
      <c r="G13" s="30">
        <v>343.73315363881409</v>
      </c>
      <c r="H13" s="31">
        <v>226.77830468286905</v>
      </c>
      <c r="I13" s="9">
        <f t="shared" si="1"/>
        <v>1.0202</v>
      </c>
      <c r="J13" s="8">
        <f t="shared" si="2"/>
        <v>3.8169038393756591</v>
      </c>
      <c r="K13" s="8">
        <f t="shared" si="3"/>
        <v>4.1690863574870223</v>
      </c>
      <c r="L13" s="8">
        <f t="shared" si="4"/>
        <v>4.521268875598385</v>
      </c>
      <c r="M13" s="8">
        <f t="shared" si="5"/>
        <v>4.7711463488149848</v>
      </c>
      <c r="N13" s="8">
        <f t="shared" si="6"/>
        <v>5.1233288669263475</v>
      </c>
      <c r="O13" s="8">
        <f t="shared" si="7"/>
        <v>5.3732063401429473</v>
      </c>
      <c r="P13" s="11">
        <f t="shared" si="8"/>
        <v>0.16399999999999798</v>
      </c>
      <c r="Q13" s="11">
        <f t="shared" si="9"/>
        <v>2.0000000000000018</v>
      </c>
      <c r="R13" s="11">
        <f t="shared" si="10"/>
        <v>0.16400000000000001</v>
      </c>
      <c r="S13" s="12">
        <f t="shared" si="18"/>
        <v>-269</v>
      </c>
      <c r="T13" s="12">
        <f t="shared" si="11"/>
        <v>1076</v>
      </c>
      <c r="U13" s="12">
        <f t="shared" si="12"/>
        <v>370</v>
      </c>
      <c r="V13" s="13">
        <f t="shared" si="13"/>
        <v>804</v>
      </c>
      <c r="W13" s="15">
        <f t="shared" si="14"/>
        <v>2.4689999999999999</v>
      </c>
      <c r="X13" s="18">
        <f t="shared" si="15"/>
        <v>183.05600000000001</v>
      </c>
      <c r="Y13" s="18">
        <f t="shared" si="16"/>
        <v>292.94099999999997</v>
      </c>
      <c r="Z13" s="18">
        <f t="shared" si="17"/>
        <v>200.47</v>
      </c>
      <c r="AA13" s="37">
        <f t="shared" si="19"/>
        <v>1.4</v>
      </c>
      <c r="AB13" s="4">
        <f t="shared" si="20"/>
        <v>211</v>
      </c>
    </row>
    <row r="14" spans="1:28" ht="13.5" thickBot="1">
      <c r="A14" s="33">
        <v>98.627399999999994</v>
      </c>
      <c r="B14" s="33">
        <v>1016.7</v>
      </c>
      <c r="C14" s="33">
        <v>926.14372469635646</v>
      </c>
      <c r="D14" s="33">
        <v>833.36065573770509</v>
      </c>
      <c r="E14" s="33">
        <v>680.06688963210718</v>
      </c>
      <c r="F14" s="33">
        <v>540.79787234042567</v>
      </c>
      <c r="G14" s="33">
        <v>341.1744966442954</v>
      </c>
      <c r="H14" s="34">
        <v>224.93362831858411</v>
      </c>
      <c r="I14" s="9">
        <f t="shared" si="1"/>
        <v>1.0166999999999999</v>
      </c>
      <c r="J14" s="8">
        <f t="shared" si="2"/>
        <v>3.8195439355418679</v>
      </c>
      <c r="K14" s="8">
        <f t="shared" si="3"/>
        <v>4.171726453653231</v>
      </c>
      <c r="L14" s="8">
        <f t="shared" si="4"/>
        <v>4.5239089717645928</v>
      </c>
      <c r="M14" s="8">
        <f t="shared" si="5"/>
        <v>4.7737864449811935</v>
      </c>
      <c r="N14" s="8">
        <f t="shared" si="6"/>
        <v>5.1259689630925562</v>
      </c>
      <c r="O14" s="8">
        <f t="shared" si="7"/>
        <v>5.375846436309156</v>
      </c>
      <c r="P14" s="11">
        <f t="shared" si="8"/>
        <v>0.16499999999999845</v>
      </c>
      <c r="Q14" s="11">
        <f t="shared" si="9"/>
        <v>2.0000000000000018</v>
      </c>
      <c r="R14" s="11">
        <f t="shared" si="10"/>
        <v>0.16500000000000001</v>
      </c>
      <c r="S14" s="12">
        <f t="shared" si="18"/>
        <v>-268</v>
      </c>
      <c r="T14" s="12">
        <f t="shared" si="11"/>
        <v>1072</v>
      </c>
      <c r="U14" s="12">
        <f t="shared" si="12"/>
        <v>369</v>
      </c>
      <c r="V14" s="13">
        <f t="shared" si="13"/>
        <v>799</v>
      </c>
      <c r="W14" s="15">
        <f t="shared" si="14"/>
        <v>2.4620000000000002</v>
      </c>
      <c r="X14" s="18">
        <f t="shared" si="15"/>
        <v>183.339</v>
      </c>
      <c r="Y14" s="18">
        <f t="shared" si="16"/>
        <v>292.56299999999999</v>
      </c>
      <c r="Z14" s="18">
        <f t="shared" si="17"/>
        <v>199.62299999999999</v>
      </c>
      <c r="AA14" s="37">
        <f t="shared" si="19"/>
        <v>1.4</v>
      </c>
      <c r="AB14" s="4">
        <f t="shared" si="20"/>
        <v>210</v>
      </c>
    </row>
    <row r="15" spans="1:28" ht="13.5" thickBot="1">
      <c r="A15" s="33">
        <v>26.140499999999999</v>
      </c>
      <c r="B15" s="27">
        <v>371.1</v>
      </c>
      <c r="C15" s="27">
        <v>337.13660834454919</v>
      </c>
      <c r="D15" s="27">
        <v>302.5271739130435</v>
      </c>
      <c r="E15" s="27">
        <v>245.76158940397355</v>
      </c>
      <c r="F15" s="27">
        <v>194.63286713286718</v>
      </c>
      <c r="G15" s="27">
        <v>122.07236842105264</v>
      </c>
      <c r="H15" s="28">
        <v>80.208933717579256</v>
      </c>
      <c r="I15" s="9">
        <f t="shared" ref="I15:I26" si="21">B15/1000</f>
        <v>0.37110000000000004</v>
      </c>
      <c r="J15" s="8">
        <f t="shared" ref="J15:J26" si="22">LOG10((((3*150*150)*B15)/C15)-((3*150*150)))</f>
        <v>3.8325089127062353</v>
      </c>
      <c r="K15" s="8">
        <f t="shared" ref="K15:K26" si="23">LOG10((((3*150*150)*B15)/D15)-((3*150*150)))</f>
        <v>4.1846914308175984</v>
      </c>
      <c r="L15" s="8">
        <f t="shared" ref="L15:L26" si="24">LOG10((((3*150*150)*B15)/E15)-((3*150*150)))</f>
        <v>4.5368739489289611</v>
      </c>
      <c r="M15" s="8">
        <f t="shared" ref="M15:M26" si="25">LOG10((((3*150*150)*B15)/F15)-((3*150*150)))</f>
        <v>4.7867514221455609</v>
      </c>
      <c r="N15" s="8">
        <f t="shared" ref="N15:N26" si="26">LOG10((((3*150*150)*B15)/G15)-((3*150*150)))</f>
        <v>5.1389339402569236</v>
      </c>
      <c r="O15" s="8">
        <f t="shared" ref="O15:O26" si="27">LOG10((((3*150*150)*B15)/H15)-((3*150*150)))</f>
        <v>5.3888114134735234</v>
      </c>
      <c r="P15" s="11">
        <f t="shared" ref="P15:P26" si="28">10^(INTERCEPT(J15:O15,$J$1:$O$1))</f>
        <v>0.16999999999999793</v>
      </c>
      <c r="Q15" s="11">
        <f t="shared" ref="Q15:Q26" si="29">LINEST(J15:O15,$J$1:$O$1)</f>
        <v>2.0000000000000018</v>
      </c>
      <c r="R15" s="11">
        <f t="shared" ref="R15:R26" si="30">ROUND(10^((SUM(J15:N15)-2*SUM($J$1:$N$1))/5),3)</f>
        <v>0.17</v>
      </c>
      <c r="S15" s="12">
        <f t="shared" si="18"/>
        <v>-713</v>
      </c>
      <c r="T15" s="12">
        <f t="shared" ref="T15:T26" si="31">-4*S15</f>
        <v>2852</v>
      </c>
      <c r="U15" s="12">
        <f t="shared" ref="U15:U26" si="32">ROUND(150/(R15^0.5),0)</f>
        <v>364</v>
      </c>
      <c r="V15" s="13">
        <f t="shared" ref="V15:V26" si="33">ROUND(150*I15*ATAN((1800*SQRT(3*R15))/(3*150))*SQRT(3/(R15)),0)</f>
        <v>289</v>
      </c>
      <c r="W15" s="15">
        <f t="shared" ref="W15:W26" si="34">ROUND(1/SQRT(R15),3)</f>
        <v>2.4249999999999998</v>
      </c>
      <c r="X15" s="18">
        <f t="shared" ref="X15:X26" si="35">ROUND(B15-D15,3)</f>
        <v>68.572999999999993</v>
      </c>
      <c r="Y15" s="18">
        <f t="shared" ref="Y15:Y26" si="36">ROUND(D15-F15,3)</f>
        <v>107.89400000000001</v>
      </c>
      <c r="Z15" s="18">
        <f t="shared" ref="Z15:Z26" si="37">ROUND(F15-G15,3)</f>
        <v>72.56</v>
      </c>
      <c r="AA15" s="37">
        <f t="shared" si="19"/>
        <v>0.37</v>
      </c>
      <c r="AB15" s="4">
        <f t="shared" si="20"/>
        <v>108</v>
      </c>
    </row>
    <row r="16" spans="1:28" ht="13.5" thickBot="1">
      <c r="A16" s="33">
        <v>25.363350000000001</v>
      </c>
      <c r="B16" s="30">
        <v>353.3</v>
      </c>
      <c r="C16" s="30">
        <v>320.62046248991669</v>
      </c>
      <c r="D16" s="30">
        <v>287.3915401301519</v>
      </c>
      <c r="E16" s="30">
        <v>233.04749340369398</v>
      </c>
      <c r="F16" s="30">
        <v>184.26634214186373</v>
      </c>
      <c r="G16" s="30">
        <v>115.30678851174936</v>
      </c>
      <c r="H16" s="31">
        <v>75.663906339234728</v>
      </c>
      <c r="I16" s="9">
        <f t="shared" si="21"/>
        <v>0.3533</v>
      </c>
      <c r="J16" s="8">
        <f t="shared" si="22"/>
        <v>3.8375884382355103</v>
      </c>
      <c r="K16" s="8">
        <f t="shared" si="23"/>
        <v>4.189770956346873</v>
      </c>
      <c r="L16" s="8">
        <f t="shared" si="24"/>
        <v>4.5419534744582357</v>
      </c>
      <c r="M16" s="8">
        <f t="shared" si="25"/>
        <v>4.7918309476748364</v>
      </c>
      <c r="N16" s="8">
        <f t="shared" si="26"/>
        <v>5.1440134657861982</v>
      </c>
      <c r="O16" s="8">
        <f t="shared" si="27"/>
        <v>5.3938909390027989</v>
      </c>
      <c r="P16" s="11">
        <f t="shared" si="28"/>
        <v>0.1719999999999971</v>
      </c>
      <c r="Q16" s="11">
        <f t="shared" si="29"/>
        <v>2.0000000000000022</v>
      </c>
      <c r="R16" s="11">
        <f t="shared" si="30"/>
        <v>0.17199999999999999</v>
      </c>
      <c r="S16" s="12">
        <f t="shared" si="18"/>
        <v>-741</v>
      </c>
      <c r="T16" s="12">
        <f t="shared" si="31"/>
        <v>2964</v>
      </c>
      <c r="U16" s="12">
        <f t="shared" si="32"/>
        <v>362</v>
      </c>
      <c r="V16" s="13">
        <f t="shared" si="33"/>
        <v>274</v>
      </c>
      <c r="W16" s="15">
        <f t="shared" si="34"/>
        <v>2.411</v>
      </c>
      <c r="X16" s="18">
        <f t="shared" si="35"/>
        <v>65.908000000000001</v>
      </c>
      <c r="Y16" s="18">
        <f t="shared" si="36"/>
        <v>103.125</v>
      </c>
      <c r="Z16" s="18">
        <f t="shared" si="37"/>
        <v>68.959999999999994</v>
      </c>
      <c r="AA16" s="37">
        <f t="shared" si="19"/>
        <v>0.36</v>
      </c>
      <c r="AB16" s="4">
        <f t="shared" si="20"/>
        <v>107</v>
      </c>
    </row>
    <row r="17" spans="1:28" ht="13.5" thickBot="1">
      <c r="A17" s="33">
        <v>25.434000000000001</v>
      </c>
      <c r="B17" s="30">
        <v>346.2</v>
      </c>
      <c r="C17" s="30">
        <v>314.34624697336557</v>
      </c>
      <c r="D17" s="30">
        <v>281.92182410423447</v>
      </c>
      <c r="E17" s="30">
        <v>228.81692002643751</v>
      </c>
      <c r="F17" s="30">
        <v>181.06694560669453</v>
      </c>
      <c r="G17" s="30">
        <v>113.43381389252947</v>
      </c>
      <c r="H17" s="31">
        <v>74.483648881239233</v>
      </c>
      <c r="I17" s="9">
        <f t="shared" si="21"/>
        <v>0.34620000000000001</v>
      </c>
      <c r="J17" s="8">
        <f t="shared" si="22"/>
        <v>3.835056101720117</v>
      </c>
      <c r="K17" s="8">
        <f t="shared" si="23"/>
        <v>4.1872386198314793</v>
      </c>
      <c r="L17" s="8">
        <f t="shared" si="24"/>
        <v>4.5394211379428411</v>
      </c>
      <c r="M17" s="8">
        <f t="shared" si="25"/>
        <v>4.7892986111594409</v>
      </c>
      <c r="N17" s="8">
        <f t="shared" si="26"/>
        <v>5.1414811292708036</v>
      </c>
      <c r="O17" s="8">
        <f t="shared" si="27"/>
        <v>5.3913586024874034</v>
      </c>
      <c r="P17" s="11">
        <f t="shared" si="28"/>
        <v>0.1710000000000004</v>
      </c>
      <c r="Q17" s="11">
        <f t="shared" si="29"/>
        <v>1.9999999999999996</v>
      </c>
      <c r="R17" s="11">
        <f t="shared" si="30"/>
        <v>0.17100000000000001</v>
      </c>
      <c r="S17" s="12">
        <f t="shared" si="18"/>
        <v>-760</v>
      </c>
      <c r="T17" s="12">
        <f t="shared" si="31"/>
        <v>3040</v>
      </c>
      <c r="U17" s="12">
        <f t="shared" si="32"/>
        <v>363</v>
      </c>
      <c r="V17" s="13">
        <f t="shared" si="33"/>
        <v>269</v>
      </c>
      <c r="W17" s="15">
        <f t="shared" si="34"/>
        <v>2.4180000000000001</v>
      </c>
      <c r="X17" s="18">
        <f t="shared" si="35"/>
        <v>64.278000000000006</v>
      </c>
      <c r="Y17" s="18">
        <f t="shared" si="36"/>
        <v>100.855</v>
      </c>
      <c r="Z17" s="18">
        <f t="shared" si="37"/>
        <v>67.632999999999996</v>
      </c>
      <c r="AA17" s="37">
        <f t="shared" si="19"/>
        <v>0.36</v>
      </c>
      <c r="AB17" s="4">
        <f t="shared" si="20"/>
        <v>107</v>
      </c>
    </row>
    <row r="18" spans="1:28" ht="13.5" thickBot="1">
      <c r="A18" s="33">
        <v>25.645949999999999</v>
      </c>
      <c r="B18" s="30">
        <v>347.2</v>
      </c>
      <c r="C18" s="30">
        <v>314.74617244157935</v>
      </c>
      <c r="D18" s="30">
        <v>281.81818181818176</v>
      </c>
      <c r="E18" s="30">
        <v>228.12089356110377</v>
      </c>
      <c r="F18" s="30">
        <v>180.08298755186721</v>
      </c>
      <c r="G18" s="30">
        <v>112.43523316062175</v>
      </c>
      <c r="H18" s="31">
        <v>73.68421052631578</v>
      </c>
      <c r="I18" s="9">
        <f t="shared" si="21"/>
        <v>0.34720000000000001</v>
      </c>
      <c r="J18" s="8">
        <f t="shared" si="22"/>
        <v>3.842609239610562</v>
      </c>
      <c r="K18" s="8">
        <f t="shared" si="23"/>
        <v>4.1947917577219247</v>
      </c>
      <c r="L18" s="8">
        <f t="shared" si="24"/>
        <v>4.5469742758332874</v>
      </c>
      <c r="M18" s="8">
        <f t="shared" si="25"/>
        <v>4.7968517490498872</v>
      </c>
      <c r="N18" s="8">
        <f t="shared" si="26"/>
        <v>5.1490342671612499</v>
      </c>
      <c r="O18" s="8">
        <f t="shared" si="27"/>
        <v>5.3989117403778497</v>
      </c>
      <c r="P18" s="11">
        <f t="shared" si="28"/>
        <v>0.17399999999999882</v>
      </c>
      <c r="Q18" s="11">
        <f t="shared" si="29"/>
        <v>2.0000000000000013</v>
      </c>
      <c r="R18" s="11">
        <f t="shared" si="30"/>
        <v>0.17399999999999999</v>
      </c>
      <c r="S18" s="12">
        <f t="shared" si="18"/>
        <v>-745</v>
      </c>
      <c r="T18" s="12">
        <f t="shared" si="31"/>
        <v>2980</v>
      </c>
      <c r="U18" s="12">
        <f t="shared" si="32"/>
        <v>360</v>
      </c>
      <c r="V18" s="13">
        <f t="shared" si="33"/>
        <v>268</v>
      </c>
      <c r="W18" s="15">
        <f t="shared" si="34"/>
        <v>2.3969999999999998</v>
      </c>
      <c r="X18" s="18">
        <f t="shared" si="35"/>
        <v>65.382000000000005</v>
      </c>
      <c r="Y18" s="18">
        <f t="shared" si="36"/>
        <v>101.735</v>
      </c>
      <c r="Z18" s="18">
        <f t="shared" si="37"/>
        <v>67.647999999999996</v>
      </c>
      <c r="AA18" s="37">
        <f t="shared" si="19"/>
        <v>0.36</v>
      </c>
      <c r="AB18" s="4">
        <f t="shared" si="20"/>
        <v>107</v>
      </c>
    </row>
    <row r="19" spans="1:28" ht="13.5" thickBot="1">
      <c r="A19" s="33">
        <v>48.889800000000001</v>
      </c>
      <c r="B19" s="30">
        <v>606.1</v>
      </c>
      <c r="C19" s="30">
        <v>552.71210483653078</v>
      </c>
      <c r="D19" s="30">
        <v>497.89156626506031</v>
      </c>
      <c r="E19" s="30">
        <v>407.05171255876434</v>
      </c>
      <c r="F19" s="30">
        <v>324.23323823109848</v>
      </c>
      <c r="G19" s="30">
        <v>205.04059539918813</v>
      </c>
      <c r="H19" s="31">
        <v>135.37075640262063</v>
      </c>
      <c r="I19" s="9">
        <f t="shared" si="21"/>
        <v>0.60609999999999997</v>
      </c>
      <c r="J19" s="8">
        <f t="shared" si="22"/>
        <v>3.8142475957319193</v>
      </c>
      <c r="K19" s="8">
        <f t="shared" si="23"/>
        <v>4.1664301138432824</v>
      </c>
      <c r="L19" s="8">
        <f t="shared" si="24"/>
        <v>4.5186126319546451</v>
      </c>
      <c r="M19" s="8">
        <f t="shared" si="25"/>
        <v>4.7684901051712449</v>
      </c>
      <c r="N19" s="8">
        <f t="shared" si="26"/>
        <v>5.1206726232826076</v>
      </c>
      <c r="O19" s="8">
        <f t="shared" si="27"/>
        <v>5.3705500964992074</v>
      </c>
      <c r="P19" s="11">
        <f t="shared" si="28"/>
        <v>0.16299999999999842</v>
      </c>
      <c r="Q19" s="11">
        <f t="shared" si="29"/>
        <v>2.0000000000000018</v>
      </c>
      <c r="R19" s="11">
        <f t="shared" si="30"/>
        <v>0.16300000000000001</v>
      </c>
      <c r="S19" s="12">
        <f t="shared" si="18"/>
        <v>-455</v>
      </c>
      <c r="T19" s="12">
        <f t="shared" si="31"/>
        <v>1820</v>
      </c>
      <c r="U19" s="12">
        <f t="shared" si="32"/>
        <v>372</v>
      </c>
      <c r="V19" s="13">
        <f t="shared" si="33"/>
        <v>479</v>
      </c>
      <c r="W19" s="15">
        <f t="shared" si="34"/>
        <v>2.4769999999999999</v>
      </c>
      <c r="X19" s="18">
        <f t="shared" si="35"/>
        <v>108.208</v>
      </c>
      <c r="Y19" s="18">
        <f t="shared" si="36"/>
        <v>173.65799999999999</v>
      </c>
      <c r="Z19" s="18">
        <f t="shared" si="37"/>
        <v>119.193</v>
      </c>
      <c r="AA19" s="37">
        <f t="shared" si="19"/>
        <v>0.69</v>
      </c>
      <c r="AB19" s="4">
        <f t="shared" si="20"/>
        <v>148</v>
      </c>
    </row>
    <row r="20" spans="1:28" ht="13.5" thickBot="1">
      <c r="A20" s="33">
        <v>50.797350000000002</v>
      </c>
      <c r="B20" s="30">
        <v>614.5</v>
      </c>
      <c r="C20" s="30">
        <v>560.67518248175179</v>
      </c>
      <c r="D20" s="30">
        <v>505.34539473684208</v>
      </c>
      <c r="E20" s="30">
        <v>413.52624495289365</v>
      </c>
      <c r="F20" s="30">
        <v>329.66738197424894</v>
      </c>
      <c r="G20" s="30">
        <v>208.7296195652174</v>
      </c>
      <c r="H20" s="31">
        <v>137.90394973070019</v>
      </c>
      <c r="I20" s="9">
        <f t="shared" si="21"/>
        <v>0.61450000000000005</v>
      </c>
      <c r="J20" s="8">
        <f t="shared" si="22"/>
        <v>3.8115750058705933</v>
      </c>
      <c r="K20" s="8">
        <f t="shared" si="23"/>
        <v>4.163757523981956</v>
      </c>
      <c r="L20" s="8">
        <f t="shared" si="24"/>
        <v>4.5159400420933187</v>
      </c>
      <c r="M20" s="8">
        <f t="shared" si="25"/>
        <v>4.7658175153099185</v>
      </c>
      <c r="N20" s="8">
        <f t="shared" si="26"/>
        <v>5.1180000334212803</v>
      </c>
      <c r="O20" s="8">
        <f t="shared" si="27"/>
        <v>5.367877506637881</v>
      </c>
      <c r="P20" s="11">
        <f t="shared" si="28"/>
        <v>0.16199999999999956</v>
      </c>
      <c r="Q20" s="11">
        <f t="shared" si="29"/>
        <v>2.0000000000000004</v>
      </c>
      <c r="R20" s="11">
        <f t="shared" si="30"/>
        <v>0.16200000000000001</v>
      </c>
      <c r="S20" s="12">
        <f t="shared" si="18"/>
        <v>-452</v>
      </c>
      <c r="T20" s="12">
        <f t="shared" si="31"/>
        <v>1808</v>
      </c>
      <c r="U20" s="12">
        <f t="shared" si="32"/>
        <v>373</v>
      </c>
      <c r="V20" s="13">
        <f t="shared" si="33"/>
        <v>486</v>
      </c>
      <c r="W20" s="15">
        <f t="shared" si="34"/>
        <v>2.4849999999999999</v>
      </c>
      <c r="X20" s="18">
        <f t="shared" si="35"/>
        <v>109.155</v>
      </c>
      <c r="Y20" s="18">
        <f t="shared" si="36"/>
        <v>175.678</v>
      </c>
      <c r="Z20" s="18">
        <f t="shared" si="37"/>
        <v>120.938</v>
      </c>
      <c r="AA20" s="37">
        <f t="shared" si="19"/>
        <v>0.72</v>
      </c>
      <c r="AB20" s="4">
        <f t="shared" si="20"/>
        <v>151</v>
      </c>
    </row>
    <row r="21" spans="1:28" ht="13.5" thickBot="1">
      <c r="A21" s="33">
        <v>50.232149999999997</v>
      </c>
      <c r="B21" s="30">
        <v>603.4</v>
      </c>
      <c r="C21" s="30">
        <v>550.54744525547437</v>
      </c>
      <c r="D21" s="30">
        <v>496.2171052631578</v>
      </c>
      <c r="E21" s="30">
        <v>406.05652759084785</v>
      </c>
      <c r="F21" s="30">
        <v>323.71244635193125</v>
      </c>
      <c r="G21" s="30">
        <v>204.95923913043475</v>
      </c>
      <c r="H21" s="31">
        <v>135.41292639138237</v>
      </c>
      <c r="I21" s="9">
        <f t="shared" si="21"/>
        <v>0.60339999999999994</v>
      </c>
      <c r="J21" s="8">
        <f t="shared" si="22"/>
        <v>3.8115750058705942</v>
      </c>
      <c r="K21" s="8">
        <f t="shared" si="23"/>
        <v>4.163757523981956</v>
      </c>
      <c r="L21" s="8">
        <f t="shared" si="24"/>
        <v>4.5159400420933187</v>
      </c>
      <c r="M21" s="8">
        <f t="shared" si="25"/>
        <v>4.7658175153099185</v>
      </c>
      <c r="N21" s="8">
        <f t="shared" si="26"/>
        <v>5.1180000334212812</v>
      </c>
      <c r="O21" s="8">
        <f t="shared" si="27"/>
        <v>5.367877506637881</v>
      </c>
      <c r="P21" s="11">
        <f t="shared" si="28"/>
        <v>0.16199999999999989</v>
      </c>
      <c r="Q21" s="11">
        <f t="shared" si="29"/>
        <v>2.0000000000000004</v>
      </c>
      <c r="R21" s="11">
        <f t="shared" si="30"/>
        <v>0.16200000000000001</v>
      </c>
      <c r="S21" s="12">
        <f t="shared" si="18"/>
        <v>-460</v>
      </c>
      <c r="T21" s="12">
        <f t="shared" si="31"/>
        <v>1840</v>
      </c>
      <c r="U21" s="12">
        <f t="shared" si="32"/>
        <v>373</v>
      </c>
      <c r="V21" s="13">
        <f t="shared" si="33"/>
        <v>478</v>
      </c>
      <c r="W21" s="15">
        <f t="shared" si="34"/>
        <v>2.4849999999999999</v>
      </c>
      <c r="X21" s="18">
        <f t="shared" si="35"/>
        <v>107.18300000000001</v>
      </c>
      <c r="Y21" s="18">
        <f t="shared" si="36"/>
        <v>172.505</v>
      </c>
      <c r="Z21" s="18">
        <f t="shared" si="37"/>
        <v>118.753</v>
      </c>
      <c r="AA21" s="37">
        <f t="shared" si="19"/>
        <v>0.71</v>
      </c>
      <c r="AB21" s="4">
        <f t="shared" si="20"/>
        <v>150</v>
      </c>
    </row>
    <row r="22" spans="1:28" ht="13.5" thickBot="1">
      <c r="A22" s="33">
        <v>50.302799999999998</v>
      </c>
      <c r="B22" s="30">
        <v>600.29999999999995</v>
      </c>
      <c r="C22" s="30">
        <v>547.71897810218979</v>
      </c>
      <c r="D22" s="30">
        <v>493.66776315789474</v>
      </c>
      <c r="E22" s="30">
        <v>403.97039030955585</v>
      </c>
      <c r="F22" s="30">
        <v>322.04935622317595</v>
      </c>
      <c r="G22" s="30">
        <v>203.90625</v>
      </c>
      <c r="H22" s="31">
        <v>134.71723518850987</v>
      </c>
      <c r="I22" s="9">
        <f t="shared" si="21"/>
        <v>0.60029999999999994</v>
      </c>
      <c r="J22" s="8">
        <f t="shared" si="22"/>
        <v>3.8115750058705933</v>
      </c>
      <c r="K22" s="8">
        <f t="shared" si="23"/>
        <v>4.163757523981956</v>
      </c>
      <c r="L22" s="8">
        <f t="shared" si="24"/>
        <v>4.5159400420933187</v>
      </c>
      <c r="M22" s="8">
        <f t="shared" si="25"/>
        <v>4.7658175153099185</v>
      </c>
      <c r="N22" s="8">
        <f t="shared" si="26"/>
        <v>5.1180000334212803</v>
      </c>
      <c r="O22" s="8">
        <f t="shared" si="27"/>
        <v>5.367877506637881</v>
      </c>
      <c r="P22" s="11">
        <f t="shared" si="28"/>
        <v>0.16199999999999956</v>
      </c>
      <c r="Q22" s="11">
        <f t="shared" si="29"/>
        <v>2.0000000000000004</v>
      </c>
      <c r="R22" s="11">
        <f t="shared" si="30"/>
        <v>0.16200000000000001</v>
      </c>
      <c r="S22" s="12">
        <f t="shared" si="18"/>
        <v>-463</v>
      </c>
      <c r="T22" s="12">
        <f t="shared" si="31"/>
        <v>1852</v>
      </c>
      <c r="U22" s="12">
        <f t="shared" si="32"/>
        <v>373</v>
      </c>
      <c r="V22" s="13">
        <f t="shared" si="33"/>
        <v>475</v>
      </c>
      <c r="W22" s="15">
        <f t="shared" si="34"/>
        <v>2.4849999999999999</v>
      </c>
      <c r="X22" s="18">
        <f t="shared" si="35"/>
        <v>106.63200000000001</v>
      </c>
      <c r="Y22" s="18">
        <f t="shared" si="36"/>
        <v>171.61799999999999</v>
      </c>
      <c r="Z22" s="18">
        <f t="shared" si="37"/>
        <v>118.143</v>
      </c>
      <c r="AA22" s="37">
        <f t="shared" si="19"/>
        <v>0.71</v>
      </c>
      <c r="AB22" s="4">
        <f t="shared" si="20"/>
        <v>150</v>
      </c>
    </row>
    <row r="23" spans="1:28" ht="13.5" thickBot="1">
      <c r="A23" s="33">
        <v>97.285049999999998</v>
      </c>
      <c r="B23" s="30">
        <v>993.8</v>
      </c>
      <c r="C23" s="30">
        <v>917.66757865937063</v>
      </c>
      <c r="D23" s="30">
        <v>837.47191011235941</v>
      </c>
      <c r="E23" s="30">
        <v>699.85915492957736</v>
      </c>
      <c r="F23" s="30">
        <v>568.96946564885491</v>
      </c>
      <c r="G23" s="30">
        <v>370.82089552238801</v>
      </c>
      <c r="H23" s="31">
        <v>249.28093645484947</v>
      </c>
      <c r="I23" s="9">
        <f t="shared" si="21"/>
        <v>0.99379999999999991</v>
      </c>
      <c r="J23" s="8">
        <f t="shared" si="22"/>
        <v>3.7481880270062016</v>
      </c>
      <c r="K23" s="8">
        <f t="shared" si="23"/>
        <v>4.1003705451175634</v>
      </c>
      <c r="L23" s="8">
        <f t="shared" si="24"/>
        <v>4.4525530632289252</v>
      </c>
      <c r="M23" s="8">
        <f t="shared" si="25"/>
        <v>4.702430536445525</v>
      </c>
      <c r="N23" s="8">
        <f t="shared" si="26"/>
        <v>5.0546130545568877</v>
      </c>
      <c r="O23" s="8">
        <f t="shared" si="27"/>
        <v>5.3044905277734875</v>
      </c>
      <c r="P23" s="11">
        <f t="shared" si="28"/>
        <v>0.14000000000000087</v>
      </c>
      <c r="Q23" s="11">
        <f t="shared" si="29"/>
        <v>1.9999999999999993</v>
      </c>
      <c r="R23" s="11">
        <f t="shared" si="30"/>
        <v>0.14000000000000001</v>
      </c>
      <c r="S23" s="12">
        <f t="shared" si="18"/>
        <v>-323</v>
      </c>
      <c r="T23" s="12">
        <f t="shared" si="31"/>
        <v>1292</v>
      </c>
      <c r="U23" s="12">
        <f t="shared" si="32"/>
        <v>401</v>
      </c>
      <c r="V23" s="13">
        <f t="shared" si="33"/>
        <v>830</v>
      </c>
      <c r="W23" s="15">
        <f t="shared" si="34"/>
        <v>2.673</v>
      </c>
      <c r="X23" s="18">
        <f t="shared" si="35"/>
        <v>156.328</v>
      </c>
      <c r="Y23" s="18">
        <f t="shared" si="36"/>
        <v>268.50200000000001</v>
      </c>
      <c r="Z23" s="18">
        <f t="shared" si="37"/>
        <v>198.149</v>
      </c>
      <c r="AA23" s="37">
        <f t="shared" si="19"/>
        <v>1.38</v>
      </c>
      <c r="AB23" s="4">
        <f t="shared" si="20"/>
        <v>209</v>
      </c>
    </row>
    <row r="24" spans="1:28" ht="13.5" thickBot="1">
      <c r="A24" s="33">
        <v>98.768699999999995</v>
      </c>
      <c r="B24" s="30">
        <v>997.9</v>
      </c>
      <c r="C24" s="30">
        <v>918.43809653667847</v>
      </c>
      <c r="D24" s="30">
        <v>835.29575892857144</v>
      </c>
      <c r="E24" s="30">
        <v>693.94993045897081</v>
      </c>
      <c r="F24" s="30">
        <v>561.03823088455772</v>
      </c>
      <c r="G24" s="30">
        <v>362.60901162790697</v>
      </c>
      <c r="H24" s="31">
        <v>242.52268308489954</v>
      </c>
      <c r="I24" s="9">
        <f t="shared" si="21"/>
        <v>0.99790000000000001</v>
      </c>
      <c r="J24" s="8">
        <f t="shared" si="22"/>
        <v>3.7664128471123997</v>
      </c>
      <c r="K24" s="8">
        <f t="shared" si="23"/>
        <v>4.1185953652237624</v>
      </c>
      <c r="L24" s="8">
        <f t="shared" si="24"/>
        <v>4.4707778833351242</v>
      </c>
      <c r="M24" s="8">
        <f t="shared" si="25"/>
        <v>4.720655356551724</v>
      </c>
      <c r="N24" s="8">
        <f t="shared" si="26"/>
        <v>5.0728378746630867</v>
      </c>
      <c r="O24" s="8">
        <f t="shared" si="27"/>
        <v>5.3227153478796865</v>
      </c>
      <c r="P24" s="11">
        <f t="shared" si="28"/>
        <v>0.14599999999999971</v>
      </c>
      <c r="Q24" s="11">
        <f t="shared" si="29"/>
        <v>2</v>
      </c>
      <c r="R24" s="11">
        <f t="shared" si="30"/>
        <v>0.14599999999999999</v>
      </c>
      <c r="S24" s="12">
        <f t="shared" si="18"/>
        <v>-309</v>
      </c>
      <c r="T24" s="12">
        <f t="shared" si="31"/>
        <v>1236</v>
      </c>
      <c r="U24" s="12">
        <f t="shared" si="32"/>
        <v>393</v>
      </c>
      <c r="V24" s="13">
        <f t="shared" si="33"/>
        <v>821</v>
      </c>
      <c r="W24" s="15">
        <f t="shared" si="34"/>
        <v>2.617</v>
      </c>
      <c r="X24" s="18">
        <f t="shared" si="35"/>
        <v>162.60400000000001</v>
      </c>
      <c r="Y24" s="18">
        <f t="shared" si="36"/>
        <v>274.25799999999998</v>
      </c>
      <c r="Z24" s="18">
        <f t="shared" si="37"/>
        <v>198.429</v>
      </c>
      <c r="AA24" s="37">
        <f t="shared" si="19"/>
        <v>1.4</v>
      </c>
      <c r="AB24" s="4">
        <f t="shared" si="20"/>
        <v>210</v>
      </c>
    </row>
    <row r="25" spans="1:28" ht="13.5" thickBot="1">
      <c r="A25" s="33">
        <v>98.274150000000006</v>
      </c>
      <c r="B25" s="30">
        <v>995.3</v>
      </c>
      <c r="C25" s="30">
        <v>916.04513226070333</v>
      </c>
      <c r="D25" s="30">
        <v>833.119419642857</v>
      </c>
      <c r="E25" s="30">
        <v>692.14186369958259</v>
      </c>
      <c r="F25" s="30">
        <v>559.57646176911533</v>
      </c>
      <c r="G25" s="30">
        <v>361.6642441860464</v>
      </c>
      <c r="H25" s="31">
        <v>241.89079714841213</v>
      </c>
      <c r="I25" s="9">
        <f t="shared" si="21"/>
        <v>0.99529999999999996</v>
      </c>
      <c r="J25" s="8">
        <f t="shared" si="22"/>
        <v>3.7664128471124005</v>
      </c>
      <c r="K25" s="8">
        <f t="shared" si="23"/>
        <v>4.1185953652237624</v>
      </c>
      <c r="L25" s="8">
        <f t="shared" si="24"/>
        <v>4.470777883335125</v>
      </c>
      <c r="M25" s="8">
        <f t="shared" si="25"/>
        <v>4.7206553565517249</v>
      </c>
      <c r="N25" s="8">
        <f t="shared" si="26"/>
        <v>5.0728378746630867</v>
      </c>
      <c r="O25" s="8">
        <f t="shared" si="27"/>
        <v>5.3227153478796865</v>
      </c>
      <c r="P25" s="11">
        <f t="shared" si="28"/>
        <v>0.14600000000000091</v>
      </c>
      <c r="Q25" s="11">
        <f t="shared" si="29"/>
        <v>1.9999999999999996</v>
      </c>
      <c r="R25" s="11">
        <f t="shared" si="30"/>
        <v>0.14599999999999999</v>
      </c>
      <c r="S25" s="12">
        <f t="shared" si="18"/>
        <v>-310</v>
      </c>
      <c r="T25" s="12">
        <f t="shared" si="31"/>
        <v>1240</v>
      </c>
      <c r="U25" s="12">
        <f t="shared" si="32"/>
        <v>393</v>
      </c>
      <c r="V25" s="13">
        <f t="shared" si="33"/>
        <v>819</v>
      </c>
      <c r="W25" s="15">
        <f t="shared" si="34"/>
        <v>2.617</v>
      </c>
      <c r="X25" s="18">
        <f t="shared" si="35"/>
        <v>162.18100000000001</v>
      </c>
      <c r="Y25" s="18">
        <f t="shared" si="36"/>
        <v>273.54300000000001</v>
      </c>
      <c r="Z25" s="18">
        <f t="shared" si="37"/>
        <v>197.91200000000001</v>
      </c>
      <c r="AA25" s="37">
        <f t="shared" si="19"/>
        <v>1.39</v>
      </c>
      <c r="AB25" s="4">
        <f t="shared" si="20"/>
        <v>210</v>
      </c>
    </row>
    <row r="26" spans="1:28" ht="13.5" thickBot="1">
      <c r="A26" s="33">
        <v>98.062200000000004</v>
      </c>
      <c r="B26" s="33">
        <v>993.4</v>
      </c>
      <c r="C26" s="33">
        <v>913.7980376124284</v>
      </c>
      <c r="D26" s="33">
        <v>830.60200668896312</v>
      </c>
      <c r="E26" s="33">
        <v>689.38237335183896</v>
      </c>
      <c r="F26" s="33">
        <v>556.83856502242145</v>
      </c>
      <c r="G26" s="33">
        <v>359.40665701881329</v>
      </c>
      <c r="H26" s="34">
        <v>240.18375241779495</v>
      </c>
      <c r="I26" s="9">
        <f t="shared" si="21"/>
        <v>0.99339999999999995</v>
      </c>
      <c r="J26" s="8">
        <f t="shared" si="22"/>
        <v>3.7693773260761385</v>
      </c>
      <c r="K26" s="8">
        <f t="shared" si="23"/>
        <v>4.1215598441875017</v>
      </c>
      <c r="L26" s="8">
        <f t="shared" si="24"/>
        <v>4.4737423622988635</v>
      </c>
      <c r="M26" s="8">
        <f t="shared" si="25"/>
        <v>4.7236198355154633</v>
      </c>
      <c r="N26" s="8">
        <f t="shared" si="26"/>
        <v>5.075802353626826</v>
      </c>
      <c r="O26" s="8">
        <f t="shared" si="27"/>
        <v>5.3256798268434258</v>
      </c>
      <c r="P26" s="11">
        <f t="shared" si="28"/>
        <v>0.14700000000000008</v>
      </c>
      <c r="Q26" s="11">
        <f t="shared" si="29"/>
        <v>2</v>
      </c>
      <c r="R26" s="11">
        <f t="shared" si="30"/>
        <v>0.14699999999999999</v>
      </c>
      <c r="S26" s="12">
        <f t="shared" si="18"/>
        <v>-308</v>
      </c>
      <c r="T26" s="12">
        <f t="shared" si="31"/>
        <v>1232</v>
      </c>
      <c r="U26" s="12">
        <f t="shared" si="32"/>
        <v>391</v>
      </c>
      <c r="V26" s="13">
        <f t="shared" si="33"/>
        <v>815</v>
      </c>
      <c r="W26" s="15">
        <f t="shared" si="34"/>
        <v>2.6080000000000001</v>
      </c>
      <c r="X26" s="18">
        <f t="shared" si="35"/>
        <v>162.798</v>
      </c>
      <c r="Y26" s="18">
        <f t="shared" si="36"/>
        <v>273.76299999999998</v>
      </c>
      <c r="Z26" s="18">
        <f t="shared" si="37"/>
        <v>197.43199999999999</v>
      </c>
      <c r="AA26" s="37">
        <f t="shared" si="19"/>
        <v>1.39</v>
      </c>
      <c r="AB26" s="4">
        <f t="shared" si="20"/>
        <v>210</v>
      </c>
    </row>
    <row r="27" spans="1:28" ht="13.5" thickBot="1">
      <c r="A27" s="33">
        <v>27.20025</v>
      </c>
      <c r="B27" s="27">
        <v>450.6</v>
      </c>
      <c r="C27" s="27">
        <v>381.43340857787814</v>
      </c>
      <c r="D27" s="27">
        <v>320.02840909090912</v>
      </c>
      <c r="E27" s="27">
        <v>234.93222106360795</v>
      </c>
      <c r="F27" s="27">
        <v>171.20060790273558</v>
      </c>
      <c r="G27" s="27">
        <v>96.446917808219183</v>
      </c>
      <c r="H27" s="28">
        <v>59.85653560042509</v>
      </c>
      <c r="I27" s="9">
        <f t="shared" ref="I27:I38" si="38">B27/1000</f>
        <v>0.4506</v>
      </c>
      <c r="J27" s="8">
        <f t="shared" ref="J27:J38" si="39">LOG10((((3*150*150)*B27)/C27)-((3*150*150)))</f>
        <v>4.0877814178095422</v>
      </c>
      <c r="K27" s="8">
        <f t="shared" ref="K27:K38" si="40">LOG10((((3*150*150)*B27)/D27)-((3*150*150)))</f>
        <v>4.4399639359209049</v>
      </c>
      <c r="L27" s="8">
        <f t="shared" ref="L27:L38" si="41">LOG10((((3*150*150)*B27)/E27)-((3*150*150)))</f>
        <v>4.7921464540322676</v>
      </c>
      <c r="M27" s="8">
        <f t="shared" ref="M27:M38" si="42">LOG10((((3*150*150)*B27)/F27)-((3*150*150)))</f>
        <v>5.0420239272488674</v>
      </c>
      <c r="N27" s="8">
        <f t="shared" ref="N27:N38" si="43">LOG10((((3*150*150)*B27)/G27)-((3*150*150)))</f>
        <v>5.3942064453602301</v>
      </c>
      <c r="O27" s="8">
        <f t="shared" ref="O27:O38" si="44">LOG10((((3*150*150)*B27)/H27)-((3*150*150)))</f>
        <v>5.6440839185768299</v>
      </c>
      <c r="P27" s="11">
        <f t="shared" ref="P27:P38" si="45">10^(INTERCEPT(J27:O27,$J$1:$O$1))</f>
        <v>0.30599999999999788</v>
      </c>
      <c r="Q27" s="11">
        <f t="shared" ref="Q27:Q38" si="46">LINEST(J27:O27,$J$1:$O$1)</f>
        <v>2.0000000000000013</v>
      </c>
      <c r="R27" s="11">
        <f t="shared" ref="R27:R38" si="47">ROUND(10^((SUM(J27:N27)-2*SUM($J$1:$N$1))/5),3)</f>
        <v>0.30599999999999999</v>
      </c>
      <c r="S27" s="12">
        <f t="shared" si="18"/>
        <v>-326</v>
      </c>
      <c r="T27" s="12">
        <f t="shared" ref="T27:T38" si="48">-4*S27</f>
        <v>1304</v>
      </c>
      <c r="U27" s="12">
        <f t="shared" ref="U27:U38" si="49">ROUND(150/(R27^0.5),0)</f>
        <v>271</v>
      </c>
      <c r="V27" s="13">
        <f t="shared" ref="V27:V38" si="50">ROUND(150*I27*ATAN((1800*SQRT(3*R27))/(3*150))*SQRT(3/(R27)),0)</f>
        <v>278</v>
      </c>
      <c r="W27" s="15">
        <f t="shared" ref="W27:W38" si="51">ROUND(1/SQRT(R27),3)</f>
        <v>1.8080000000000001</v>
      </c>
      <c r="X27" s="18">
        <f t="shared" ref="X27:X38" si="52">ROUND(B27-D27,3)</f>
        <v>130.572</v>
      </c>
      <c r="Y27" s="18">
        <f t="shared" ref="Y27:Y38" si="53">ROUND(D27-F27,3)</f>
        <v>148.828</v>
      </c>
      <c r="Z27" s="18">
        <f t="shared" ref="Z27:Z38" si="54">ROUND(F27-G27,3)</f>
        <v>74.754000000000005</v>
      </c>
      <c r="AA27" s="37">
        <f t="shared" si="19"/>
        <v>0.38</v>
      </c>
      <c r="AB27" s="4">
        <f t="shared" si="20"/>
        <v>110</v>
      </c>
    </row>
    <row r="28" spans="1:28" ht="13.5" thickBot="1">
      <c r="A28" s="33">
        <v>27.5535</v>
      </c>
      <c r="B28" s="30">
        <v>422.2</v>
      </c>
      <c r="C28" s="30">
        <v>356.85574755822682</v>
      </c>
      <c r="D28" s="30">
        <v>299.00849858356935</v>
      </c>
      <c r="E28" s="30">
        <v>219.09704203425011</v>
      </c>
      <c r="F28" s="30">
        <v>159.44108761329304</v>
      </c>
      <c r="G28" s="30">
        <v>89.677145284621915</v>
      </c>
      <c r="H28" s="31">
        <v>55.611169652265538</v>
      </c>
      <c r="I28" s="9">
        <f t="shared" si="38"/>
        <v>0.42219999999999996</v>
      </c>
      <c r="J28" s="8">
        <f t="shared" si="39"/>
        <v>4.0920184707527971</v>
      </c>
      <c r="K28" s="8">
        <f t="shared" si="40"/>
        <v>4.4442009888641598</v>
      </c>
      <c r="L28" s="8">
        <f t="shared" si="41"/>
        <v>4.7963835069755225</v>
      </c>
      <c r="M28" s="8">
        <f t="shared" si="42"/>
        <v>5.0462609801921223</v>
      </c>
      <c r="N28" s="8">
        <f t="shared" si="43"/>
        <v>5.3984434983034841</v>
      </c>
      <c r="O28" s="8">
        <f t="shared" si="44"/>
        <v>5.6483209715200839</v>
      </c>
      <c r="P28" s="11">
        <f t="shared" si="45"/>
        <v>0.30899999999999994</v>
      </c>
      <c r="Q28" s="11">
        <f t="shared" si="46"/>
        <v>2.0000000000000004</v>
      </c>
      <c r="R28" s="11">
        <f t="shared" si="47"/>
        <v>0.309</v>
      </c>
      <c r="S28" s="12">
        <f t="shared" si="18"/>
        <v>-345</v>
      </c>
      <c r="T28" s="12">
        <f t="shared" si="48"/>
        <v>1380</v>
      </c>
      <c r="U28" s="12">
        <f t="shared" si="49"/>
        <v>270</v>
      </c>
      <c r="V28" s="13">
        <f t="shared" si="50"/>
        <v>260</v>
      </c>
      <c r="W28" s="15">
        <f t="shared" si="51"/>
        <v>1.7989999999999999</v>
      </c>
      <c r="X28" s="18">
        <f t="shared" si="52"/>
        <v>123.19199999999999</v>
      </c>
      <c r="Y28" s="18">
        <f t="shared" si="53"/>
        <v>139.56700000000001</v>
      </c>
      <c r="Z28" s="18">
        <f t="shared" si="54"/>
        <v>69.763999999999996</v>
      </c>
      <c r="AA28" s="37">
        <f t="shared" si="19"/>
        <v>0.39</v>
      </c>
      <c r="AB28" s="4">
        <f t="shared" si="20"/>
        <v>111</v>
      </c>
    </row>
    <row r="29" spans="1:28" ht="13.5" thickBot="1">
      <c r="A29" s="33">
        <v>27.412199999999999</v>
      </c>
      <c r="B29" s="30">
        <v>409.4</v>
      </c>
      <c r="C29" s="30">
        <v>346.90559879487819</v>
      </c>
      <c r="D29" s="30">
        <v>291.31878557874757</v>
      </c>
      <c r="E29" s="30">
        <v>214.12133891213387</v>
      </c>
      <c r="F29" s="30">
        <v>156.18006103763986</v>
      </c>
      <c r="G29" s="30">
        <v>88.080895008605836</v>
      </c>
      <c r="H29" s="31">
        <v>54.693623085144274</v>
      </c>
      <c r="I29" s="9">
        <f t="shared" si="38"/>
        <v>0.40939999999999999</v>
      </c>
      <c r="J29" s="8">
        <f t="shared" si="39"/>
        <v>4.0849335749367164</v>
      </c>
      <c r="K29" s="8">
        <f t="shared" si="40"/>
        <v>4.4371160930480791</v>
      </c>
      <c r="L29" s="8">
        <f t="shared" si="41"/>
        <v>4.7892986111594409</v>
      </c>
      <c r="M29" s="8">
        <f t="shared" si="42"/>
        <v>5.0391760843760407</v>
      </c>
      <c r="N29" s="8">
        <f t="shared" si="43"/>
        <v>5.3913586024874034</v>
      </c>
      <c r="O29" s="8">
        <f t="shared" si="44"/>
        <v>5.6412360757040032</v>
      </c>
      <c r="P29" s="11">
        <f t="shared" si="45"/>
        <v>0.30400000000000005</v>
      </c>
      <c r="Q29" s="11">
        <f t="shared" si="46"/>
        <v>2</v>
      </c>
      <c r="R29" s="11">
        <f t="shared" si="47"/>
        <v>0.30399999999999999</v>
      </c>
      <c r="S29" s="12">
        <f t="shared" si="18"/>
        <v>-362</v>
      </c>
      <c r="T29" s="12">
        <f t="shared" si="48"/>
        <v>1448</v>
      </c>
      <c r="U29" s="12">
        <f t="shared" si="49"/>
        <v>272</v>
      </c>
      <c r="V29" s="13">
        <f t="shared" si="50"/>
        <v>254</v>
      </c>
      <c r="W29" s="15">
        <f t="shared" si="51"/>
        <v>1.8140000000000001</v>
      </c>
      <c r="X29" s="18">
        <f t="shared" si="52"/>
        <v>118.081</v>
      </c>
      <c r="Y29" s="18">
        <f t="shared" si="53"/>
        <v>135.13900000000001</v>
      </c>
      <c r="Z29" s="18">
        <f t="shared" si="54"/>
        <v>68.099000000000004</v>
      </c>
      <c r="AA29" s="37">
        <f t="shared" si="19"/>
        <v>0.39</v>
      </c>
      <c r="AB29" s="4">
        <f t="shared" si="20"/>
        <v>111</v>
      </c>
    </row>
    <row r="30" spans="1:28" ht="13.5" thickBot="1">
      <c r="A30" s="33">
        <v>27.341550000000002</v>
      </c>
      <c r="B30" s="30">
        <v>405.9</v>
      </c>
      <c r="C30" s="30">
        <v>344.28562452877605</v>
      </c>
      <c r="D30" s="30">
        <v>289.37737642585546</v>
      </c>
      <c r="E30" s="30">
        <v>212.95907660020984</v>
      </c>
      <c r="F30" s="30">
        <v>155.47752808988761</v>
      </c>
      <c r="G30" s="30">
        <v>87.781141868512094</v>
      </c>
      <c r="H30" s="31">
        <v>54.536904335363658</v>
      </c>
      <c r="I30" s="9">
        <f t="shared" si="38"/>
        <v>0.40589999999999998</v>
      </c>
      <c r="J30" s="8">
        <f t="shared" si="39"/>
        <v>4.0820669342851126</v>
      </c>
      <c r="K30" s="8">
        <f t="shared" si="40"/>
        <v>4.4342494523964762</v>
      </c>
      <c r="L30" s="8">
        <f t="shared" si="41"/>
        <v>4.786431970507838</v>
      </c>
      <c r="M30" s="8">
        <f t="shared" si="42"/>
        <v>5.0363094437244378</v>
      </c>
      <c r="N30" s="8">
        <f t="shared" si="43"/>
        <v>5.3884919618358005</v>
      </c>
      <c r="O30" s="8">
        <f t="shared" si="44"/>
        <v>5.6383694350524003</v>
      </c>
      <c r="P30" s="11">
        <f t="shared" si="45"/>
        <v>0.30199999999999894</v>
      </c>
      <c r="Q30" s="11">
        <f t="shared" si="46"/>
        <v>2.0000000000000004</v>
      </c>
      <c r="R30" s="11">
        <f t="shared" si="47"/>
        <v>0.30199999999999999</v>
      </c>
      <c r="S30" s="12">
        <f t="shared" si="18"/>
        <v>-367</v>
      </c>
      <c r="T30" s="12">
        <f t="shared" si="48"/>
        <v>1468</v>
      </c>
      <c r="U30" s="12">
        <f t="shared" si="49"/>
        <v>273</v>
      </c>
      <c r="V30" s="13">
        <f t="shared" si="50"/>
        <v>252</v>
      </c>
      <c r="W30" s="15">
        <f t="shared" si="51"/>
        <v>1.82</v>
      </c>
      <c r="X30" s="18">
        <f t="shared" si="52"/>
        <v>116.523</v>
      </c>
      <c r="Y30" s="18">
        <f t="shared" si="53"/>
        <v>133.9</v>
      </c>
      <c r="Z30" s="18">
        <f t="shared" si="54"/>
        <v>67.695999999999998</v>
      </c>
      <c r="AA30" s="37">
        <f t="shared" si="19"/>
        <v>0.39</v>
      </c>
      <c r="AB30" s="4">
        <f t="shared" si="20"/>
        <v>111</v>
      </c>
    </row>
    <row r="31" spans="1:28" ht="13.5" thickBot="1">
      <c r="A31" s="33">
        <v>51.433199999999999</v>
      </c>
      <c r="B31" s="30">
        <v>713.9</v>
      </c>
      <c r="C31" s="30">
        <v>613.86305732484072</v>
      </c>
      <c r="D31" s="30">
        <v>522.36585365853648</v>
      </c>
      <c r="E31" s="30">
        <v>391.17808219178079</v>
      </c>
      <c r="F31" s="30">
        <v>289.41891891891885</v>
      </c>
      <c r="G31" s="30">
        <v>166.02325581395345</v>
      </c>
      <c r="H31" s="31">
        <v>103.96601941747569</v>
      </c>
      <c r="I31" s="9">
        <f t="shared" si="38"/>
        <v>0.71389999999999998</v>
      </c>
      <c r="J31" s="8">
        <f t="shared" si="39"/>
        <v>4.0413926851582254</v>
      </c>
      <c r="K31" s="8">
        <f t="shared" si="40"/>
        <v>4.3935752032695881</v>
      </c>
      <c r="L31" s="8">
        <f t="shared" si="41"/>
        <v>4.7457577213809499</v>
      </c>
      <c r="M31" s="8">
        <f t="shared" si="42"/>
        <v>4.9956351945975497</v>
      </c>
      <c r="N31" s="8">
        <f t="shared" si="43"/>
        <v>5.3478177127089124</v>
      </c>
      <c r="O31" s="8">
        <f t="shared" si="44"/>
        <v>5.5976951859255122</v>
      </c>
      <c r="P31" s="11">
        <f t="shared" si="45"/>
        <v>0.27500000000000013</v>
      </c>
      <c r="Q31" s="11">
        <f t="shared" si="46"/>
        <v>2</v>
      </c>
      <c r="R31" s="11">
        <f t="shared" si="47"/>
        <v>0.27500000000000002</v>
      </c>
      <c r="S31" s="12">
        <f t="shared" si="18"/>
        <v>-229</v>
      </c>
      <c r="T31" s="12">
        <f t="shared" si="48"/>
        <v>916</v>
      </c>
      <c r="U31" s="12">
        <f t="shared" si="49"/>
        <v>286</v>
      </c>
      <c r="V31" s="13">
        <f t="shared" si="50"/>
        <v>461</v>
      </c>
      <c r="W31" s="15">
        <f t="shared" si="51"/>
        <v>1.907</v>
      </c>
      <c r="X31" s="18">
        <f t="shared" si="52"/>
        <v>191.53399999999999</v>
      </c>
      <c r="Y31" s="18">
        <f t="shared" si="53"/>
        <v>232.947</v>
      </c>
      <c r="Z31" s="18">
        <f t="shared" si="54"/>
        <v>123.396</v>
      </c>
      <c r="AA31" s="37">
        <f t="shared" si="19"/>
        <v>0.73</v>
      </c>
      <c r="AB31" s="4">
        <f t="shared" si="20"/>
        <v>152</v>
      </c>
    </row>
    <row r="32" spans="1:28" ht="13.5" thickBot="1">
      <c r="A32" s="33">
        <v>50.020200000000003</v>
      </c>
      <c r="B32" s="30">
        <v>691</v>
      </c>
      <c r="C32" s="30">
        <v>594.4748916645425</v>
      </c>
      <c r="D32" s="30">
        <v>506.103515625</v>
      </c>
      <c r="E32" s="30">
        <v>379.25356750823272</v>
      </c>
      <c r="F32" s="30">
        <v>280.74214517876487</v>
      </c>
      <c r="G32" s="30">
        <v>161.14738805970148</v>
      </c>
      <c r="H32" s="31">
        <v>100.94468250876508</v>
      </c>
      <c r="I32" s="9">
        <f t="shared" si="38"/>
        <v>0.69099999999999995</v>
      </c>
      <c r="J32" s="8">
        <f t="shared" si="39"/>
        <v>4.0398105541483504</v>
      </c>
      <c r="K32" s="8">
        <f t="shared" si="40"/>
        <v>4.3919930722597131</v>
      </c>
      <c r="L32" s="8">
        <f t="shared" si="41"/>
        <v>4.7441755903710749</v>
      </c>
      <c r="M32" s="8">
        <f t="shared" si="42"/>
        <v>4.9940530635876756</v>
      </c>
      <c r="N32" s="8">
        <f t="shared" si="43"/>
        <v>5.3462355816990375</v>
      </c>
      <c r="O32" s="8">
        <f t="shared" si="44"/>
        <v>5.5961130549156373</v>
      </c>
      <c r="P32" s="11">
        <f t="shared" si="45"/>
        <v>0.27399999999999991</v>
      </c>
      <c r="Q32" s="11">
        <f t="shared" si="46"/>
        <v>2.0000000000000004</v>
      </c>
      <c r="R32" s="11">
        <f t="shared" si="47"/>
        <v>0.27400000000000002</v>
      </c>
      <c r="S32" s="12">
        <f t="shared" si="18"/>
        <v>-238</v>
      </c>
      <c r="T32" s="12">
        <f t="shared" si="48"/>
        <v>952</v>
      </c>
      <c r="U32" s="12">
        <f t="shared" si="49"/>
        <v>287</v>
      </c>
      <c r="V32" s="13">
        <f t="shared" si="50"/>
        <v>446</v>
      </c>
      <c r="W32" s="15">
        <f t="shared" si="51"/>
        <v>1.91</v>
      </c>
      <c r="X32" s="18">
        <f t="shared" si="52"/>
        <v>184.89599999999999</v>
      </c>
      <c r="Y32" s="18">
        <f t="shared" si="53"/>
        <v>225.36099999999999</v>
      </c>
      <c r="Z32" s="18">
        <f t="shared" si="54"/>
        <v>119.595</v>
      </c>
      <c r="AA32" s="37">
        <f t="shared" si="19"/>
        <v>0.71</v>
      </c>
      <c r="AB32" s="4">
        <f t="shared" si="20"/>
        <v>150</v>
      </c>
    </row>
    <row r="33" spans="1:28" ht="13.5" thickBot="1">
      <c r="A33" s="33">
        <v>49.878900000000002</v>
      </c>
      <c r="B33" s="30">
        <v>686.2</v>
      </c>
      <c r="C33" s="30">
        <v>591.24968087822322</v>
      </c>
      <c r="D33" s="30">
        <v>504.06464250734581</v>
      </c>
      <c r="E33" s="30">
        <v>378.48869277440713</v>
      </c>
      <c r="F33" s="30">
        <v>280.61613958560525</v>
      </c>
      <c r="G33" s="30">
        <v>161.3828786453434</v>
      </c>
      <c r="H33" s="31">
        <v>101.18953991348802</v>
      </c>
      <c r="I33" s="9">
        <f t="shared" si="38"/>
        <v>0.68620000000000003</v>
      </c>
      <c r="J33" s="8">
        <f t="shared" si="39"/>
        <v>4.0350292822023679</v>
      </c>
      <c r="K33" s="8">
        <f t="shared" si="40"/>
        <v>4.3872118003137306</v>
      </c>
      <c r="L33" s="8">
        <f t="shared" si="41"/>
        <v>4.7393943184250933</v>
      </c>
      <c r="M33" s="8">
        <f t="shared" si="42"/>
        <v>4.9892717916416931</v>
      </c>
      <c r="N33" s="8">
        <f t="shared" si="43"/>
        <v>5.3414543097530558</v>
      </c>
      <c r="O33" s="8">
        <f t="shared" si="44"/>
        <v>5.5913317829696556</v>
      </c>
      <c r="P33" s="11">
        <f t="shared" si="45"/>
        <v>0.27099999999999813</v>
      </c>
      <c r="Q33" s="11">
        <f t="shared" si="46"/>
        <v>2.0000000000000013</v>
      </c>
      <c r="R33" s="11">
        <f t="shared" si="47"/>
        <v>0.27100000000000002</v>
      </c>
      <c r="S33" s="12">
        <f t="shared" si="18"/>
        <v>-242</v>
      </c>
      <c r="T33" s="12">
        <f t="shared" si="48"/>
        <v>968</v>
      </c>
      <c r="U33" s="12">
        <f t="shared" si="49"/>
        <v>288</v>
      </c>
      <c r="V33" s="13">
        <f t="shared" si="50"/>
        <v>445</v>
      </c>
      <c r="W33" s="15">
        <f t="shared" si="51"/>
        <v>1.921</v>
      </c>
      <c r="X33" s="18">
        <f t="shared" si="52"/>
        <v>182.13499999999999</v>
      </c>
      <c r="Y33" s="18">
        <f t="shared" si="53"/>
        <v>223.44900000000001</v>
      </c>
      <c r="Z33" s="18">
        <f t="shared" si="54"/>
        <v>119.233</v>
      </c>
      <c r="AA33" s="37">
        <f t="shared" si="19"/>
        <v>0.71</v>
      </c>
      <c r="AB33" s="4">
        <f t="shared" si="20"/>
        <v>150</v>
      </c>
    </row>
    <row r="34" spans="1:28" ht="13.5" thickBot="1">
      <c r="A34" s="33">
        <v>49.7376</v>
      </c>
      <c r="B34" s="30">
        <v>682.4</v>
      </c>
      <c r="C34" s="30">
        <v>588.27586206896547</v>
      </c>
      <c r="D34" s="30">
        <v>501.76470588235287</v>
      </c>
      <c r="E34" s="30">
        <v>377.01657458563528</v>
      </c>
      <c r="F34" s="30">
        <v>279.67213114754094</v>
      </c>
      <c r="G34" s="30">
        <v>160.94339622641508</v>
      </c>
      <c r="H34" s="31">
        <v>100.94674556213016</v>
      </c>
      <c r="I34" s="9">
        <f t="shared" si="38"/>
        <v>0.68240000000000001</v>
      </c>
      <c r="J34" s="8">
        <f t="shared" si="39"/>
        <v>4.0334237554869494</v>
      </c>
      <c r="K34" s="8">
        <f t="shared" si="40"/>
        <v>4.3856062735983121</v>
      </c>
      <c r="L34" s="8">
        <f t="shared" si="41"/>
        <v>4.7377887917096748</v>
      </c>
      <c r="M34" s="8">
        <f t="shared" si="42"/>
        <v>4.9876662649262746</v>
      </c>
      <c r="N34" s="8">
        <f t="shared" si="43"/>
        <v>5.3398487830376373</v>
      </c>
      <c r="O34" s="8">
        <f t="shared" si="44"/>
        <v>5.5897262562542371</v>
      </c>
      <c r="P34" s="11">
        <f t="shared" si="45"/>
        <v>0.26999999999999863</v>
      </c>
      <c r="Q34" s="11">
        <f t="shared" si="46"/>
        <v>2.0000000000000013</v>
      </c>
      <c r="R34" s="11">
        <f t="shared" si="47"/>
        <v>0.27</v>
      </c>
      <c r="S34" s="12">
        <f t="shared" si="18"/>
        <v>-244</v>
      </c>
      <c r="T34" s="12">
        <f t="shared" si="48"/>
        <v>976</v>
      </c>
      <c r="U34" s="12">
        <f t="shared" si="49"/>
        <v>289</v>
      </c>
      <c r="V34" s="13">
        <f t="shared" si="50"/>
        <v>444</v>
      </c>
      <c r="W34" s="15">
        <f t="shared" si="51"/>
        <v>1.925</v>
      </c>
      <c r="X34" s="18">
        <f t="shared" si="52"/>
        <v>180.63499999999999</v>
      </c>
      <c r="Y34" s="18">
        <f t="shared" si="53"/>
        <v>222.09299999999999</v>
      </c>
      <c r="Z34" s="18">
        <f t="shared" si="54"/>
        <v>118.729</v>
      </c>
      <c r="AA34" s="37">
        <f t="shared" si="19"/>
        <v>0.7</v>
      </c>
      <c r="AB34" s="4">
        <f t="shared" si="20"/>
        <v>149</v>
      </c>
    </row>
    <row r="35" spans="1:28" ht="13.5" thickBot="1">
      <c r="A35" s="33">
        <v>99.40455</v>
      </c>
      <c r="B35" s="30">
        <v>1170.5</v>
      </c>
      <c r="C35" s="30">
        <v>1024.2254342753436</v>
      </c>
      <c r="D35" s="30">
        <v>885.84762865792129</v>
      </c>
      <c r="E35" s="30">
        <v>679.33836331979103</v>
      </c>
      <c r="F35" s="30">
        <v>512.17911318553092</v>
      </c>
      <c r="G35" s="30">
        <v>300.74511819116134</v>
      </c>
      <c r="H35" s="31">
        <v>190.59379070777248</v>
      </c>
      <c r="I35" s="9">
        <f t="shared" si="38"/>
        <v>1.1705000000000001</v>
      </c>
      <c r="J35" s="8">
        <f t="shared" si="39"/>
        <v>3.9840770339028309</v>
      </c>
      <c r="K35" s="8">
        <f t="shared" si="40"/>
        <v>4.3362595520141936</v>
      </c>
      <c r="L35" s="8">
        <f t="shared" si="41"/>
        <v>4.6884420701255554</v>
      </c>
      <c r="M35" s="8">
        <f t="shared" si="42"/>
        <v>4.9383195433421561</v>
      </c>
      <c r="N35" s="8">
        <f t="shared" si="43"/>
        <v>5.2905020614535179</v>
      </c>
      <c r="O35" s="8">
        <f t="shared" si="44"/>
        <v>5.5403795346701177</v>
      </c>
      <c r="P35" s="11">
        <f t="shared" si="45"/>
        <v>0.24099999999999994</v>
      </c>
      <c r="Q35" s="11">
        <f t="shared" si="46"/>
        <v>2.0000000000000004</v>
      </c>
      <c r="R35" s="11">
        <f t="shared" si="47"/>
        <v>0.24099999999999999</v>
      </c>
      <c r="S35" s="12">
        <f t="shared" si="18"/>
        <v>-160</v>
      </c>
      <c r="T35" s="12">
        <f t="shared" si="48"/>
        <v>640</v>
      </c>
      <c r="U35" s="12">
        <f t="shared" si="49"/>
        <v>306</v>
      </c>
      <c r="V35" s="13">
        <f t="shared" si="50"/>
        <v>796</v>
      </c>
      <c r="W35" s="15">
        <f t="shared" si="51"/>
        <v>2.0369999999999999</v>
      </c>
      <c r="X35" s="18">
        <f t="shared" si="52"/>
        <v>284.65199999999999</v>
      </c>
      <c r="Y35" s="18">
        <f t="shared" si="53"/>
        <v>373.66899999999998</v>
      </c>
      <c r="Z35" s="18">
        <f t="shared" si="54"/>
        <v>211.434</v>
      </c>
      <c r="AA35" s="37">
        <f t="shared" si="19"/>
        <v>1.41</v>
      </c>
      <c r="AB35" s="4">
        <f t="shared" si="20"/>
        <v>211</v>
      </c>
    </row>
    <row r="36" spans="1:28" ht="13.5" thickBot="1">
      <c r="A36" s="33">
        <v>99.545850000000002</v>
      </c>
      <c r="B36" s="30">
        <v>1176.8</v>
      </c>
      <c r="C36" s="30">
        <v>1031.3425084393662</v>
      </c>
      <c r="D36" s="30">
        <v>893.31983805667994</v>
      </c>
      <c r="E36" s="30">
        <v>686.58109684947476</v>
      </c>
      <c r="F36" s="30">
        <v>518.56639247943588</v>
      </c>
      <c r="G36" s="30">
        <v>305.18672199170118</v>
      </c>
      <c r="H36" s="31">
        <v>193.63756033347957</v>
      </c>
      <c r="I36" s="9">
        <f t="shared" si="38"/>
        <v>1.1767999999999998</v>
      </c>
      <c r="J36" s="8">
        <f t="shared" si="39"/>
        <v>3.9786369483844748</v>
      </c>
      <c r="K36" s="8">
        <f t="shared" si="40"/>
        <v>4.3308194664958375</v>
      </c>
      <c r="L36" s="8">
        <f t="shared" si="41"/>
        <v>4.6830019846071993</v>
      </c>
      <c r="M36" s="8">
        <f t="shared" si="42"/>
        <v>4.9328794578237991</v>
      </c>
      <c r="N36" s="8">
        <f t="shared" si="43"/>
        <v>5.2850619759351618</v>
      </c>
      <c r="O36" s="8">
        <f t="shared" si="44"/>
        <v>5.5349394491517616</v>
      </c>
      <c r="P36" s="11">
        <f t="shared" si="45"/>
        <v>0.23799999999999963</v>
      </c>
      <c r="Q36" s="11">
        <f t="shared" si="46"/>
        <v>2</v>
      </c>
      <c r="R36" s="11">
        <f t="shared" si="47"/>
        <v>0.23799999999999999</v>
      </c>
      <c r="S36" s="12">
        <f t="shared" si="18"/>
        <v>-161</v>
      </c>
      <c r="T36" s="12">
        <f t="shared" si="48"/>
        <v>644</v>
      </c>
      <c r="U36" s="12">
        <f t="shared" si="49"/>
        <v>307</v>
      </c>
      <c r="V36" s="13">
        <f t="shared" si="50"/>
        <v>804</v>
      </c>
      <c r="W36" s="15">
        <f t="shared" si="51"/>
        <v>2.0499999999999998</v>
      </c>
      <c r="X36" s="18">
        <f t="shared" si="52"/>
        <v>283.48</v>
      </c>
      <c r="Y36" s="18">
        <f t="shared" si="53"/>
        <v>374.75299999999999</v>
      </c>
      <c r="Z36" s="18">
        <f t="shared" si="54"/>
        <v>213.38</v>
      </c>
      <c r="AA36" s="37">
        <f t="shared" si="19"/>
        <v>1.41</v>
      </c>
      <c r="AB36" s="4">
        <f t="shared" si="20"/>
        <v>211</v>
      </c>
    </row>
    <row r="37" spans="1:28" ht="13.5" thickBot="1">
      <c r="A37" s="33">
        <v>99.263249999999999</v>
      </c>
      <c r="B37" s="30">
        <v>1166.4000000000001</v>
      </c>
      <c r="C37" s="30">
        <v>1023.8231469440832</v>
      </c>
      <c r="D37" s="30">
        <v>888.12182741116749</v>
      </c>
      <c r="E37" s="30">
        <v>684.10557184750735</v>
      </c>
      <c r="F37" s="30">
        <v>517.63313609467457</v>
      </c>
      <c r="G37" s="30">
        <v>305.34031413612564</v>
      </c>
      <c r="H37" s="31">
        <v>193.9689578713969</v>
      </c>
      <c r="I37" s="9">
        <f t="shared" si="38"/>
        <v>1.1664000000000001</v>
      </c>
      <c r="J37" s="8">
        <f t="shared" si="39"/>
        <v>3.9731278535996988</v>
      </c>
      <c r="K37" s="8">
        <f t="shared" si="40"/>
        <v>4.325310371711061</v>
      </c>
      <c r="L37" s="8">
        <f t="shared" si="41"/>
        <v>4.6774928898224237</v>
      </c>
      <c r="M37" s="8">
        <f t="shared" si="42"/>
        <v>4.9273703630390235</v>
      </c>
      <c r="N37" s="8">
        <f t="shared" si="43"/>
        <v>5.2795528811503862</v>
      </c>
      <c r="O37" s="8">
        <f t="shared" si="44"/>
        <v>5.529430354366986</v>
      </c>
      <c r="P37" s="11">
        <f t="shared" si="45"/>
        <v>0.23499999999999976</v>
      </c>
      <c r="Q37" s="11">
        <f t="shared" si="46"/>
        <v>2.0000000000000009</v>
      </c>
      <c r="R37" s="11">
        <f t="shared" si="47"/>
        <v>0.23499999999999999</v>
      </c>
      <c r="S37" s="12">
        <f t="shared" si="18"/>
        <v>-164</v>
      </c>
      <c r="T37" s="12">
        <f t="shared" si="48"/>
        <v>656</v>
      </c>
      <c r="U37" s="12">
        <f t="shared" si="49"/>
        <v>309</v>
      </c>
      <c r="V37" s="13">
        <f t="shared" si="50"/>
        <v>801</v>
      </c>
      <c r="W37" s="15">
        <f t="shared" si="51"/>
        <v>2.0630000000000002</v>
      </c>
      <c r="X37" s="18">
        <f t="shared" si="52"/>
        <v>278.27800000000002</v>
      </c>
      <c r="Y37" s="18">
        <f t="shared" si="53"/>
        <v>370.48899999999998</v>
      </c>
      <c r="Z37" s="18">
        <f t="shared" si="54"/>
        <v>212.29300000000001</v>
      </c>
      <c r="AA37" s="37">
        <f t="shared" si="19"/>
        <v>1.4</v>
      </c>
      <c r="AB37" s="4">
        <f t="shared" si="20"/>
        <v>211</v>
      </c>
    </row>
    <row r="38" spans="1:28" ht="13.5" thickBot="1">
      <c r="A38" s="33">
        <v>98.980649999999997</v>
      </c>
      <c r="B38" s="33">
        <v>1163.9000000000001</v>
      </c>
      <c r="C38" s="33">
        <v>1021.0976085261243</v>
      </c>
      <c r="D38" s="33">
        <v>885.31947261663288</v>
      </c>
      <c r="E38" s="33">
        <v>681.44028103044502</v>
      </c>
      <c r="F38" s="33">
        <v>515.30401416765051</v>
      </c>
      <c r="G38" s="33">
        <v>303.73173277661795</v>
      </c>
      <c r="H38" s="34">
        <v>192.86897923110914</v>
      </c>
      <c r="I38" s="9">
        <f t="shared" si="38"/>
        <v>1.1639000000000002</v>
      </c>
      <c r="J38" s="8">
        <f t="shared" si="39"/>
        <v>3.9749719942980688</v>
      </c>
      <c r="K38" s="8">
        <f t="shared" si="40"/>
        <v>4.3271545124094315</v>
      </c>
      <c r="L38" s="8">
        <f t="shared" si="41"/>
        <v>4.6793370305207942</v>
      </c>
      <c r="M38" s="8">
        <f t="shared" si="42"/>
        <v>4.929214503737394</v>
      </c>
      <c r="N38" s="8">
        <f t="shared" si="43"/>
        <v>5.2813970218487567</v>
      </c>
      <c r="O38" s="8">
        <f t="shared" si="44"/>
        <v>5.5312744950653565</v>
      </c>
      <c r="P38" s="11">
        <f t="shared" si="45"/>
        <v>0.23599999999999885</v>
      </c>
      <c r="Q38" s="11">
        <f t="shared" si="46"/>
        <v>2.0000000000000013</v>
      </c>
      <c r="R38" s="11">
        <f t="shared" si="47"/>
        <v>0.23599999999999999</v>
      </c>
      <c r="S38" s="12">
        <f t="shared" si="18"/>
        <v>-164</v>
      </c>
      <c r="T38" s="12">
        <f t="shared" si="48"/>
        <v>656</v>
      </c>
      <c r="U38" s="12">
        <f t="shared" si="49"/>
        <v>309</v>
      </c>
      <c r="V38" s="13">
        <f t="shared" si="50"/>
        <v>798</v>
      </c>
      <c r="W38" s="15">
        <f t="shared" si="51"/>
        <v>2.0579999999999998</v>
      </c>
      <c r="X38" s="18">
        <f t="shared" si="52"/>
        <v>278.58100000000002</v>
      </c>
      <c r="Y38" s="18">
        <f t="shared" si="53"/>
        <v>370.01499999999999</v>
      </c>
      <c r="Z38" s="18">
        <f t="shared" si="54"/>
        <v>211.572</v>
      </c>
      <c r="AA38" s="37">
        <f t="shared" si="19"/>
        <v>1.4</v>
      </c>
      <c r="AB38" s="4">
        <f t="shared" si="20"/>
        <v>211</v>
      </c>
    </row>
    <row r="39" spans="1:28" ht="13.5" thickBot="1">
      <c r="A39" s="33">
        <v>25.857900000000001</v>
      </c>
      <c r="B39" s="27">
        <v>471.7</v>
      </c>
      <c r="C39" s="27">
        <v>388.38436203952176</v>
      </c>
      <c r="D39" s="27">
        <v>318.14298561151077</v>
      </c>
      <c r="E39" s="27">
        <v>226.1265580057526</v>
      </c>
      <c r="F39" s="27">
        <v>160.95313921747041</v>
      </c>
      <c r="G39" s="27">
        <v>88.267215568862269</v>
      </c>
      <c r="H39" s="28">
        <v>54.077499235707727</v>
      </c>
      <c r="I39" s="9">
        <f t="shared" ref="I39:I50" si="55">B39/1000</f>
        <v>0.47170000000000001</v>
      </c>
      <c r="J39" s="8">
        <f t="shared" ref="J39:J50" si="56">LOG10((((3*150*150)*B39)/C39)-((3*150*150)))</f>
        <v>4.1607685618611283</v>
      </c>
      <c r="K39" s="8">
        <f t="shared" ref="K39:K50" si="57">LOG10((((3*150*150)*B39)/D39)-((3*150*150)))</f>
        <v>4.512951079972491</v>
      </c>
      <c r="L39" s="8">
        <f t="shared" ref="L39:L50" si="58">LOG10((((3*150*150)*B39)/E39)-((3*150*150)))</f>
        <v>4.8651335980838528</v>
      </c>
      <c r="M39" s="8">
        <f t="shared" ref="M39:M50" si="59">LOG10((((3*150*150)*B39)/F39)-((3*150*150)))</f>
        <v>5.1150110713004526</v>
      </c>
      <c r="N39" s="8">
        <f t="shared" ref="N39:N50" si="60">LOG10((((3*150*150)*B39)/G39)-((3*150*150)))</f>
        <v>5.4671935894118153</v>
      </c>
      <c r="O39" s="8">
        <f t="shared" ref="O39:O50" si="61">LOG10((((3*150*150)*B39)/H39)-((3*150*150)))</f>
        <v>5.7170710626284151</v>
      </c>
      <c r="P39" s="11">
        <f t="shared" ref="P39:P50" si="62">10^(INTERCEPT(J39:O39,$J$1:$O$1))</f>
        <v>0.36199999999999932</v>
      </c>
      <c r="Q39" s="11">
        <f t="shared" ref="Q39:Q50" si="63">LINEST(J39:O39,$J$1:$O$1)</f>
        <v>2</v>
      </c>
      <c r="R39" s="11">
        <f t="shared" ref="R39:R50" si="64">ROUND(10^((SUM(J39:N39)-2*SUM($J$1:$N$1))/5),3)</f>
        <v>0.36199999999999999</v>
      </c>
      <c r="S39" s="12">
        <f t="shared" si="18"/>
        <v>-264</v>
      </c>
      <c r="T39" s="12">
        <f t="shared" ref="T39:T50" si="65">-4*S39</f>
        <v>1056</v>
      </c>
      <c r="U39" s="12">
        <f t="shared" ref="U39:U50" si="66">ROUND(150/(R39^0.5),0)</f>
        <v>249</v>
      </c>
      <c r="V39" s="13">
        <f t="shared" ref="V39:V50" si="67">ROUND(150*I39*ATAN((1800*SQRT(3*R39))/(3*150))*SQRT(3/(R39)),0)</f>
        <v>272</v>
      </c>
      <c r="W39" s="15">
        <f t="shared" ref="W39:W50" si="68">ROUND(1/SQRT(R39),3)</f>
        <v>1.6619999999999999</v>
      </c>
      <c r="X39" s="18">
        <f t="shared" ref="X39:X50" si="69">ROUND(B39-D39,3)</f>
        <v>153.55699999999999</v>
      </c>
      <c r="Y39" s="18">
        <f t="shared" ref="Y39:Y50" si="70">ROUND(D39-F39,3)</f>
        <v>157.19</v>
      </c>
      <c r="Z39" s="18">
        <f t="shared" ref="Z39:Z50" si="71">ROUND(F39-G39,3)</f>
        <v>72.686000000000007</v>
      </c>
      <c r="AA39" s="37">
        <f t="shared" si="19"/>
        <v>0.37</v>
      </c>
      <c r="AB39" s="4">
        <f t="shared" si="20"/>
        <v>108</v>
      </c>
    </row>
    <row r="40" spans="1:28" ht="13.5" thickBot="1">
      <c r="A40" s="33">
        <v>26.564399999999999</v>
      </c>
      <c r="B40" s="30">
        <v>426.1</v>
      </c>
      <c r="C40" s="30">
        <v>353.07819788853431</v>
      </c>
      <c r="D40" s="30">
        <v>290.78707916287539</v>
      </c>
      <c r="E40" s="30">
        <v>208.15828041035664</v>
      </c>
      <c r="F40" s="30">
        <v>148.91658900279592</v>
      </c>
      <c r="G40" s="30">
        <v>82.131842713955294</v>
      </c>
      <c r="H40" s="31">
        <v>50.453899589516901</v>
      </c>
      <c r="I40" s="9">
        <f t="shared" si="55"/>
        <v>0.42610000000000003</v>
      </c>
      <c r="J40" s="8">
        <f t="shared" si="56"/>
        <v>4.1448854182871422</v>
      </c>
      <c r="K40" s="8">
        <f t="shared" si="57"/>
        <v>4.4970679363985049</v>
      </c>
      <c r="L40" s="8">
        <f t="shared" si="58"/>
        <v>4.8492504545098676</v>
      </c>
      <c r="M40" s="8">
        <f t="shared" si="59"/>
        <v>5.0991279277264674</v>
      </c>
      <c r="N40" s="8">
        <f t="shared" si="60"/>
        <v>5.4513104458378292</v>
      </c>
      <c r="O40" s="8">
        <f t="shared" si="61"/>
        <v>5.701187919054429</v>
      </c>
      <c r="P40" s="11">
        <f t="shared" si="62"/>
        <v>0.34899999999999975</v>
      </c>
      <c r="Q40" s="11">
        <f t="shared" si="63"/>
        <v>2.0000000000000004</v>
      </c>
      <c r="R40" s="11">
        <f t="shared" si="64"/>
        <v>0.34899999999999998</v>
      </c>
      <c r="S40" s="12">
        <f t="shared" si="18"/>
        <v>-303</v>
      </c>
      <c r="T40" s="12">
        <f t="shared" si="65"/>
        <v>1212</v>
      </c>
      <c r="U40" s="12">
        <f t="shared" si="66"/>
        <v>254</v>
      </c>
      <c r="V40" s="13">
        <f t="shared" si="67"/>
        <v>249</v>
      </c>
      <c r="W40" s="15">
        <f t="shared" si="68"/>
        <v>1.6930000000000001</v>
      </c>
      <c r="X40" s="18">
        <f t="shared" si="69"/>
        <v>135.31299999999999</v>
      </c>
      <c r="Y40" s="18">
        <f t="shared" si="70"/>
        <v>141.87</v>
      </c>
      <c r="Z40" s="18">
        <f t="shared" si="71"/>
        <v>66.784999999999997</v>
      </c>
      <c r="AA40" s="37">
        <f t="shared" si="19"/>
        <v>0.38</v>
      </c>
      <c r="AB40" s="4">
        <f t="shared" si="20"/>
        <v>109</v>
      </c>
    </row>
    <row r="41" spans="1:28" ht="13.5" thickBot="1">
      <c r="A41" s="33">
        <v>26.423100000000002</v>
      </c>
      <c r="B41" s="30">
        <v>410.6</v>
      </c>
      <c r="C41" s="30">
        <v>342.42031134173465</v>
      </c>
      <c r="D41" s="30">
        <v>283.56353591160223</v>
      </c>
      <c r="E41" s="30">
        <v>204.48207171314743</v>
      </c>
      <c r="F41" s="30">
        <v>147.0630372492837</v>
      </c>
      <c r="G41" s="30">
        <v>81.597774244833076</v>
      </c>
      <c r="H41" s="31">
        <v>50.269343780607258</v>
      </c>
      <c r="I41" s="9">
        <f t="shared" si="55"/>
        <v>0.41060000000000002</v>
      </c>
      <c r="J41" s="8">
        <f t="shared" si="56"/>
        <v>4.1283992687178062</v>
      </c>
      <c r="K41" s="8">
        <f t="shared" si="57"/>
        <v>4.4805817868291689</v>
      </c>
      <c r="L41" s="8">
        <f t="shared" si="58"/>
        <v>4.8327643049405316</v>
      </c>
      <c r="M41" s="8">
        <f t="shared" si="59"/>
        <v>5.0826417781571314</v>
      </c>
      <c r="N41" s="8">
        <f t="shared" si="60"/>
        <v>5.4348242962684941</v>
      </c>
      <c r="O41" s="8">
        <f t="shared" si="61"/>
        <v>5.6847017694850939</v>
      </c>
      <c r="P41" s="11">
        <f t="shared" si="62"/>
        <v>0.3359999999999983</v>
      </c>
      <c r="Q41" s="11">
        <f t="shared" si="63"/>
        <v>2.0000000000000013</v>
      </c>
      <c r="R41" s="11">
        <f t="shared" si="64"/>
        <v>0.33600000000000002</v>
      </c>
      <c r="S41" s="12">
        <f t="shared" si="18"/>
        <v>-326</v>
      </c>
      <c r="T41" s="12">
        <f t="shared" si="65"/>
        <v>1304</v>
      </c>
      <c r="U41" s="12">
        <f t="shared" si="66"/>
        <v>259</v>
      </c>
      <c r="V41" s="13">
        <f t="shared" si="67"/>
        <v>244</v>
      </c>
      <c r="W41" s="15">
        <f t="shared" si="68"/>
        <v>1.7250000000000001</v>
      </c>
      <c r="X41" s="18">
        <f t="shared" si="69"/>
        <v>127.036</v>
      </c>
      <c r="Y41" s="18">
        <f t="shared" si="70"/>
        <v>136.5</v>
      </c>
      <c r="Z41" s="18">
        <f t="shared" si="71"/>
        <v>65.465000000000003</v>
      </c>
      <c r="AA41" s="37">
        <f t="shared" si="19"/>
        <v>0.37</v>
      </c>
      <c r="AB41" s="4">
        <f t="shared" si="20"/>
        <v>109</v>
      </c>
    </row>
    <row r="42" spans="1:28" ht="13.5" thickBot="1">
      <c r="A42" s="33">
        <v>26.493749999999999</v>
      </c>
      <c r="B42" s="30">
        <v>405.6</v>
      </c>
      <c r="C42" s="30">
        <v>339.25650557620821</v>
      </c>
      <c r="D42" s="30">
        <v>281.66666666666669</v>
      </c>
      <c r="E42" s="30">
        <v>203.81909547738695</v>
      </c>
      <c r="F42" s="30">
        <v>146.95652173913047</v>
      </c>
      <c r="G42" s="30">
        <v>81.774193548387103</v>
      </c>
      <c r="H42" s="31">
        <v>50.447761194029859</v>
      </c>
      <c r="I42" s="9">
        <f t="shared" si="55"/>
        <v>0.40560000000000002</v>
      </c>
      <c r="J42" s="8">
        <f t="shared" si="56"/>
        <v>4.1205739312058496</v>
      </c>
      <c r="K42" s="8">
        <f t="shared" si="57"/>
        <v>4.4727564493172123</v>
      </c>
      <c r="L42" s="8">
        <f t="shared" si="58"/>
        <v>4.824938967428575</v>
      </c>
      <c r="M42" s="8">
        <f t="shared" si="59"/>
        <v>5.0748164406451748</v>
      </c>
      <c r="N42" s="8">
        <f t="shared" si="60"/>
        <v>5.4269989587565375</v>
      </c>
      <c r="O42" s="8">
        <f t="shared" si="61"/>
        <v>5.6768764319731373</v>
      </c>
      <c r="P42" s="11">
        <f t="shared" si="62"/>
        <v>0.32999999999999829</v>
      </c>
      <c r="Q42" s="11">
        <f t="shared" si="63"/>
        <v>2.0000000000000013</v>
      </c>
      <c r="R42" s="11">
        <f t="shared" si="64"/>
        <v>0.33</v>
      </c>
      <c r="S42" s="12">
        <f t="shared" si="18"/>
        <v>-336</v>
      </c>
      <c r="T42" s="12">
        <f t="shared" si="65"/>
        <v>1344</v>
      </c>
      <c r="U42" s="12">
        <f t="shared" si="66"/>
        <v>261</v>
      </c>
      <c r="V42" s="13">
        <f t="shared" si="67"/>
        <v>243</v>
      </c>
      <c r="W42" s="15">
        <f t="shared" si="68"/>
        <v>1.7410000000000001</v>
      </c>
      <c r="X42" s="18">
        <f t="shared" si="69"/>
        <v>123.93300000000001</v>
      </c>
      <c r="Y42" s="18">
        <f t="shared" si="70"/>
        <v>134.71</v>
      </c>
      <c r="Z42" s="18">
        <f t="shared" si="71"/>
        <v>65.182000000000002</v>
      </c>
      <c r="AA42" s="37">
        <f t="shared" si="19"/>
        <v>0.37</v>
      </c>
      <c r="AB42" s="4">
        <f t="shared" si="20"/>
        <v>109</v>
      </c>
    </row>
    <row r="43" spans="1:28" ht="13.5" thickBot="1">
      <c r="A43" s="33">
        <v>50.868000000000002</v>
      </c>
      <c r="B43" s="30">
        <v>732.9</v>
      </c>
      <c r="C43" s="30">
        <v>622.2735849056603</v>
      </c>
      <c r="D43" s="30">
        <v>523.5</v>
      </c>
      <c r="E43" s="30">
        <v>385.73684210526312</v>
      </c>
      <c r="F43" s="30">
        <v>281.88461538461536</v>
      </c>
      <c r="G43" s="30">
        <v>159.32608695652172</v>
      </c>
      <c r="H43" s="31">
        <v>99.040540540540519</v>
      </c>
      <c r="I43" s="9">
        <f t="shared" si="55"/>
        <v>0.7329</v>
      </c>
      <c r="J43" s="8">
        <f t="shared" si="56"/>
        <v>4.0791812460476251</v>
      </c>
      <c r="K43" s="8">
        <f t="shared" si="57"/>
        <v>4.4313637641589869</v>
      </c>
      <c r="L43" s="8">
        <f t="shared" si="58"/>
        <v>4.7835462822703496</v>
      </c>
      <c r="M43" s="8">
        <f t="shared" si="59"/>
        <v>5.0334237554869494</v>
      </c>
      <c r="N43" s="8">
        <f t="shared" si="60"/>
        <v>5.3856062735983121</v>
      </c>
      <c r="O43" s="8">
        <f t="shared" si="61"/>
        <v>5.6354837468149119</v>
      </c>
      <c r="P43" s="11">
        <f t="shared" si="62"/>
        <v>0.29999999999999949</v>
      </c>
      <c r="Q43" s="11">
        <f t="shared" si="63"/>
        <v>2.0000000000000004</v>
      </c>
      <c r="R43" s="11">
        <f t="shared" si="64"/>
        <v>0.3</v>
      </c>
      <c r="S43" s="12">
        <f t="shared" si="18"/>
        <v>-205</v>
      </c>
      <c r="T43" s="12">
        <f t="shared" si="65"/>
        <v>820</v>
      </c>
      <c r="U43" s="12">
        <f t="shared" si="66"/>
        <v>274</v>
      </c>
      <c r="V43" s="13">
        <f t="shared" si="67"/>
        <v>457</v>
      </c>
      <c r="W43" s="15">
        <f t="shared" si="68"/>
        <v>1.8260000000000001</v>
      </c>
      <c r="X43" s="18">
        <f t="shared" si="69"/>
        <v>209.4</v>
      </c>
      <c r="Y43" s="18">
        <f t="shared" si="70"/>
        <v>241.61500000000001</v>
      </c>
      <c r="Z43" s="18">
        <f t="shared" si="71"/>
        <v>122.559</v>
      </c>
      <c r="AA43" s="37">
        <f t="shared" si="19"/>
        <v>0.72</v>
      </c>
      <c r="AB43" s="4">
        <f t="shared" si="20"/>
        <v>151</v>
      </c>
    </row>
    <row r="44" spans="1:28" ht="13.5" thickBot="1">
      <c r="A44" s="33">
        <v>49.878900000000002</v>
      </c>
      <c r="B44" s="30">
        <v>706.6</v>
      </c>
      <c r="C44" s="30">
        <v>602.67247915087194</v>
      </c>
      <c r="D44" s="30">
        <v>509.07780979827095</v>
      </c>
      <c r="E44" s="30">
        <v>377.25573945541919</v>
      </c>
      <c r="F44" s="30">
        <v>276.88087774294678</v>
      </c>
      <c r="G44" s="30">
        <v>157.30186999109532</v>
      </c>
      <c r="H44" s="31">
        <v>98.029966703662609</v>
      </c>
      <c r="I44" s="9">
        <f t="shared" si="55"/>
        <v>0.70660000000000001</v>
      </c>
      <c r="J44" s="8">
        <f t="shared" si="56"/>
        <v>4.0659529803138694</v>
      </c>
      <c r="K44" s="8">
        <f t="shared" si="57"/>
        <v>4.4181354984252321</v>
      </c>
      <c r="L44" s="8">
        <f t="shared" si="58"/>
        <v>4.7703180165365948</v>
      </c>
      <c r="M44" s="8">
        <f t="shared" si="59"/>
        <v>5.0201954897531946</v>
      </c>
      <c r="N44" s="8">
        <f t="shared" si="60"/>
        <v>5.3723780078645573</v>
      </c>
      <c r="O44" s="8">
        <f t="shared" si="61"/>
        <v>5.6222554810811571</v>
      </c>
      <c r="P44" s="11">
        <f t="shared" si="62"/>
        <v>0.29099999999999854</v>
      </c>
      <c r="Q44" s="11">
        <f t="shared" si="63"/>
        <v>2.0000000000000013</v>
      </c>
      <c r="R44" s="11">
        <f t="shared" si="64"/>
        <v>0.29099999999999998</v>
      </c>
      <c r="S44" s="12">
        <f t="shared" si="18"/>
        <v>-219</v>
      </c>
      <c r="T44" s="12">
        <f t="shared" si="65"/>
        <v>876</v>
      </c>
      <c r="U44" s="12">
        <f t="shared" si="66"/>
        <v>278</v>
      </c>
      <c r="V44" s="13">
        <f t="shared" si="67"/>
        <v>446</v>
      </c>
      <c r="W44" s="15">
        <f t="shared" si="68"/>
        <v>1.8540000000000001</v>
      </c>
      <c r="X44" s="18">
        <f t="shared" si="69"/>
        <v>197.52199999999999</v>
      </c>
      <c r="Y44" s="18">
        <f t="shared" si="70"/>
        <v>232.197</v>
      </c>
      <c r="Z44" s="18">
        <f t="shared" si="71"/>
        <v>119.57899999999999</v>
      </c>
      <c r="AA44" s="37">
        <f t="shared" si="19"/>
        <v>0.71</v>
      </c>
      <c r="AB44" s="4">
        <f t="shared" si="20"/>
        <v>150</v>
      </c>
    </row>
    <row r="45" spans="1:28" ht="13.5" thickBot="1">
      <c r="A45" s="33">
        <v>49.808250000000001</v>
      </c>
      <c r="B45" s="30">
        <v>701</v>
      </c>
      <c r="C45" s="30">
        <v>599.10736895416562</v>
      </c>
      <c r="D45" s="30">
        <v>506.99132111861138</v>
      </c>
      <c r="E45" s="30">
        <v>376.67920472864051</v>
      </c>
      <c r="F45" s="30">
        <v>277.00210748155956</v>
      </c>
      <c r="G45" s="30">
        <v>157.74077407740774</v>
      </c>
      <c r="H45" s="31">
        <v>98.418195432422323</v>
      </c>
      <c r="I45" s="9">
        <f t="shared" si="55"/>
        <v>0.70099999999999996</v>
      </c>
      <c r="J45" s="8">
        <f t="shared" si="56"/>
        <v>4.0599418880619549</v>
      </c>
      <c r="K45" s="8">
        <f t="shared" si="57"/>
        <v>4.4121244061733176</v>
      </c>
      <c r="L45" s="8">
        <f t="shared" si="58"/>
        <v>4.7643069242846794</v>
      </c>
      <c r="M45" s="8">
        <f t="shared" si="59"/>
        <v>5.0141843975012792</v>
      </c>
      <c r="N45" s="8">
        <f t="shared" si="60"/>
        <v>5.3663669156126419</v>
      </c>
      <c r="O45" s="8">
        <f t="shared" si="61"/>
        <v>5.6162443888292417</v>
      </c>
      <c r="P45" s="11">
        <f t="shared" si="62"/>
        <v>0.28699999999999942</v>
      </c>
      <c r="Q45" s="11">
        <f t="shared" si="63"/>
        <v>2</v>
      </c>
      <c r="R45" s="11">
        <f t="shared" si="64"/>
        <v>0.28699999999999998</v>
      </c>
      <c r="S45" s="12">
        <f t="shared" si="18"/>
        <v>-224</v>
      </c>
      <c r="T45" s="12">
        <f t="shared" si="65"/>
        <v>896</v>
      </c>
      <c r="U45" s="12">
        <f t="shared" si="66"/>
        <v>280</v>
      </c>
      <c r="V45" s="13">
        <f t="shared" si="67"/>
        <v>445</v>
      </c>
      <c r="W45" s="15">
        <f t="shared" si="68"/>
        <v>1.867</v>
      </c>
      <c r="X45" s="18">
        <f t="shared" si="69"/>
        <v>194.00899999999999</v>
      </c>
      <c r="Y45" s="18">
        <f t="shared" si="70"/>
        <v>229.989</v>
      </c>
      <c r="Z45" s="18">
        <f t="shared" si="71"/>
        <v>119.261</v>
      </c>
      <c r="AA45" s="37">
        <f t="shared" si="19"/>
        <v>0.7</v>
      </c>
      <c r="AB45" s="4">
        <f t="shared" si="20"/>
        <v>149</v>
      </c>
    </row>
    <row r="46" spans="1:28" ht="13.5" thickBot="1">
      <c r="A46" s="33">
        <v>49.878900000000002</v>
      </c>
      <c r="B46" s="30">
        <v>698.2</v>
      </c>
      <c r="C46" s="30">
        <v>597.92565338746522</v>
      </c>
      <c r="D46" s="30">
        <v>506.92158760890618</v>
      </c>
      <c r="E46" s="30">
        <v>377.60951865873449</v>
      </c>
      <c r="F46" s="30">
        <v>278.24123273113713</v>
      </c>
      <c r="G46" s="30">
        <v>158.82620564149229</v>
      </c>
      <c r="H46" s="31">
        <v>99.213717317165617</v>
      </c>
      <c r="I46" s="9">
        <f t="shared" si="55"/>
        <v>0.69820000000000004</v>
      </c>
      <c r="J46" s="8">
        <f t="shared" si="56"/>
        <v>4.0538464268522523</v>
      </c>
      <c r="K46" s="8">
        <f t="shared" si="57"/>
        <v>4.406028944963615</v>
      </c>
      <c r="L46" s="8">
        <f t="shared" si="58"/>
        <v>4.7582114630749777</v>
      </c>
      <c r="M46" s="8">
        <f t="shared" si="59"/>
        <v>5.0080889362915775</v>
      </c>
      <c r="N46" s="8">
        <f t="shared" si="60"/>
        <v>5.3602714544029402</v>
      </c>
      <c r="O46" s="8">
        <f t="shared" si="61"/>
        <v>5.61014892761954</v>
      </c>
      <c r="P46" s="11">
        <f t="shared" si="62"/>
        <v>0.28299999999999853</v>
      </c>
      <c r="Q46" s="11">
        <f t="shared" si="63"/>
        <v>2.0000000000000013</v>
      </c>
      <c r="R46" s="11">
        <f t="shared" si="64"/>
        <v>0.28299999999999997</v>
      </c>
      <c r="S46" s="12">
        <f t="shared" si="18"/>
        <v>-228</v>
      </c>
      <c r="T46" s="12">
        <f t="shared" si="65"/>
        <v>912</v>
      </c>
      <c r="U46" s="12">
        <f t="shared" si="66"/>
        <v>282</v>
      </c>
      <c r="V46" s="13">
        <f t="shared" si="67"/>
        <v>445</v>
      </c>
      <c r="W46" s="15">
        <f t="shared" si="68"/>
        <v>1.88</v>
      </c>
      <c r="X46" s="18">
        <f t="shared" si="69"/>
        <v>191.27799999999999</v>
      </c>
      <c r="Y46" s="18">
        <f t="shared" si="70"/>
        <v>228.68</v>
      </c>
      <c r="Z46" s="18">
        <f t="shared" si="71"/>
        <v>119.41500000000001</v>
      </c>
      <c r="AA46" s="37">
        <f t="shared" si="19"/>
        <v>0.71</v>
      </c>
      <c r="AB46" s="4">
        <f t="shared" si="20"/>
        <v>150</v>
      </c>
    </row>
    <row r="47" spans="1:28" ht="13.5" thickBot="1">
      <c r="A47" s="33">
        <v>97.779600000000002</v>
      </c>
      <c r="B47" s="30">
        <v>1190.8</v>
      </c>
      <c r="C47" s="30">
        <v>1029.707916986933</v>
      </c>
      <c r="D47" s="30">
        <v>880.7692307692306</v>
      </c>
      <c r="E47" s="30">
        <v>664.50892857142844</v>
      </c>
      <c r="F47" s="30">
        <v>494.51827242524905</v>
      </c>
      <c r="G47" s="30">
        <v>285.70057581573889</v>
      </c>
      <c r="H47" s="31">
        <v>179.55367913148368</v>
      </c>
      <c r="I47" s="9">
        <f t="shared" si="55"/>
        <v>1.1907999999999999</v>
      </c>
      <c r="J47" s="8">
        <f t="shared" si="56"/>
        <v>4.0236639181977942</v>
      </c>
      <c r="K47" s="8">
        <f t="shared" si="57"/>
        <v>4.375846436309156</v>
      </c>
      <c r="L47" s="8">
        <f t="shared" si="58"/>
        <v>4.7280289544205187</v>
      </c>
      <c r="M47" s="8">
        <f t="shared" si="59"/>
        <v>4.9779064276371185</v>
      </c>
      <c r="N47" s="8">
        <f t="shared" si="60"/>
        <v>5.3300889457484812</v>
      </c>
      <c r="O47" s="8">
        <f t="shared" si="61"/>
        <v>5.5799664189650811</v>
      </c>
      <c r="P47" s="11">
        <f t="shared" si="62"/>
        <v>0.26399999999999985</v>
      </c>
      <c r="Q47" s="11">
        <f t="shared" si="63"/>
        <v>2.0000000000000004</v>
      </c>
      <c r="R47" s="11">
        <f t="shared" si="64"/>
        <v>0.26400000000000001</v>
      </c>
      <c r="S47" s="12">
        <f t="shared" si="18"/>
        <v>-143</v>
      </c>
      <c r="T47" s="12">
        <f t="shared" si="65"/>
        <v>572</v>
      </c>
      <c r="U47" s="12">
        <f t="shared" si="66"/>
        <v>292</v>
      </c>
      <c r="V47" s="13">
        <f t="shared" si="67"/>
        <v>781</v>
      </c>
      <c r="W47" s="15">
        <f t="shared" si="68"/>
        <v>1.946</v>
      </c>
      <c r="X47" s="18">
        <f t="shared" si="69"/>
        <v>310.03100000000001</v>
      </c>
      <c r="Y47" s="18">
        <f t="shared" si="70"/>
        <v>386.25099999999998</v>
      </c>
      <c r="Z47" s="18">
        <f t="shared" si="71"/>
        <v>208.81800000000001</v>
      </c>
      <c r="AA47" s="37">
        <f t="shared" si="19"/>
        <v>1.38</v>
      </c>
      <c r="AB47" s="4">
        <f t="shared" si="20"/>
        <v>209</v>
      </c>
    </row>
    <row r="48" spans="1:28" ht="13.5" thickBot="1">
      <c r="A48" s="33">
        <v>98.203500000000005</v>
      </c>
      <c r="B48" s="30">
        <v>1206.0999999999999</v>
      </c>
      <c r="C48" s="30">
        <v>1040.8047813858348</v>
      </c>
      <c r="D48" s="30">
        <v>888.58055009823181</v>
      </c>
      <c r="E48" s="30">
        <v>668.56984478935703</v>
      </c>
      <c r="F48" s="30">
        <v>496.47365532381997</v>
      </c>
      <c r="G48" s="30">
        <v>286.07685009487665</v>
      </c>
      <c r="H48" s="31">
        <v>179.55041683207622</v>
      </c>
      <c r="I48" s="9">
        <f t="shared" si="55"/>
        <v>1.2060999999999999</v>
      </c>
      <c r="J48" s="8">
        <f t="shared" si="56"/>
        <v>4.030194785356751</v>
      </c>
      <c r="K48" s="8">
        <f t="shared" si="57"/>
        <v>4.3823773034681137</v>
      </c>
      <c r="L48" s="8">
        <f t="shared" si="58"/>
        <v>4.7345598215794764</v>
      </c>
      <c r="M48" s="8">
        <f t="shared" si="59"/>
        <v>4.9844372947960762</v>
      </c>
      <c r="N48" s="8">
        <f t="shared" si="60"/>
        <v>5.3366198129074389</v>
      </c>
      <c r="O48" s="8">
        <f t="shared" si="61"/>
        <v>5.5864972861240387</v>
      </c>
      <c r="P48" s="11">
        <f t="shared" si="62"/>
        <v>0.26799999999999863</v>
      </c>
      <c r="Q48" s="11">
        <f t="shared" si="63"/>
        <v>2.0000000000000013</v>
      </c>
      <c r="R48" s="11">
        <f t="shared" si="64"/>
        <v>0.26800000000000002</v>
      </c>
      <c r="S48" s="12">
        <f t="shared" si="18"/>
        <v>-139</v>
      </c>
      <c r="T48" s="12">
        <f t="shared" si="65"/>
        <v>556</v>
      </c>
      <c r="U48" s="12">
        <f t="shared" si="66"/>
        <v>290</v>
      </c>
      <c r="V48" s="13">
        <f t="shared" si="67"/>
        <v>786</v>
      </c>
      <c r="W48" s="15">
        <f t="shared" si="68"/>
        <v>1.9319999999999999</v>
      </c>
      <c r="X48" s="18">
        <f t="shared" si="69"/>
        <v>317.51900000000001</v>
      </c>
      <c r="Y48" s="18">
        <f t="shared" si="70"/>
        <v>392.10700000000003</v>
      </c>
      <c r="Z48" s="18">
        <f t="shared" si="71"/>
        <v>210.39699999999999</v>
      </c>
      <c r="AA48" s="37">
        <f t="shared" si="19"/>
        <v>1.39</v>
      </c>
      <c r="AB48" s="4">
        <f t="shared" si="20"/>
        <v>210</v>
      </c>
    </row>
    <row r="49" spans="1:28" ht="13.5" thickBot="1">
      <c r="A49" s="33">
        <v>98.274150000000006</v>
      </c>
      <c r="B49" s="30">
        <v>1215.3</v>
      </c>
      <c r="C49" s="30">
        <v>1046.6030875223269</v>
      </c>
      <c r="D49" s="30">
        <v>891.85420743639907</v>
      </c>
      <c r="E49" s="30">
        <v>669.21806167400871</v>
      </c>
      <c r="F49" s="30">
        <v>495.90587595212179</v>
      </c>
      <c r="G49" s="30">
        <v>285.01407129455907</v>
      </c>
      <c r="H49" s="31">
        <v>178.65052920423361</v>
      </c>
      <c r="I49" s="9">
        <f t="shared" si="55"/>
        <v>1.2153</v>
      </c>
      <c r="J49" s="8">
        <f t="shared" si="56"/>
        <v>4.0366288953621616</v>
      </c>
      <c r="K49" s="8">
        <f t="shared" si="57"/>
        <v>4.3888114134735234</v>
      </c>
      <c r="L49" s="8">
        <f t="shared" si="58"/>
        <v>4.7409939315848861</v>
      </c>
      <c r="M49" s="8">
        <f t="shared" si="59"/>
        <v>4.9908714048014859</v>
      </c>
      <c r="N49" s="8">
        <f t="shared" si="60"/>
        <v>5.3430539229128486</v>
      </c>
      <c r="O49" s="8">
        <f t="shared" si="61"/>
        <v>5.5929313961294485</v>
      </c>
      <c r="P49" s="11">
        <f t="shared" si="62"/>
        <v>0.27199999999999908</v>
      </c>
      <c r="Q49" s="11">
        <f t="shared" si="63"/>
        <v>2.0000000000000009</v>
      </c>
      <c r="R49" s="11">
        <f t="shared" si="64"/>
        <v>0.27200000000000002</v>
      </c>
      <c r="S49" s="12">
        <f t="shared" si="18"/>
        <v>-136</v>
      </c>
      <c r="T49" s="12">
        <f t="shared" si="65"/>
        <v>544</v>
      </c>
      <c r="U49" s="12">
        <f t="shared" si="66"/>
        <v>288</v>
      </c>
      <c r="V49" s="13">
        <f t="shared" si="67"/>
        <v>788</v>
      </c>
      <c r="W49" s="15">
        <f t="shared" si="68"/>
        <v>1.917</v>
      </c>
      <c r="X49" s="18">
        <f t="shared" si="69"/>
        <v>323.44600000000003</v>
      </c>
      <c r="Y49" s="18">
        <f t="shared" si="70"/>
        <v>395.94799999999998</v>
      </c>
      <c r="Z49" s="18">
        <f t="shared" si="71"/>
        <v>210.892</v>
      </c>
      <c r="AA49" s="37">
        <f t="shared" si="19"/>
        <v>1.39</v>
      </c>
      <c r="AB49" s="4">
        <f t="shared" si="20"/>
        <v>210</v>
      </c>
    </row>
    <row r="50" spans="1:28" ht="13.5" thickBot="1">
      <c r="A50" s="33">
        <v>98.062200000000004</v>
      </c>
      <c r="B50" s="33">
        <v>1198.0999999999999</v>
      </c>
      <c r="C50" s="33">
        <v>1038.6816080143849</v>
      </c>
      <c r="D50" s="33">
        <v>890.55996035678891</v>
      </c>
      <c r="E50" s="33">
        <v>674.22622397298824</v>
      </c>
      <c r="F50" s="33">
        <v>503.12150055991043</v>
      </c>
      <c r="G50" s="33">
        <v>291.65043816942551</v>
      </c>
      <c r="H50" s="34">
        <v>183.60747854515733</v>
      </c>
      <c r="I50" s="9">
        <f t="shared" si="55"/>
        <v>1.1980999999999999</v>
      </c>
      <c r="J50" s="8">
        <f t="shared" si="56"/>
        <v>4.0153597554092135</v>
      </c>
      <c r="K50" s="8">
        <f t="shared" si="57"/>
        <v>4.3675422735205771</v>
      </c>
      <c r="L50" s="8">
        <f t="shared" si="58"/>
        <v>4.7197247916319389</v>
      </c>
      <c r="M50" s="8">
        <f t="shared" si="59"/>
        <v>4.9696022648485387</v>
      </c>
      <c r="N50" s="8">
        <f t="shared" si="60"/>
        <v>5.3217847829599014</v>
      </c>
      <c r="O50" s="8">
        <f t="shared" si="61"/>
        <v>5.5716622561765012</v>
      </c>
      <c r="P50" s="11">
        <f t="shared" si="62"/>
        <v>0.25899999999999951</v>
      </c>
      <c r="Q50" s="11">
        <f t="shared" si="63"/>
        <v>2.0000000000000004</v>
      </c>
      <c r="R50" s="11">
        <f t="shared" si="64"/>
        <v>0.25900000000000001</v>
      </c>
      <c r="S50" s="12">
        <f t="shared" si="18"/>
        <v>-145</v>
      </c>
      <c r="T50" s="12">
        <f t="shared" si="65"/>
        <v>580</v>
      </c>
      <c r="U50" s="12">
        <f t="shared" si="66"/>
        <v>295</v>
      </c>
      <c r="V50" s="13">
        <f t="shared" si="67"/>
        <v>792</v>
      </c>
      <c r="W50" s="15">
        <f t="shared" si="68"/>
        <v>1.9650000000000001</v>
      </c>
      <c r="X50" s="18">
        <f t="shared" si="69"/>
        <v>307.54000000000002</v>
      </c>
      <c r="Y50" s="18">
        <f t="shared" si="70"/>
        <v>387.43799999999999</v>
      </c>
      <c r="Z50" s="18">
        <f t="shared" si="71"/>
        <v>211.471</v>
      </c>
      <c r="AA50" s="37">
        <f t="shared" si="19"/>
        <v>1.39</v>
      </c>
      <c r="AB50" s="4">
        <f t="shared" si="20"/>
        <v>210</v>
      </c>
    </row>
    <row r="51" spans="1:28" ht="13.5" thickBot="1">
      <c r="A51" s="33">
        <v>26.847000000000001</v>
      </c>
      <c r="B51" s="27">
        <v>550</v>
      </c>
      <c r="C51" s="27">
        <v>433.39948634134953</v>
      </c>
      <c r="D51" s="27">
        <v>342.60797342192689</v>
      </c>
      <c r="E51" s="27">
        <v>232.85351397121084</v>
      </c>
      <c r="F51" s="27">
        <v>160.75604053000779</v>
      </c>
      <c r="G51" s="27">
        <v>85.297766749379647</v>
      </c>
      <c r="H51" s="28">
        <v>51.472423259296228</v>
      </c>
      <c r="I51" s="9">
        <f t="shared" ref="I51:I62" si="72">B51/1000</f>
        <v>0.55000000000000004</v>
      </c>
      <c r="J51" s="8">
        <f t="shared" ref="J51:J62" si="73">LOG10((((3*150*150)*B51)/C51)-((3*150*150)))</f>
        <v>4.2591158441850663</v>
      </c>
      <c r="K51" s="8">
        <f t="shared" ref="K51:K62" si="74">LOG10((((3*150*150)*B51)/D51)-((3*150*150)))</f>
        <v>4.611298362296429</v>
      </c>
      <c r="L51" s="8">
        <f t="shared" ref="L51:L62" si="75">LOG10((((3*150*150)*B51)/E51)-((3*150*150)))</f>
        <v>4.9634808804077917</v>
      </c>
      <c r="M51" s="8">
        <f t="shared" ref="M51:M62" si="76">LOG10((((3*150*150)*B51)/F51)-((3*150*150)))</f>
        <v>5.2133583536243915</v>
      </c>
      <c r="N51" s="8">
        <f t="shared" ref="N51:N62" si="77">LOG10((((3*150*150)*B51)/G51)-((3*150*150)))</f>
        <v>5.5655408717357533</v>
      </c>
      <c r="O51" s="8">
        <f t="shared" ref="O51:O62" si="78">LOG10((((3*150*150)*B51)/H51)-((3*150*150)))</f>
        <v>5.815418344952354</v>
      </c>
      <c r="P51" s="11">
        <f t="shared" ref="P51:P62" si="79">10^(INTERCEPT(J51:O51,$J$1:$O$1))</f>
        <v>0.45399999999999896</v>
      </c>
      <c r="Q51" s="11">
        <f t="shared" ref="Q51:Q62" si="80">LINEST(J51:O51,$J$1:$O$1)</f>
        <v>2.0000000000000004</v>
      </c>
      <c r="R51" s="11">
        <f t="shared" ref="R51:R62" si="81">ROUND(10^((SUM(J51:N51)-2*SUM($J$1:$N$1))/5),3)</f>
        <v>0.45400000000000001</v>
      </c>
      <c r="S51" s="12">
        <f t="shared" si="18"/>
        <v>-180</v>
      </c>
      <c r="T51" s="12">
        <f t="shared" ref="T51:T62" si="82">-4*S51</f>
        <v>720</v>
      </c>
      <c r="U51" s="12">
        <f t="shared" ref="U51:U62" si="83">ROUND(150/(R51^0.5),0)</f>
        <v>223</v>
      </c>
      <c r="V51" s="13">
        <f t="shared" ref="V51:V62" si="84">ROUND(150*I51*ATAN((1800*SQRT(3*R51))/(3*150))*SQRT(3/(R51)),0)</f>
        <v>288</v>
      </c>
      <c r="W51" s="15">
        <f t="shared" ref="W51:W62" si="85">ROUND(1/SQRT(R51),3)</f>
        <v>1.484</v>
      </c>
      <c r="X51" s="18">
        <f t="shared" ref="X51:X62" si="86">ROUND(B51-D51,3)</f>
        <v>207.392</v>
      </c>
      <c r="Y51" s="18">
        <f t="shared" ref="Y51:Y62" si="87">ROUND(D51-F51,3)</f>
        <v>181.852</v>
      </c>
      <c r="Z51" s="18">
        <f t="shared" ref="Z51:Z62" si="88">ROUND(F51-G51,3)</f>
        <v>75.457999999999998</v>
      </c>
      <c r="AA51" s="37">
        <f t="shared" si="19"/>
        <v>0.38</v>
      </c>
      <c r="AB51" s="4">
        <f t="shared" si="20"/>
        <v>110</v>
      </c>
    </row>
    <row r="52" spans="1:28" ht="13.5" thickBot="1">
      <c r="A52" s="33">
        <v>27.341550000000002</v>
      </c>
      <c r="B52" s="30">
        <v>475.5</v>
      </c>
      <c r="C52" s="30">
        <v>377.51411432604095</v>
      </c>
      <c r="D52" s="30">
        <v>300.18939393939394</v>
      </c>
      <c r="E52" s="30">
        <v>205.48833189282627</v>
      </c>
      <c r="F52" s="30">
        <v>142.53597122302159</v>
      </c>
      <c r="G52" s="30">
        <v>76.007033248081839</v>
      </c>
      <c r="H52" s="31">
        <v>45.968677494199532</v>
      </c>
      <c r="I52" s="9">
        <f t="shared" si="72"/>
        <v>0.47549999999999998</v>
      </c>
      <c r="J52" s="8">
        <f t="shared" si="73"/>
        <v>4.2435341018320623</v>
      </c>
      <c r="K52" s="8">
        <f t="shared" si="74"/>
        <v>4.5957166199434241</v>
      </c>
      <c r="L52" s="8">
        <f t="shared" si="75"/>
        <v>4.9478991380547868</v>
      </c>
      <c r="M52" s="8">
        <f t="shared" si="76"/>
        <v>5.1977766112713866</v>
      </c>
      <c r="N52" s="8">
        <f t="shared" si="77"/>
        <v>5.5499591293827493</v>
      </c>
      <c r="O52" s="8">
        <f t="shared" si="78"/>
        <v>5.7998366025993491</v>
      </c>
      <c r="P52" s="11">
        <f t="shared" si="79"/>
        <v>0.43799999999999839</v>
      </c>
      <c r="Q52" s="11">
        <f t="shared" si="80"/>
        <v>2.0000000000000009</v>
      </c>
      <c r="R52" s="11">
        <f t="shared" si="81"/>
        <v>0.438</v>
      </c>
      <c r="S52" s="12">
        <f t="shared" si="18"/>
        <v>-216</v>
      </c>
      <c r="T52" s="12">
        <f t="shared" si="82"/>
        <v>864</v>
      </c>
      <c r="U52" s="12">
        <f t="shared" si="83"/>
        <v>227</v>
      </c>
      <c r="V52" s="13">
        <f t="shared" si="84"/>
        <v>253</v>
      </c>
      <c r="W52" s="15">
        <f t="shared" si="85"/>
        <v>1.5109999999999999</v>
      </c>
      <c r="X52" s="18">
        <f t="shared" si="86"/>
        <v>175.31100000000001</v>
      </c>
      <c r="Y52" s="18">
        <f t="shared" si="87"/>
        <v>157.65299999999999</v>
      </c>
      <c r="Z52" s="18">
        <f t="shared" si="88"/>
        <v>66.528999999999996</v>
      </c>
      <c r="AA52" s="37">
        <f t="shared" si="19"/>
        <v>0.39</v>
      </c>
      <c r="AB52" s="4">
        <f t="shared" si="20"/>
        <v>111</v>
      </c>
    </row>
    <row r="53" spans="1:28" ht="13.5" thickBot="1">
      <c r="A53" s="33">
        <v>27.482849999999999</v>
      </c>
      <c r="B53" s="30">
        <v>461.9</v>
      </c>
      <c r="C53" s="30">
        <v>368.97337278106505</v>
      </c>
      <c r="D53" s="30">
        <v>294.8297872340425</v>
      </c>
      <c r="E53" s="30">
        <v>203.03296703296701</v>
      </c>
      <c r="F53" s="30">
        <v>141.39795918367346</v>
      </c>
      <c r="G53" s="30">
        <v>75.72131147540982</v>
      </c>
      <c r="H53" s="31">
        <v>45.884105960264897</v>
      </c>
      <c r="I53" s="9">
        <f t="shared" si="72"/>
        <v>0.46189999999999998</v>
      </c>
      <c r="J53" s="8">
        <f t="shared" si="73"/>
        <v>4.2304489213782741</v>
      </c>
      <c r="K53" s="8">
        <f t="shared" si="74"/>
        <v>4.5826314394896368</v>
      </c>
      <c r="L53" s="8">
        <f t="shared" si="75"/>
        <v>4.9348139576009986</v>
      </c>
      <c r="M53" s="8">
        <f t="shared" si="76"/>
        <v>5.1846914308175984</v>
      </c>
      <c r="N53" s="8">
        <f t="shared" si="77"/>
        <v>5.5368739489289611</v>
      </c>
      <c r="O53" s="8">
        <f t="shared" si="78"/>
        <v>5.7867514221455609</v>
      </c>
      <c r="P53" s="11">
        <f t="shared" si="79"/>
        <v>0.42499999999999916</v>
      </c>
      <c r="Q53" s="11">
        <f t="shared" si="80"/>
        <v>2</v>
      </c>
      <c r="R53" s="11">
        <f t="shared" si="81"/>
        <v>0.42499999999999999</v>
      </c>
      <c r="S53" s="12">
        <f t="shared" si="18"/>
        <v>-229</v>
      </c>
      <c r="T53" s="12">
        <f t="shared" si="82"/>
        <v>916</v>
      </c>
      <c r="U53" s="12">
        <f t="shared" si="83"/>
        <v>230</v>
      </c>
      <c r="V53" s="13">
        <f t="shared" si="84"/>
        <v>249</v>
      </c>
      <c r="W53" s="15">
        <f t="shared" si="85"/>
        <v>1.534</v>
      </c>
      <c r="X53" s="18">
        <f t="shared" si="86"/>
        <v>167.07</v>
      </c>
      <c r="Y53" s="18">
        <f t="shared" si="87"/>
        <v>153.43199999999999</v>
      </c>
      <c r="Z53" s="18">
        <f t="shared" si="88"/>
        <v>65.677000000000007</v>
      </c>
      <c r="AA53" s="37">
        <f t="shared" si="19"/>
        <v>0.39</v>
      </c>
      <c r="AB53" s="4">
        <f t="shared" si="20"/>
        <v>111</v>
      </c>
    </row>
    <row r="54" spans="1:28" ht="13.5" thickBot="1">
      <c r="A54" s="33">
        <v>27.62415</v>
      </c>
      <c r="B54" s="30">
        <v>458.5</v>
      </c>
      <c r="C54" s="30">
        <v>367.47506530515318</v>
      </c>
      <c r="D54" s="30">
        <v>294.41352739726028</v>
      </c>
      <c r="E54" s="30">
        <v>203.41614906832299</v>
      </c>
      <c r="F54" s="30">
        <v>141.97976878612718</v>
      </c>
      <c r="G54" s="30">
        <v>76.213430851063833</v>
      </c>
      <c r="H54" s="31">
        <v>46.232186071524602</v>
      </c>
      <c r="I54" s="9">
        <f t="shared" si="72"/>
        <v>0.45850000000000002</v>
      </c>
      <c r="J54" s="8">
        <f t="shared" si="73"/>
        <v>4.223236273102998</v>
      </c>
      <c r="K54" s="8">
        <f t="shared" si="74"/>
        <v>4.5754187912143598</v>
      </c>
      <c r="L54" s="8">
        <f t="shared" si="75"/>
        <v>4.9276013093257225</v>
      </c>
      <c r="M54" s="8">
        <f t="shared" si="76"/>
        <v>5.1774787825423223</v>
      </c>
      <c r="N54" s="8">
        <f t="shared" si="77"/>
        <v>5.529661300653685</v>
      </c>
      <c r="O54" s="8">
        <f t="shared" si="78"/>
        <v>5.7795387738702848</v>
      </c>
      <c r="P54" s="11">
        <f t="shared" si="79"/>
        <v>0.41799999999999937</v>
      </c>
      <c r="Q54" s="11">
        <f t="shared" si="80"/>
        <v>2.0000000000000004</v>
      </c>
      <c r="R54" s="11">
        <f t="shared" si="81"/>
        <v>0.41799999999999998</v>
      </c>
      <c r="S54" s="12">
        <f t="shared" si="18"/>
        <v>-235</v>
      </c>
      <c r="T54" s="12">
        <f t="shared" si="82"/>
        <v>940</v>
      </c>
      <c r="U54" s="12">
        <f t="shared" si="83"/>
        <v>232</v>
      </c>
      <c r="V54" s="13">
        <f t="shared" si="84"/>
        <v>249</v>
      </c>
      <c r="W54" s="15">
        <f t="shared" si="85"/>
        <v>1.5469999999999999</v>
      </c>
      <c r="X54" s="18">
        <f t="shared" si="86"/>
        <v>164.08600000000001</v>
      </c>
      <c r="Y54" s="18">
        <f t="shared" si="87"/>
        <v>152.434</v>
      </c>
      <c r="Z54" s="18">
        <f t="shared" si="88"/>
        <v>65.766000000000005</v>
      </c>
      <c r="AA54" s="37">
        <f t="shared" si="19"/>
        <v>0.39</v>
      </c>
      <c r="AB54" s="4">
        <f t="shared" si="20"/>
        <v>111</v>
      </c>
    </row>
    <row r="55" spans="1:28" ht="13.5" thickBot="1">
      <c r="A55" s="33">
        <v>51.433199999999999</v>
      </c>
      <c r="B55" s="30">
        <v>798.8</v>
      </c>
      <c r="C55" s="30">
        <v>655.47045951859945</v>
      </c>
      <c r="D55" s="30">
        <v>535.38873994638061</v>
      </c>
      <c r="E55" s="30">
        <v>379.11722828666348</v>
      </c>
      <c r="F55" s="30">
        <v>269.13746630727758</v>
      </c>
      <c r="G55" s="30">
        <v>147.1628592483419</v>
      </c>
      <c r="H55" s="31">
        <v>90.036068530207388</v>
      </c>
      <c r="I55" s="9">
        <f t="shared" si="72"/>
        <v>0.79879999999999995</v>
      </c>
      <c r="J55" s="8">
        <f t="shared" si="73"/>
        <v>4.1690863574870232</v>
      </c>
      <c r="K55" s="8">
        <f t="shared" si="74"/>
        <v>4.5212688755983859</v>
      </c>
      <c r="L55" s="8">
        <f t="shared" si="75"/>
        <v>4.8734513937097477</v>
      </c>
      <c r="M55" s="8">
        <f t="shared" si="76"/>
        <v>5.1233288669263475</v>
      </c>
      <c r="N55" s="8">
        <f t="shared" si="77"/>
        <v>5.4755113850377102</v>
      </c>
      <c r="O55" s="8">
        <f t="shared" si="78"/>
        <v>5.72538885825431</v>
      </c>
      <c r="P55" s="11">
        <f t="shared" si="79"/>
        <v>0.36899999999999944</v>
      </c>
      <c r="Q55" s="11">
        <f t="shared" si="80"/>
        <v>2</v>
      </c>
      <c r="R55" s="11">
        <f t="shared" si="81"/>
        <v>0.36899999999999999</v>
      </c>
      <c r="S55" s="12">
        <f t="shared" si="18"/>
        <v>-153</v>
      </c>
      <c r="T55" s="12">
        <f t="shared" si="82"/>
        <v>612</v>
      </c>
      <c r="U55" s="12">
        <f t="shared" si="83"/>
        <v>247</v>
      </c>
      <c r="V55" s="13">
        <f t="shared" si="84"/>
        <v>457</v>
      </c>
      <c r="W55" s="15">
        <f t="shared" si="85"/>
        <v>1.6459999999999999</v>
      </c>
      <c r="X55" s="18">
        <f t="shared" si="86"/>
        <v>263.411</v>
      </c>
      <c r="Y55" s="18">
        <f t="shared" si="87"/>
        <v>266.25099999999998</v>
      </c>
      <c r="Z55" s="18">
        <f t="shared" si="88"/>
        <v>121.97499999999999</v>
      </c>
      <c r="AA55" s="37">
        <f t="shared" si="19"/>
        <v>0.73</v>
      </c>
      <c r="AB55" s="4">
        <f t="shared" si="20"/>
        <v>152</v>
      </c>
    </row>
    <row r="56" spans="1:28" ht="13.5" thickBot="1">
      <c r="A56" s="33">
        <v>49.949550000000002</v>
      </c>
      <c r="B56" s="30">
        <v>765.9</v>
      </c>
      <c r="C56" s="30">
        <v>630.92811813522076</v>
      </c>
      <c r="D56" s="30">
        <v>517.03420342034201</v>
      </c>
      <c r="E56" s="30">
        <v>367.69083053288523</v>
      </c>
      <c r="F56" s="30">
        <v>261.81631722880581</v>
      </c>
      <c r="G56" s="30">
        <v>143.64216054013502</v>
      </c>
      <c r="H56" s="31">
        <v>88.020992951271822</v>
      </c>
      <c r="I56" s="9">
        <f t="shared" si="72"/>
        <v>0.76590000000000003</v>
      </c>
      <c r="J56" s="8">
        <f t="shared" si="73"/>
        <v>4.1595671932336211</v>
      </c>
      <c r="K56" s="8">
        <f t="shared" si="74"/>
        <v>4.5117497113449829</v>
      </c>
      <c r="L56" s="8">
        <f t="shared" si="75"/>
        <v>4.8639322294563456</v>
      </c>
      <c r="M56" s="8">
        <f t="shared" si="76"/>
        <v>5.1138097026729454</v>
      </c>
      <c r="N56" s="8">
        <f t="shared" si="77"/>
        <v>5.4659922207843072</v>
      </c>
      <c r="O56" s="8">
        <f t="shared" si="78"/>
        <v>5.7158696940009079</v>
      </c>
      <c r="P56" s="11">
        <f t="shared" si="79"/>
        <v>0.36099999999999982</v>
      </c>
      <c r="Q56" s="11">
        <f t="shared" si="80"/>
        <v>2</v>
      </c>
      <c r="R56" s="11">
        <f t="shared" si="81"/>
        <v>0.36099999999999999</v>
      </c>
      <c r="S56" s="12">
        <f t="shared" si="18"/>
        <v>-163</v>
      </c>
      <c r="T56" s="12">
        <f t="shared" si="82"/>
        <v>652</v>
      </c>
      <c r="U56" s="12">
        <f t="shared" si="83"/>
        <v>250</v>
      </c>
      <c r="V56" s="13">
        <f t="shared" si="84"/>
        <v>442</v>
      </c>
      <c r="W56" s="15">
        <f t="shared" si="85"/>
        <v>1.6639999999999999</v>
      </c>
      <c r="X56" s="18">
        <f t="shared" si="86"/>
        <v>248.86600000000001</v>
      </c>
      <c r="Y56" s="18">
        <f t="shared" si="87"/>
        <v>255.21799999999999</v>
      </c>
      <c r="Z56" s="18">
        <f t="shared" si="88"/>
        <v>118.17400000000001</v>
      </c>
      <c r="AA56" s="37">
        <f t="shared" si="19"/>
        <v>0.71</v>
      </c>
      <c r="AB56" s="4">
        <f t="shared" si="20"/>
        <v>150</v>
      </c>
    </row>
    <row r="57" spans="1:28" ht="13.5" thickBot="1">
      <c r="A57" s="33">
        <v>49.878900000000002</v>
      </c>
      <c r="B57" s="30">
        <v>756.1</v>
      </c>
      <c r="C57" s="30">
        <v>624.99081557678187</v>
      </c>
      <c r="D57" s="30">
        <v>513.65489130434787</v>
      </c>
      <c r="E57" s="30">
        <v>366.68283220174595</v>
      </c>
      <c r="F57" s="30">
        <v>261.80747922437678</v>
      </c>
      <c r="G57" s="30">
        <v>144.07393292682929</v>
      </c>
      <c r="H57" s="31">
        <v>88.412067352666057</v>
      </c>
      <c r="I57" s="9">
        <f t="shared" si="72"/>
        <v>0.75609999999999999</v>
      </c>
      <c r="J57" s="8">
        <f t="shared" si="73"/>
        <v>4.1510632533537501</v>
      </c>
      <c r="K57" s="8">
        <f t="shared" si="74"/>
        <v>4.5032457714651128</v>
      </c>
      <c r="L57" s="8">
        <f t="shared" si="75"/>
        <v>4.8554282895764747</v>
      </c>
      <c r="M57" s="8">
        <f t="shared" si="76"/>
        <v>5.1053057627930754</v>
      </c>
      <c r="N57" s="8">
        <f t="shared" si="77"/>
        <v>5.4574882809044372</v>
      </c>
      <c r="O57" s="8">
        <f t="shared" si="78"/>
        <v>5.707365754121037</v>
      </c>
      <c r="P57" s="11">
        <f t="shared" si="79"/>
        <v>0.35399999999999987</v>
      </c>
      <c r="Q57" s="11">
        <f t="shared" si="80"/>
        <v>2.0000000000000004</v>
      </c>
      <c r="R57" s="11">
        <f t="shared" si="81"/>
        <v>0.35399999999999998</v>
      </c>
      <c r="S57" s="12">
        <f t="shared" si="18"/>
        <v>-168</v>
      </c>
      <c r="T57" s="12">
        <f t="shared" si="82"/>
        <v>672</v>
      </c>
      <c r="U57" s="12">
        <f t="shared" si="83"/>
        <v>252</v>
      </c>
      <c r="V57" s="13">
        <f t="shared" si="84"/>
        <v>440</v>
      </c>
      <c r="W57" s="15">
        <f t="shared" si="85"/>
        <v>1.681</v>
      </c>
      <c r="X57" s="18">
        <f t="shared" si="86"/>
        <v>242.44499999999999</v>
      </c>
      <c r="Y57" s="18">
        <f t="shared" si="87"/>
        <v>251.84700000000001</v>
      </c>
      <c r="Z57" s="18">
        <f t="shared" si="88"/>
        <v>117.73399999999999</v>
      </c>
      <c r="AA57" s="37">
        <f t="shared" si="19"/>
        <v>0.71</v>
      </c>
      <c r="AB57" s="4">
        <f t="shared" si="20"/>
        <v>150</v>
      </c>
    </row>
    <row r="58" spans="1:28" ht="13.5" thickBot="1">
      <c r="A58" s="33">
        <v>49.808250000000001</v>
      </c>
      <c r="B58" s="30">
        <v>753.2</v>
      </c>
      <c r="C58" s="30">
        <v>623.50993377483451</v>
      </c>
      <c r="D58" s="30">
        <v>513.07901907356961</v>
      </c>
      <c r="E58" s="30">
        <v>366.87773989283983</v>
      </c>
      <c r="F58" s="30">
        <v>262.25626740947081</v>
      </c>
      <c r="G58" s="30">
        <v>144.51266308518805</v>
      </c>
      <c r="H58" s="31">
        <v>88.73704052780397</v>
      </c>
      <c r="I58" s="9">
        <f t="shared" si="72"/>
        <v>0.75320000000000009</v>
      </c>
      <c r="J58" s="8">
        <f t="shared" si="73"/>
        <v>4.1473671077937864</v>
      </c>
      <c r="K58" s="8">
        <f t="shared" si="74"/>
        <v>4.4995496259051482</v>
      </c>
      <c r="L58" s="8">
        <f t="shared" si="75"/>
        <v>4.8517321440165109</v>
      </c>
      <c r="M58" s="8">
        <f t="shared" si="76"/>
        <v>5.1016096172331116</v>
      </c>
      <c r="N58" s="8">
        <f t="shared" si="77"/>
        <v>5.4537921353444734</v>
      </c>
      <c r="O58" s="8">
        <f t="shared" si="78"/>
        <v>5.7036696085610741</v>
      </c>
      <c r="P58" s="11">
        <f t="shared" si="79"/>
        <v>0.35099999999999687</v>
      </c>
      <c r="Q58" s="11">
        <f t="shared" si="80"/>
        <v>2.0000000000000009</v>
      </c>
      <c r="R58" s="11">
        <f t="shared" si="81"/>
        <v>0.35099999999999998</v>
      </c>
      <c r="S58" s="12">
        <f t="shared" si="18"/>
        <v>-170</v>
      </c>
      <c r="T58" s="12">
        <f t="shared" si="82"/>
        <v>680</v>
      </c>
      <c r="U58" s="12">
        <f t="shared" si="83"/>
        <v>253</v>
      </c>
      <c r="V58" s="13">
        <f t="shared" si="84"/>
        <v>440</v>
      </c>
      <c r="W58" s="15">
        <f t="shared" si="85"/>
        <v>1.6879999999999999</v>
      </c>
      <c r="X58" s="18">
        <f t="shared" si="86"/>
        <v>240.12100000000001</v>
      </c>
      <c r="Y58" s="18">
        <f t="shared" si="87"/>
        <v>250.82300000000001</v>
      </c>
      <c r="Z58" s="18">
        <f t="shared" si="88"/>
        <v>117.744</v>
      </c>
      <c r="AA58" s="37">
        <f t="shared" si="19"/>
        <v>0.7</v>
      </c>
      <c r="AB58" s="4">
        <f t="shared" si="20"/>
        <v>149</v>
      </c>
    </row>
    <row r="59" spans="1:28" ht="13.5" thickBot="1">
      <c r="A59" s="33">
        <v>98.274150000000006</v>
      </c>
      <c r="B59" s="30">
        <v>1281.5999999999999</v>
      </c>
      <c r="C59" s="30">
        <v>1084.3319127600903</v>
      </c>
      <c r="D59" s="30">
        <v>909.3661305581835</v>
      </c>
      <c r="E59" s="30">
        <v>667.15252472670488</v>
      </c>
      <c r="F59" s="30">
        <v>485.94539939332657</v>
      </c>
      <c r="G59" s="30">
        <v>273.61229718189583</v>
      </c>
      <c r="H59" s="31">
        <v>169.76333451077357</v>
      </c>
      <c r="I59" s="9">
        <f t="shared" si="72"/>
        <v>1.2815999999999999</v>
      </c>
      <c r="J59" s="8">
        <f t="shared" si="73"/>
        <v>4.0891983668051486</v>
      </c>
      <c r="K59" s="8">
        <f t="shared" si="74"/>
        <v>4.4413808849165113</v>
      </c>
      <c r="L59" s="8">
        <f t="shared" si="75"/>
        <v>4.793563403027874</v>
      </c>
      <c r="M59" s="8">
        <f t="shared" si="76"/>
        <v>5.0434408762444738</v>
      </c>
      <c r="N59" s="8">
        <f t="shared" si="77"/>
        <v>5.3956233943558365</v>
      </c>
      <c r="O59" s="8">
        <f t="shared" si="78"/>
        <v>5.6455008675724363</v>
      </c>
      <c r="P59" s="11">
        <f t="shared" si="79"/>
        <v>0.30699999999999839</v>
      </c>
      <c r="Q59" s="11">
        <f t="shared" si="80"/>
        <v>2.0000000000000013</v>
      </c>
      <c r="R59" s="11">
        <f t="shared" si="81"/>
        <v>0.307</v>
      </c>
      <c r="S59" s="12">
        <f t="shared" si="18"/>
        <v>-114</v>
      </c>
      <c r="T59" s="12">
        <f t="shared" si="82"/>
        <v>456</v>
      </c>
      <c r="U59" s="12">
        <f t="shared" si="83"/>
        <v>271</v>
      </c>
      <c r="V59" s="13">
        <f t="shared" si="84"/>
        <v>791</v>
      </c>
      <c r="W59" s="15">
        <f t="shared" si="85"/>
        <v>1.8049999999999999</v>
      </c>
      <c r="X59" s="18">
        <f t="shared" si="86"/>
        <v>372.23399999999998</v>
      </c>
      <c r="Y59" s="18">
        <f t="shared" si="87"/>
        <v>423.42099999999999</v>
      </c>
      <c r="Z59" s="18">
        <f t="shared" si="88"/>
        <v>212.333</v>
      </c>
      <c r="AA59" s="37">
        <f t="shared" si="19"/>
        <v>1.39</v>
      </c>
      <c r="AB59" s="4">
        <f t="shared" si="20"/>
        <v>210</v>
      </c>
    </row>
    <row r="60" spans="1:28" ht="13.5" thickBot="1">
      <c r="A60" s="33">
        <v>98.415450000000007</v>
      </c>
      <c r="B60" s="30">
        <v>1276.2</v>
      </c>
      <c r="C60" s="30">
        <v>1084.6575169982375</v>
      </c>
      <c r="D60" s="30">
        <v>913.31106870229019</v>
      </c>
      <c r="E60" s="30">
        <v>673.81203801478364</v>
      </c>
      <c r="F60" s="30">
        <v>492.86817713697229</v>
      </c>
      <c r="G60" s="30">
        <v>278.88986013986016</v>
      </c>
      <c r="H60" s="31">
        <v>173.45958680681409</v>
      </c>
      <c r="I60" s="9">
        <f t="shared" si="72"/>
        <v>1.2762</v>
      </c>
      <c r="J60" s="8">
        <f t="shared" si="73"/>
        <v>4.0762762554042169</v>
      </c>
      <c r="K60" s="8">
        <f t="shared" si="74"/>
        <v>4.4284587735155796</v>
      </c>
      <c r="L60" s="8">
        <f t="shared" si="75"/>
        <v>4.7806412916269423</v>
      </c>
      <c r="M60" s="8">
        <f t="shared" si="76"/>
        <v>5.0305187648435421</v>
      </c>
      <c r="N60" s="8">
        <f t="shared" si="77"/>
        <v>5.3827012829549048</v>
      </c>
      <c r="O60" s="8">
        <f t="shared" si="78"/>
        <v>5.6325787561715046</v>
      </c>
      <c r="P60" s="11">
        <f t="shared" si="79"/>
        <v>0.29799999999999754</v>
      </c>
      <c r="Q60" s="11">
        <f t="shared" si="80"/>
        <v>2.0000000000000013</v>
      </c>
      <c r="R60" s="11">
        <f t="shared" si="81"/>
        <v>0.29799999999999999</v>
      </c>
      <c r="S60" s="12">
        <f t="shared" si="18"/>
        <v>-118</v>
      </c>
      <c r="T60" s="12">
        <f t="shared" si="82"/>
        <v>472</v>
      </c>
      <c r="U60" s="12">
        <f t="shared" si="83"/>
        <v>275</v>
      </c>
      <c r="V60" s="13">
        <f t="shared" si="84"/>
        <v>797</v>
      </c>
      <c r="W60" s="15">
        <f t="shared" si="85"/>
        <v>1.8320000000000001</v>
      </c>
      <c r="X60" s="18">
        <f t="shared" si="86"/>
        <v>362.88900000000001</v>
      </c>
      <c r="Y60" s="18">
        <f t="shared" si="87"/>
        <v>420.44299999999998</v>
      </c>
      <c r="Z60" s="18">
        <f t="shared" si="88"/>
        <v>213.97800000000001</v>
      </c>
      <c r="AA60" s="37">
        <f t="shared" si="19"/>
        <v>1.39</v>
      </c>
      <c r="AB60" s="4">
        <f t="shared" si="20"/>
        <v>210</v>
      </c>
    </row>
    <row r="61" spans="1:28" ht="13.5" thickBot="1">
      <c r="A61" s="33">
        <v>98.203500000000005</v>
      </c>
      <c r="B61" s="30">
        <v>1266.5999999999999</v>
      </c>
      <c r="C61" s="30">
        <v>1073.79427279578</v>
      </c>
      <c r="D61" s="30">
        <v>902.13675213675219</v>
      </c>
      <c r="E61" s="30">
        <v>663.48873755893135</v>
      </c>
      <c r="F61" s="30">
        <v>484.17431192660553</v>
      </c>
      <c r="G61" s="30">
        <v>273.20966350301984</v>
      </c>
      <c r="H61" s="31">
        <v>169.69453376205789</v>
      </c>
      <c r="I61" s="9">
        <f t="shared" si="72"/>
        <v>1.2665999999999999</v>
      </c>
      <c r="J61" s="8">
        <f t="shared" si="73"/>
        <v>4.0835026198302673</v>
      </c>
      <c r="K61" s="8">
        <f t="shared" si="74"/>
        <v>4.43568513794163</v>
      </c>
      <c r="L61" s="8">
        <f t="shared" si="75"/>
        <v>4.7878676560529927</v>
      </c>
      <c r="M61" s="8">
        <f t="shared" si="76"/>
        <v>5.0377451292695925</v>
      </c>
      <c r="N61" s="8">
        <f t="shared" si="77"/>
        <v>5.3899276473809552</v>
      </c>
      <c r="O61" s="8">
        <f t="shared" si="78"/>
        <v>5.639805120597555</v>
      </c>
      <c r="P61" s="11">
        <f t="shared" si="79"/>
        <v>0.30299999999999794</v>
      </c>
      <c r="Q61" s="11">
        <f t="shared" si="80"/>
        <v>2.0000000000000013</v>
      </c>
      <c r="R61" s="11">
        <f t="shared" si="81"/>
        <v>0.30299999999999999</v>
      </c>
      <c r="S61" s="12">
        <f t="shared" si="18"/>
        <v>-117</v>
      </c>
      <c r="T61" s="12">
        <f t="shared" si="82"/>
        <v>468</v>
      </c>
      <c r="U61" s="12">
        <f t="shared" si="83"/>
        <v>273</v>
      </c>
      <c r="V61" s="13">
        <f t="shared" si="84"/>
        <v>786</v>
      </c>
      <c r="W61" s="15">
        <f t="shared" si="85"/>
        <v>1.8169999999999999</v>
      </c>
      <c r="X61" s="18">
        <f t="shared" si="86"/>
        <v>364.46300000000002</v>
      </c>
      <c r="Y61" s="18">
        <f t="shared" si="87"/>
        <v>417.96199999999999</v>
      </c>
      <c r="Z61" s="18">
        <f t="shared" si="88"/>
        <v>210.965</v>
      </c>
      <c r="AA61" s="37">
        <f t="shared" si="19"/>
        <v>1.39</v>
      </c>
      <c r="AB61" s="4">
        <f t="shared" si="20"/>
        <v>210</v>
      </c>
    </row>
    <row r="62" spans="1:28" ht="13.5" thickBot="1">
      <c r="A62" s="33">
        <v>98.203500000000005</v>
      </c>
      <c r="B62" s="33">
        <v>1266.5999999999999</v>
      </c>
      <c r="C62" s="33">
        <v>1074.8742770932863</v>
      </c>
      <c r="D62" s="33">
        <v>903.85347288296862</v>
      </c>
      <c r="E62" s="33">
        <v>665.58066211245398</v>
      </c>
      <c r="F62" s="33">
        <v>486.15660184237464</v>
      </c>
      <c r="G62" s="33">
        <v>274.6313963573287</v>
      </c>
      <c r="H62" s="34">
        <v>170.6701401365433</v>
      </c>
      <c r="I62" s="9">
        <f t="shared" si="72"/>
        <v>1.2665999999999999</v>
      </c>
      <c r="J62" s="8">
        <f t="shared" si="73"/>
        <v>4.0806264869218056</v>
      </c>
      <c r="K62" s="8">
        <f t="shared" si="74"/>
        <v>4.4328090050331683</v>
      </c>
      <c r="L62" s="8">
        <f t="shared" si="75"/>
        <v>4.784991523144531</v>
      </c>
      <c r="M62" s="8">
        <f t="shared" si="76"/>
        <v>5.0348689963611308</v>
      </c>
      <c r="N62" s="8">
        <f t="shared" si="77"/>
        <v>5.3870515144724935</v>
      </c>
      <c r="O62" s="8">
        <f t="shared" si="78"/>
        <v>5.6369289876890933</v>
      </c>
      <c r="P62" s="11">
        <f t="shared" si="79"/>
        <v>0.30099999999999794</v>
      </c>
      <c r="Q62" s="11">
        <f t="shared" si="80"/>
        <v>2.0000000000000013</v>
      </c>
      <c r="R62" s="11">
        <f t="shared" si="81"/>
        <v>0.30099999999999999</v>
      </c>
      <c r="S62" s="12">
        <f t="shared" si="18"/>
        <v>-118</v>
      </c>
      <c r="T62" s="12">
        <f t="shared" si="82"/>
        <v>472</v>
      </c>
      <c r="U62" s="12">
        <f t="shared" si="83"/>
        <v>273</v>
      </c>
      <c r="V62" s="13">
        <f t="shared" si="84"/>
        <v>788</v>
      </c>
      <c r="W62" s="15">
        <f t="shared" si="85"/>
        <v>1.823</v>
      </c>
      <c r="X62" s="18">
        <f t="shared" si="86"/>
        <v>362.74700000000001</v>
      </c>
      <c r="Y62" s="18">
        <f t="shared" si="87"/>
        <v>417.697</v>
      </c>
      <c r="Z62" s="18">
        <f t="shared" si="88"/>
        <v>211.52500000000001</v>
      </c>
      <c r="AA62" s="37">
        <f t="shared" si="19"/>
        <v>1.39</v>
      </c>
      <c r="AB62" s="4">
        <f t="shared" si="20"/>
        <v>210</v>
      </c>
    </row>
    <row r="63" spans="1:28" ht="13.5" thickBot="1">
      <c r="A63" s="33">
        <v>26.776350000000001</v>
      </c>
      <c r="B63" s="27">
        <v>602.5</v>
      </c>
      <c r="C63" s="27">
        <v>451.37347391786903</v>
      </c>
      <c r="D63" s="27">
        <v>343.63117870722431</v>
      </c>
      <c r="E63" s="27">
        <v>223.5621521335807</v>
      </c>
      <c r="F63" s="27">
        <v>150.12458471760797</v>
      </c>
      <c r="G63" s="27">
        <v>77.442159383033413</v>
      </c>
      <c r="H63" s="28">
        <v>46.156792645556699</v>
      </c>
      <c r="I63" s="9">
        <f t="shared" ref="I63:I74" si="89">B63/1000</f>
        <v>0.60250000000000004</v>
      </c>
      <c r="J63" s="8">
        <f t="shared" ref="J63:J74" si="90">LOG10((((3*150*150)*B63)/C63)-((3*150*150)))</f>
        <v>4.3541084391474012</v>
      </c>
      <c r="K63" s="8">
        <f t="shared" ref="K63:K74" si="91">LOG10((((3*150*150)*B63)/D63)-((3*150*150)))</f>
        <v>4.7062909572587639</v>
      </c>
      <c r="L63" s="8">
        <f t="shared" ref="L63:L74" si="92">LOG10((((3*150*150)*B63)/E63)-((3*150*150)))</f>
        <v>5.0584734753701257</v>
      </c>
      <c r="M63" s="8">
        <f t="shared" ref="M63:M74" si="93">LOG10((((3*150*150)*B63)/F63)-((3*150*150)))</f>
        <v>5.3083509485867255</v>
      </c>
      <c r="N63" s="8">
        <f t="shared" ref="N63:N74" si="94">LOG10((((3*150*150)*B63)/G63)-((3*150*150)))</f>
        <v>5.6605334666980882</v>
      </c>
      <c r="O63" s="8">
        <f t="shared" ref="O63:O74" si="95">LOG10((((3*150*150)*B63)/H63)-((3*150*150)))</f>
        <v>5.910410939914688</v>
      </c>
      <c r="P63" s="11">
        <f t="shared" ref="P63:P74" si="96">10^(INTERCEPT(J63:O63,$J$1:$O$1))</f>
        <v>0.56499999999999906</v>
      </c>
      <c r="Q63" s="11">
        <f t="shared" ref="Q63:Q74" si="97">LINEST(J63:O63,$J$1:$O$1)</f>
        <v>2</v>
      </c>
      <c r="R63" s="11">
        <f t="shared" ref="R63:R74" si="98">ROUND(10^((SUM(J63:N63)-2*SUM($J$1:$N$1))/5),3)</f>
        <v>0.56499999999999995</v>
      </c>
      <c r="S63" s="12">
        <f t="shared" si="18"/>
        <v>-132</v>
      </c>
      <c r="T63" s="12">
        <f t="shared" ref="T63:T74" si="99">-4*S63</f>
        <v>528</v>
      </c>
      <c r="U63" s="12">
        <f t="shared" ref="U63:U74" si="100">ROUND(150/(R63^0.5),0)</f>
        <v>200</v>
      </c>
      <c r="V63" s="13">
        <f t="shared" ref="V63:V74" si="101">ROUND(150*I63*ATAN((1800*SQRT(3*R63))/(3*150))*SQRT(3/(R63)),0)</f>
        <v>288</v>
      </c>
      <c r="W63" s="15">
        <f t="shared" ref="W63:W74" si="102">ROUND(1/SQRT(R63),3)</f>
        <v>1.33</v>
      </c>
      <c r="X63" s="18">
        <f t="shared" ref="X63:X74" si="103">ROUND(B63-D63,3)</f>
        <v>258.86900000000003</v>
      </c>
      <c r="Y63" s="18">
        <f t="shared" ref="Y63:Y74" si="104">ROUND(D63-F63,3)</f>
        <v>193.50700000000001</v>
      </c>
      <c r="Z63" s="18">
        <f t="shared" ref="Z63:Z74" si="105">ROUND(F63-G63,3)</f>
        <v>72.682000000000002</v>
      </c>
      <c r="AA63" s="37">
        <f t="shared" si="19"/>
        <v>0.38</v>
      </c>
      <c r="AB63" s="4">
        <f t="shared" si="20"/>
        <v>110</v>
      </c>
    </row>
    <row r="64" spans="1:28" ht="13.5" thickBot="1">
      <c r="A64" s="33">
        <v>27.1296</v>
      </c>
      <c r="B64" s="30">
        <v>492.6</v>
      </c>
      <c r="C64" s="30">
        <v>378.62104304258713</v>
      </c>
      <c r="D64" s="30">
        <v>293.68044515103344</v>
      </c>
      <c r="E64" s="30">
        <v>195.16640253565771</v>
      </c>
      <c r="F64" s="30">
        <v>132.80014378145222</v>
      </c>
      <c r="G64" s="30">
        <v>69.419391206313421</v>
      </c>
      <c r="H64" s="31">
        <v>41.61410227528723</v>
      </c>
      <c r="I64" s="9">
        <f t="shared" si="89"/>
        <v>0.49260000000000004</v>
      </c>
      <c r="J64" s="8">
        <f t="shared" si="90"/>
        <v>4.3079237036118814</v>
      </c>
      <c r="K64" s="8">
        <f t="shared" si="91"/>
        <v>4.6601062217232441</v>
      </c>
      <c r="L64" s="8">
        <f t="shared" si="92"/>
        <v>5.0122887398346068</v>
      </c>
      <c r="M64" s="8">
        <f t="shared" si="93"/>
        <v>5.2621662130512066</v>
      </c>
      <c r="N64" s="8">
        <f t="shared" si="94"/>
        <v>5.6143487311625693</v>
      </c>
      <c r="O64" s="8">
        <f t="shared" si="95"/>
        <v>5.8642262043791691</v>
      </c>
      <c r="P64" s="11">
        <f t="shared" si="96"/>
        <v>0.50799999999999634</v>
      </c>
      <c r="Q64" s="11">
        <f t="shared" si="97"/>
        <v>2.0000000000000013</v>
      </c>
      <c r="R64" s="11">
        <f t="shared" si="98"/>
        <v>0.50800000000000001</v>
      </c>
      <c r="S64" s="12">
        <f t="shared" si="18"/>
        <v>-180</v>
      </c>
      <c r="T64" s="12">
        <f t="shared" si="99"/>
        <v>720</v>
      </c>
      <c r="U64" s="12">
        <f t="shared" si="100"/>
        <v>210</v>
      </c>
      <c r="V64" s="13">
        <f t="shared" si="101"/>
        <v>246</v>
      </c>
      <c r="W64" s="15">
        <f t="shared" si="102"/>
        <v>1.403</v>
      </c>
      <c r="X64" s="18">
        <f t="shared" si="103"/>
        <v>198.92</v>
      </c>
      <c r="Y64" s="18">
        <f t="shared" si="104"/>
        <v>160.88</v>
      </c>
      <c r="Z64" s="18">
        <f t="shared" si="105"/>
        <v>63.381</v>
      </c>
      <c r="AA64" s="37">
        <f t="shared" si="19"/>
        <v>0.38</v>
      </c>
      <c r="AB64" s="4">
        <f t="shared" si="20"/>
        <v>110</v>
      </c>
    </row>
    <row r="65" spans="1:28" ht="13.5" thickBot="1">
      <c r="A65" s="33">
        <v>27.20025</v>
      </c>
      <c r="B65" s="30">
        <v>474</v>
      </c>
      <c r="C65" s="30">
        <v>368.18181818181819</v>
      </c>
      <c r="D65" s="30">
        <v>287.85425101214577</v>
      </c>
      <c r="E65" s="30">
        <v>193.07535641547861</v>
      </c>
      <c r="F65" s="30">
        <v>132.15613382899627</v>
      </c>
      <c r="G65" s="30">
        <v>69.501466275659823</v>
      </c>
      <c r="H65" s="31">
        <v>41.774383078730907</v>
      </c>
      <c r="I65" s="9">
        <f t="shared" si="89"/>
        <v>0.47399999999999998</v>
      </c>
      <c r="J65" s="8">
        <f t="shared" si="90"/>
        <v>4.2878017299302265</v>
      </c>
      <c r="K65" s="8">
        <f t="shared" si="91"/>
        <v>4.6399842480415883</v>
      </c>
      <c r="L65" s="8">
        <f t="shared" si="92"/>
        <v>4.992166766152951</v>
      </c>
      <c r="M65" s="8">
        <f t="shared" si="93"/>
        <v>5.2420442393695508</v>
      </c>
      <c r="N65" s="8">
        <f t="shared" si="94"/>
        <v>5.5942267574809135</v>
      </c>
      <c r="O65" s="8">
        <f t="shared" si="95"/>
        <v>5.8441042306975133</v>
      </c>
      <c r="P65" s="11">
        <f t="shared" si="96"/>
        <v>0.48499999999999932</v>
      </c>
      <c r="Q65" s="11">
        <f t="shared" si="97"/>
        <v>2.0000000000000004</v>
      </c>
      <c r="R65" s="11">
        <f t="shared" si="98"/>
        <v>0.48499999999999999</v>
      </c>
      <c r="S65" s="12">
        <f t="shared" si="18"/>
        <v>-196</v>
      </c>
      <c r="T65" s="12">
        <f t="shared" si="99"/>
        <v>784</v>
      </c>
      <c r="U65" s="12">
        <f t="shared" si="100"/>
        <v>215</v>
      </c>
      <c r="V65" s="13">
        <f t="shared" si="101"/>
        <v>242</v>
      </c>
      <c r="W65" s="15">
        <f t="shared" si="102"/>
        <v>1.4359999999999999</v>
      </c>
      <c r="X65" s="18">
        <f t="shared" si="103"/>
        <v>186.14599999999999</v>
      </c>
      <c r="Y65" s="18">
        <f t="shared" si="104"/>
        <v>155.69800000000001</v>
      </c>
      <c r="Z65" s="18">
        <f t="shared" si="105"/>
        <v>62.655000000000001</v>
      </c>
      <c r="AA65" s="37">
        <f t="shared" si="19"/>
        <v>0.38</v>
      </c>
      <c r="AB65" s="4">
        <f t="shared" si="20"/>
        <v>110</v>
      </c>
    </row>
    <row r="66" spans="1:28" ht="13.5" thickBot="1">
      <c r="A66" s="33">
        <v>27.270900000000001</v>
      </c>
      <c r="B66" s="30">
        <v>467.8</v>
      </c>
      <c r="C66" s="30">
        <v>365.38417033094197</v>
      </c>
      <c r="D66" s="30">
        <v>286.87653311529033</v>
      </c>
      <c r="E66" s="30">
        <v>193.38569656883013</v>
      </c>
      <c r="F66" s="30">
        <v>132.79712339137018</v>
      </c>
      <c r="G66" s="30">
        <v>70.071899340922712</v>
      </c>
      <c r="H66" s="31">
        <v>42.17961048328926</v>
      </c>
      <c r="I66" s="9">
        <f t="shared" si="89"/>
        <v>0.46779999999999999</v>
      </c>
      <c r="J66" s="8">
        <f t="shared" si="90"/>
        <v>4.2769211320657741</v>
      </c>
      <c r="K66" s="8">
        <f t="shared" si="91"/>
        <v>4.6291036501771359</v>
      </c>
      <c r="L66" s="8">
        <f t="shared" si="92"/>
        <v>4.9812861682884986</v>
      </c>
      <c r="M66" s="8">
        <f t="shared" si="93"/>
        <v>5.2311636415050993</v>
      </c>
      <c r="N66" s="8">
        <f t="shared" si="94"/>
        <v>5.5833461596164611</v>
      </c>
      <c r="O66" s="8">
        <f t="shared" si="95"/>
        <v>5.8332236328330609</v>
      </c>
      <c r="P66" s="11">
        <f t="shared" si="96"/>
        <v>0.47299999999999803</v>
      </c>
      <c r="Q66" s="11">
        <f t="shared" si="97"/>
        <v>2.0000000000000009</v>
      </c>
      <c r="R66" s="11">
        <f t="shared" si="98"/>
        <v>0.47299999999999998</v>
      </c>
      <c r="S66" s="12">
        <f t="shared" si="18"/>
        <v>-203</v>
      </c>
      <c r="T66" s="12">
        <f t="shared" si="99"/>
        <v>812</v>
      </c>
      <c r="U66" s="12">
        <f t="shared" si="100"/>
        <v>218</v>
      </c>
      <c r="V66" s="13">
        <f t="shared" si="101"/>
        <v>241</v>
      </c>
      <c r="W66" s="15">
        <f t="shared" si="102"/>
        <v>1.454</v>
      </c>
      <c r="X66" s="18">
        <f t="shared" si="103"/>
        <v>180.923</v>
      </c>
      <c r="Y66" s="18">
        <f t="shared" si="104"/>
        <v>154.07900000000001</v>
      </c>
      <c r="Z66" s="18">
        <f t="shared" si="105"/>
        <v>62.725000000000001</v>
      </c>
      <c r="AA66" s="37">
        <f t="shared" si="19"/>
        <v>0.39</v>
      </c>
      <c r="AB66" s="4">
        <f t="shared" si="20"/>
        <v>111</v>
      </c>
    </row>
    <row r="67" spans="1:28" ht="13.5" thickBot="1">
      <c r="A67" s="33">
        <v>51.362549999999999</v>
      </c>
      <c r="B67" s="30">
        <v>840.2</v>
      </c>
      <c r="C67" s="30">
        <v>670.84811923349901</v>
      </c>
      <c r="D67" s="30">
        <v>535.84183673469397</v>
      </c>
      <c r="E67" s="30">
        <v>368.83230904302025</v>
      </c>
      <c r="F67" s="30">
        <v>256.78484107579465</v>
      </c>
      <c r="G67" s="30">
        <v>137.467277486911</v>
      </c>
      <c r="H67" s="31">
        <v>83.287073750991283</v>
      </c>
      <c r="I67" s="9">
        <f t="shared" si="89"/>
        <v>0.84020000000000006</v>
      </c>
      <c r="J67" s="8">
        <f t="shared" si="90"/>
        <v>4.2314695904306809</v>
      </c>
      <c r="K67" s="8">
        <f t="shared" si="91"/>
        <v>4.5836521085420436</v>
      </c>
      <c r="L67" s="8">
        <f t="shared" si="92"/>
        <v>4.9358346266534063</v>
      </c>
      <c r="M67" s="8">
        <f t="shared" si="93"/>
        <v>5.1857120998700061</v>
      </c>
      <c r="N67" s="8">
        <f t="shared" si="94"/>
        <v>5.5378946179813688</v>
      </c>
      <c r="O67" s="8">
        <f t="shared" si="95"/>
        <v>5.7877720911979686</v>
      </c>
      <c r="P67" s="11">
        <f t="shared" si="96"/>
        <v>0.42599999999999694</v>
      </c>
      <c r="Q67" s="11">
        <f t="shared" si="97"/>
        <v>2.0000000000000013</v>
      </c>
      <c r="R67" s="11">
        <f t="shared" si="98"/>
        <v>0.42599999999999999</v>
      </c>
      <c r="S67" s="12">
        <f t="shared" si="18"/>
        <v>-126</v>
      </c>
      <c r="T67" s="12">
        <f t="shared" si="99"/>
        <v>504</v>
      </c>
      <c r="U67" s="12">
        <f t="shared" si="100"/>
        <v>230</v>
      </c>
      <c r="V67" s="13">
        <f t="shared" si="101"/>
        <v>453</v>
      </c>
      <c r="W67" s="15">
        <f t="shared" si="102"/>
        <v>1.532</v>
      </c>
      <c r="X67" s="18">
        <f t="shared" si="103"/>
        <v>304.358</v>
      </c>
      <c r="Y67" s="18">
        <f t="shared" si="104"/>
        <v>279.05700000000002</v>
      </c>
      <c r="Z67" s="18">
        <f t="shared" si="105"/>
        <v>119.318</v>
      </c>
      <c r="AA67" s="37">
        <f t="shared" si="19"/>
        <v>0.73</v>
      </c>
      <c r="AB67" s="4">
        <f t="shared" si="20"/>
        <v>152</v>
      </c>
    </row>
    <row r="68" spans="1:28" ht="13.5" thickBot="1">
      <c r="A68" s="33">
        <v>50.232149999999997</v>
      </c>
      <c r="B68" s="30">
        <v>804.3</v>
      </c>
      <c r="C68" s="30">
        <v>647.08283671036941</v>
      </c>
      <c r="D68" s="30">
        <v>520.02155172413791</v>
      </c>
      <c r="E68" s="30">
        <v>360.67264573991025</v>
      </c>
      <c r="F68" s="30">
        <v>252.3953974895397</v>
      </c>
      <c r="G68" s="30">
        <v>135.86148648648646</v>
      </c>
      <c r="H68" s="31">
        <v>82.520519835841299</v>
      </c>
      <c r="I68" s="9">
        <f t="shared" si="89"/>
        <v>0.8042999999999999</v>
      </c>
      <c r="J68" s="8">
        <f t="shared" si="90"/>
        <v>4.214843848047698</v>
      </c>
      <c r="K68" s="8">
        <f t="shared" si="91"/>
        <v>4.5670263661590607</v>
      </c>
      <c r="L68" s="8">
        <f t="shared" si="92"/>
        <v>4.9192088842704234</v>
      </c>
      <c r="M68" s="8">
        <f t="shared" si="93"/>
        <v>5.1690863574870232</v>
      </c>
      <c r="N68" s="8">
        <f t="shared" si="94"/>
        <v>5.521268875598385</v>
      </c>
      <c r="O68" s="8">
        <f t="shared" si="95"/>
        <v>5.7711463488149857</v>
      </c>
      <c r="P68" s="11">
        <f t="shared" si="96"/>
        <v>0.40999999999999909</v>
      </c>
      <c r="Q68" s="11">
        <f t="shared" si="97"/>
        <v>2.0000000000000004</v>
      </c>
      <c r="R68" s="11">
        <f t="shared" si="98"/>
        <v>0.41</v>
      </c>
      <c r="S68" s="12">
        <f t="shared" ref="S68:S98" si="106">ROUND(-2*((150^2)/(R68*I68))/1000,0)</f>
        <v>-136</v>
      </c>
      <c r="T68" s="12">
        <f t="shared" si="99"/>
        <v>544</v>
      </c>
      <c r="U68" s="12">
        <f t="shared" si="100"/>
        <v>234</v>
      </c>
      <c r="V68" s="13">
        <f t="shared" si="101"/>
        <v>440</v>
      </c>
      <c r="W68" s="15">
        <f t="shared" si="102"/>
        <v>1.5620000000000001</v>
      </c>
      <c r="X68" s="18">
        <f t="shared" si="103"/>
        <v>284.27800000000002</v>
      </c>
      <c r="Y68" s="18">
        <f t="shared" si="104"/>
        <v>267.62599999999998</v>
      </c>
      <c r="Z68" s="18">
        <f t="shared" si="105"/>
        <v>116.53400000000001</v>
      </c>
      <c r="AA68" s="37">
        <f t="shared" ref="AA68:AA98" si="107">ROUND(A68/(150*150*PI())*1000,2)</f>
        <v>0.71</v>
      </c>
      <c r="AB68" s="4">
        <f t="shared" ref="AB68:AB98" si="108">ROUND(SQRT(A68*1000/(0.71*PI())),0)</f>
        <v>150</v>
      </c>
    </row>
    <row r="69" spans="1:28" ht="13.5" thickBot="1">
      <c r="A69" s="33">
        <v>49.878900000000002</v>
      </c>
      <c r="B69" s="30">
        <v>789.5</v>
      </c>
      <c r="C69" s="30">
        <v>638.21856287425146</v>
      </c>
      <c r="D69" s="30">
        <v>514.89130434782612</v>
      </c>
      <c r="E69" s="30">
        <v>358.86363636363637</v>
      </c>
      <c r="F69" s="30">
        <v>251.96808510638297</v>
      </c>
      <c r="G69" s="30">
        <v>136.12068965517241</v>
      </c>
      <c r="H69" s="31">
        <v>82.81468531468532</v>
      </c>
      <c r="I69" s="9">
        <f t="shared" si="89"/>
        <v>0.78949999999999998</v>
      </c>
      <c r="J69" s="8">
        <f t="shared" si="90"/>
        <v>4.204119982655925</v>
      </c>
      <c r="K69" s="8">
        <f t="shared" si="91"/>
        <v>4.5563025007672868</v>
      </c>
      <c r="L69" s="8">
        <f t="shared" si="92"/>
        <v>4.9084850188786495</v>
      </c>
      <c r="M69" s="8">
        <f t="shared" si="93"/>
        <v>5.1583624920952493</v>
      </c>
      <c r="N69" s="8">
        <f t="shared" si="94"/>
        <v>5.510545010206612</v>
      </c>
      <c r="O69" s="8">
        <f t="shared" si="95"/>
        <v>5.7604224834232118</v>
      </c>
      <c r="P69" s="11">
        <f t="shared" si="96"/>
        <v>0.3999999999999993</v>
      </c>
      <c r="Q69" s="11">
        <f t="shared" si="97"/>
        <v>2.0000000000000004</v>
      </c>
      <c r="R69" s="11">
        <f t="shared" si="98"/>
        <v>0.4</v>
      </c>
      <c r="S69" s="12">
        <f t="shared" si="106"/>
        <v>-142</v>
      </c>
      <c r="T69" s="12">
        <f t="shared" si="99"/>
        <v>568</v>
      </c>
      <c r="U69" s="12">
        <f t="shared" si="100"/>
        <v>237</v>
      </c>
      <c r="V69" s="13">
        <f t="shared" si="101"/>
        <v>437</v>
      </c>
      <c r="W69" s="15">
        <f t="shared" si="102"/>
        <v>1.581</v>
      </c>
      <c r="X69" s="18">
        <f t="shared" si="103"/>
        <v>274.60899999999998</v>
      </c>
      <c r="Y69" s="18">
        <f t="shared" si="104"/>
        <v>262.923</v>
      </c>
      <c r="Z69" s="18">
        <f t="shared" si="105"/>
        <v>115.84699999999999</v>
      </c>
      <c r="AA69" s="37">
        <f t="shared" si="107"/>
        <v>0.71</v>
      </c>
      <c r="AB69" s="4">
        <f t="shared" si="108"/>
        <v>150</v>
      </c>
    </row>
    <row r="70" spans="1:28" ht="13.5" thickBot="1">
      <c r="A70" s="33">
        <v>49.7376</v>
      </c>
      <c r="B70" s="30">
        <v>784.2</v>
      </c>
      <c r="C70" s="30">
        <v>635.15118790496774</v>
      </c>
      <c r="D70" s="30">
        <v>513.21989528795814</v>
      </c>
      <c r="E70" s="30">
        <v>358.40950639853753</v>
      </c>
      <c r="F70" s="30">
        <v>251.99228791773783</v>
      </c>
      <c r="G70" s="30">
        <v>136.33518776077887</v>
      </c>
      <c r="H70" s="31">
        <v>83.001693480101622</v>
      </c>
      <c r="I70" s="9">
        <f t="shared" si="89"/>
        <v>0.78420000000000001</v>
      </c>
      <c r="J70" s="8">
        <f t="shared" si="90"/>
        <v>4.1997551772534747</v>
      </c>
      <c r="K70" s="8">
        <f t="shared" si="91"/>
        <v>4.5519376953648374</v>
      </c>
      <c r="L70" s="8">
        <f t="shared" si="92"/>
        <v>4.9041202134761992</v>
      </c>
      <c r="M70" s="8">
        <f t="shared" si="93"/>
        <v>5.1539976866927999</v>
      </c>
      <c r="N70" s="8">
        <f t="shared" si="94"/>
        <v>5.5061802048041617</v>
      </c>
      <c r="O70" s="8">
        <f t="shared" si="95"/>
        <v>5.7560576780207615</v>
      </c>
      <c r="P70" s="11">
        <f t="shared" si="96"/>
        <v>0.3959999999999998</v>
      </c>
      <c r="Q70" s="11">
        <f t="shared" si="97"/>
        <v>2.0000000000000004</v>
      </c>
      <c r="R70" s="11">
        <f t="shared" si="98"/>
        <v>0.39600000000000002</v>
      </c>
      <c r="S70" s="12">
        <f t="shared" si="106"/>
        <v>-145</v>
      </c>
      <c r="T70" s="12">
        <f t="shared" si="99"/>
        <v>580</v>
      </c>
      <c r="U70" s="12">
        <f t="shared" si="100"/>
        <v>238</v>
      </c>
      <c r="V70" s="13">
        <f t="shared" si="101"/>
        <v>436</v>
      </c>
      <c r="W70" s="15">
        <f t="shared" si="102"/>
        <v>1.589</v>
      </c>
      <c r="X70" s="18">
        <f t="shared" si="103"/>
        <v>270.98</v>
      </c>
      <c r="Y70" s="18">
        <f t="shared" si="104"/>
        <v>261.22800000000001</v>
      </c>
      <c r="Z70" s="18">
        <f t="shared" si="105"/>
        <v>115.657</v>
      </c>
      <c r="AA70" s="37">
        <f t="shared" si="107"/>
        <v>0.7</v>
      </c>
      <c r="AB70" s="4">
        <f t="shared" si="108"/>
        <v>149</v>
      </c>
    </row>
    <row r="71" spans="1:28" ht="13.5" thickBot="1">
      <c r="A71" s="33">
        <v>97.638300000000001</v>
      </c>
      <c r="B71" s="30">
        <v>1330.7</v>
      </c>
      <c r="C71" s="30">
        <v>1096.1953868684404</v>
      </c>
      <c r="D71" s="30">
        <v>898.31233123312347</v>
      </c>
      <c r="E71" s="30">
        <v>638.83821411425834</v>
      </c>
      <c r="F71" s="30">
        <v>454.88833181403834</v>
      </c>
      <c r="G71" s="30">
        <v>249.56864216054018</v>
      </c>
      <c r="H71" s="31">
        <v>152.9305853509041</v>
      </c>
      <c r="I71" s="9">
        <f t="shared" si="89"/>
        <v>1.3307</v>
      </c>
      <c r="J71" s="8">
        <f t="shared" si="90"/>
        <v>4.1595671932336202</v>
      </c>
      <c r="K71" s="8">
        <f t="shared" si="91"/>
        <v>4.5117497113449829</v>
      </c>
      <c r="L71" s="8">
        <f t="shared" si="92"/>
        <v>4.8639322294563456</v>
      </c>
      <c r="M71" s="8">
        <f t="shared" si="93"/>
        <v>5.1138097026729454</v>
      </c>
      <c r="N71" s="8">
        <f t="shared" si="94"/>
        <v>5.4659922207843072</v>
      </c>
      <c r="O71" s="8">
        <f t="shared" si="95"/>
        <v>5.7158696940009071</v>
      </c>
      <c r="P71" s="11">
        <f t="shared" si="96"/>
        <v>0.36099999999999982</v>
      </c>
      <c r="Q71" s="11">
        <f t="shared" si="97"/>
        <v>2.0000000000000004</v>
      </c>
      <c r="R71" s="11">
        <f t="shared" si="98"/>
        <v>0.36099999999999999</v>
      </c>
      <c r="S71" s="12">
        <f t="shared" si="106"/>
        <v>-94</v>
      </c>
      <c r="T71" s="12">
        <f t="shared" si="99"/>
        <v>376</v>
      </c>
      <c r="U71" s="12">
        <f t="shared" si="100"/>
        <v>250</v>
      </c>
      <c r="V71" s="13">
        <f t="shared" si="101"/>
        <v>768</v>
      </c>
      <c r="W71" s="15">
        <f t="shared" si="102"/>
        <v>1.6639999999999999</v>
      </c>
      <c r="X71" s="18">
        <f t="shared" si="103"/>
        <v>432.38799999999998</v>
      </c>
      <c r="Y71" s="18">
        <f t="shared" si="104"/>
        <v>443.42399999999998</v>
      </c>
      <c r="Z71" s="18">
        <f t="shared" si="105"/>
        <v>205.32</v>
      </c>
      <c r="AA71" s="37">
        <f t="shared" si="107"/>
        <v>1.38</v>
      </c>
      <c r="AB71" s="4">
        <f t="shared" si="108"/>
        <v>209</v>
      </c>
    </row>
    <row r="72" spans="1:28" ht="13.5" thickBot="1">
      <c r="A72" s="33">
        <v>97.991550000000004</v>
      </c>
      <c r="B72" s="30">
        <v>1320.4</v>
      </c>
      <c r="C72" s="30">
        <v>1096.2730627306273</v>
      </c>
      <c r="D72" s="30">
        <v>904.38356164383561</v>
      </c>
      <c r="E72" s="30">
        <v>648.84520884520884</v>
      </c>
      <c r="F72" s="30">
        <v>464.92957746478874</v>
      </c>
      <c r="G72" s="30">
        <v>256.88715953307394</v>
      </c>
      <c r="H72" s="31">
        <v>157.94258373205741</v>
      </c>
      <c r="I72" s="9">
        <f t="shared" si="89"/>
        <v>1.3204</v>
      </c>
      <c r="J72" s="8">
        <f t="shared" si="90"/>
        <v>4.1398790864012369</v>
      </c>
      <c r="K72" s="8">
        <f t="shared" si="91"/>
        <v>4.4920616045125987</v>
      </c>
      <c r="L72" s="8">
        <f t="shared" si="92"/>
        <v>4.8442441226239614</v>
      </c>
      <c r="M72" s="8">
        <f t="shared" si="93"/>
        <v>5.0941215958405612</v>
      </c>
      <c r="N72" s="8">
        <f t="shared" si="94"/>
        <v>5.4463041139519239</v>
      </c>
      <c r="O72" s="8">
        <f t="shared" si="95"/>
        <v>5.6961815871685237</v>
      </c>
      <c r="P72" s="11">
        <f t="shared" si="96"/>
        <v>0.34499999999999947</v>
      </c>
      <c r="Q72" s="11">
        <f t="shared" si="97"/>
        <v>2.0000000000000004</v>
      </c>
      <c r="R72" s="11">
        <f t="shared" si="98"/>
        <v>0.34499999999999997</v>
      </c>
      <c r="S72" s="12">
        <f t="shared" si="106"/>
        <v>-99</v>
      </c>
      <c r="T72" s="12">
        <f t="shared" si="99"/>
        <v>396</v>
      </c>
      <c r="U72" s="12">
        <f t="shared" si="100"/>
        <v>255</v>
      </c>
      <c r="V72" s="13">
        <f t="shared" si="101"/>
        <v>777</v>
      </c>
      <c r="W72" s="15">
        <f t="shared" si="102"/>
        <v>1.7030000000000001</v>
      </c>
      <c r="X72" s="18">
        <f t="shared" si="103"/>
        <v>416.01600000000002</v>
      </c>
      <c r="Y72" s="18">
        <f t="shared" si="104"/>
        <v>439.45400000000001</v>
      </c>
      <c r="Z72" s="18">
        <f t="shared" si="105"/>
        <v>208.042</v>
      </c>
      <c r="AA72" s="37">
        <f t="shared" si="107"/>
        <v>1.39</v>
      </c>
      <c r="AB72" s="4">
        <f t="shared" si="108"/>
        <v>210</v>
      </c>
    </row>
    <row r="73" spans="1:28" ht="13.5" thickBot="1">
      <c r="A73" s="33">
        <v>97.920900000000003</v>
      </c>
      <c r="B73" s="30">
        <v>1319.3</v>
      </c>
      <c r="C73" s="30">
        <v>1092.671779141104</v>
      </c>
      <c r="D73" s="30">
        <v>899.52272727272714</v>
      </c>
      <c r="E73" s="30">
        <v>643.56097560975604</v>
      </c>
      <c r="F73" s="30">
        <v>460.22093023255809</v>
      </c>
      <c r="G73" s="30">
        <v>253.71153846153842</v>
      </c>
      <c r="H73" s="31">
        <v>155.82283464566927</v>
      </c>
      <c r="I73" s="9">
        <f t="shared" si="89"/>
        <v>1.3192999999999999</v>
      </c>
      <c r="J73" s="8">
        <f t="shared" si="90"/>
        <v>4.1461280356782382</v>
      </c>
      <c r="K73" s="8">
        <f t="shared" si="91"/>
        <v>4.4983105537896009</v>
      </c>
      <c r="L73" s="8">
        <f t="shared" si="92"/>
        <v>4.8504930719009627</v>
      </c>
      <c r="M73" s="8">
        <f t="shared" si="93"/>
        <v>5.1003705451175634</v>
      </c>
      <c r="N73" s="8">
        <f t="shared" si="94"/>
        <v>5.4525530632289252</v>
      </c>
      <c r="O73" s="8">
        <f t="shared" si="95"/>
        <v>5.702430536445525</v>
      </c>
      <c r="P73" s="11">
        <f t="shared" si="96"/>
        <v>0.35000000000000003</v>
      </c>
      <c r="Q73" s="11">
        <f t="shared" si="97"/>
        <v>2.0000000000000004</v>
      </c>
      <c r="R73" s="11">
        <f t="shared" si="98"/>
        <v>0.35</v>
      </c>
      <c r="S73" s="12">
        <f t="shared" si="106"/>
        <v>-97</v>
      </c>
      <c r="T73" s="12">
        <f t="shared" si="99"/>
        <v>388</v>
      </c>
      <c r="U73" s="12">
        <f t="shared" si="100"/>
        <v>254</v>
      </c>
      <c r="V73" s="13">
        <f t="shared" si="101"/>
        <v>771</v>
      </c>
      <c r="W73" s="15">
        <f t="shared" si="102"/>
        <v>1.69</v>
      </c>
      <c r="X73" s="18">
        <f t="shared" si="103"/>
        <v>419.77699999999999</v>
      </c>
      <c r="Y73" s="18">
        <f t="shared" si="104"/>
        <v>439.30200000000002</v>
      </c>
      <c r="Z73" s="18">
        <f t="shared" si="105"/>
        <v>206.50899999999999</v>
      </c>
      <c r="AA73" s="37">
        <f t="shared" si="107"/>
        <v>1.39</v>
      </c>
      <c r="AB73" s="4">
        <f t="shared" si="108"/>
        <v>210</v>
      </c>
    </row>
    <row r="74" spans="1:28" ht="13.5" thickBot="1">
      <c r="A74" s="33">
        <v>97.708950000000002</v>
      </c>
      <c r="B74" s="33">
        <v>1312.3</v>
      </c>
      <c r="C74" s="33">
        <v>1090.084297317253</v>
      </c>
      <c r="D74" s="33">
        <v>899.6572212065812</v>
      </c>
      <c r="E74" s="33">
        <v>645.81692913385814</v>
      </c>
      <c r="F74" s="33">
        <v>462.94684854186255</v>
      </c>
      <c r="G74" s="33">
        <v>255.90873634945393</v>
      </c>
      <c r="H74" s="34">
        <v>157.37527982091459</v>
      </c>
      <c r="I74" s="9">
        <f t="shared" si="89"/>
        <v>1.3123</v>
      </c>
      <c r="J74" s="8">
        <f t="shared" si="90"/>
        <v>4.1386184338994934</v>
      </c>
      <c r="K74" s="8">
        <f t="shared" si="91"/>
        <v>4.4908009520108552</v>
      </c>
      <c r="L74" s="8">
        <f t="shared" si="92"/>
        <v>4.8429834701222179</v>
      </c>
      <c r="M74" s="8">
        <f t="shared" si="93"/>
        <v>5.0928609433388177</v>
      </c>
      <c r="N74" s="8">
        <f t="shared" si="94"/>
        <v>5.4450434614501804</v>
      </c>
      <c r="O74" s="8">
        <f t="shared" si="95"/>
        <v>5.6949209346667802</v>
      </c>
      <c r="P74" s="11">
        <f t="shared" si="96"/>
        <v>0.3439999999999992</v>
      </c>
      <c r="Q74" s="11">
        <f t="shared" si="97"/>
        <v>2.0000000000000009</v>
      </c>
      <c r="R74" s="11">
        <f t="shared" si="98"/>
        <v>0.34399999999999997</v>
      </c>
      <c r="S74" s="12">
        <f t="shared" si="106"/>
        <v>-100</v>
      </c>
      <c r="T74" s="12">
        <f t="shared" si="99"/>
        <v>400</v>
      </c>
      <c r="U74" s="12">
        <f t="shared" si="100"/>
        <v>256</v>
      </c>
      <c r="V74" s="13">
        <f t="shared" si="101"/>
        <v>773</v>
      </c>
      <c r="W74" s="15">
        <f t="shared" si="102"/>
        <v>1.7050000000000001</v>
      </c>
      <c r="X74" s="18">
        <f t="shared" si="103"/>
        <v>412.64299999999997</v>
      </c>
      <c r="Y74" s="18">
        <f t="shared" si="104"/>
        <v>436.71</v>
      </c>
      <c r="Z74" s="18">
        <f t="shared" si="105"/>
        <v>207.03800000000001</v>
      </c>
      <c r="AA74" s="37">
        <f t="shared" si="107"/>
        <v>1.38</v>
      </c>
      <c r="AB74" s="4">
        <f t="shared" si="108"/>
        <v>209</v>
      </c>
    </row>
    <row r="75" spans="1:28" ht="13.5" thickBot="1">
      <c r="A75" s="33">
        <v>26.7057</v>
      </c>
      <c r="B75" s="27">
        <v>578.4</v>
      </c>
      <c r="C75" s="27">
        <v>442.75345883420266</v>
      </c>
      <c r="D75" s="27">
        <v>342.38358326756111</v>
      </c>
      <c r="E75" s="27">
        <v>226.73461387691097</v>
      </c>
      <c r="F75" s="27">
        <v>153.93896380411636</v>
      </c>
      <c r="G75" s="27">
        <v>80.288728484175437</v>
      </c>
      <c r="H75" s="28">
        <v>48.082465085346918</v>
      </c>
      <c r="I75" s="9">
        <f t="shared" ref="I75:I86" si="109">B75/1000</f>
        <v>0.57840000000000003</v>
      </c>
      <c r="J75" s="8">
        <f t="shared" ref="J75:J86" si="110">LOG10((((3*150*150)*B75)/C75)-((3*150*150)))</f>
        <v>4.3155505344219049</v>
      </c>
      <c r="K75" s="8">
        <f t="shared" ref="K75:K86" si="111">LOG10((((3*150*150)*B75)/D75)-((3*150*150)))</f>
        <v>4.6677330525332676</v>
      </c>
      <c r="L75" s="8">
        <f t="shared" ref="L75:L86" si="112">LOG10((((3*150*150)*B75)/E75)-((3*150*150)))</f>
        <v>5.0199155706446303</v>
      </c>
      <c r="M75" s="8">
        <f t="shared" ref="M75:M86" si="113">LOG10((((3*150*150)*B75)/F75)-((3*150*150)))</f>
        <v>5.2697930438612302</v>
      </c>
      <c r="N75" s="8">
        <f t="shared" ref="N75:N86" si="114">LOG10((((3*150*150)*B75)/G75)-((3*150*150)))</f>
        <v>5.621975561972592</v>
      </c>
      <c r="O75" s="8">
        <f t="shared" ref="O75:O86" si="115">LOG10((((3*150*150)*B75)/H75)-((3*150*150)))</f>
        <v>5.8718530351891927</v>
      </c>
      <c r="P75" s="11">
        <f t="shared" ref="P75:P86" si="116">10^(INTERCEPT(J75:O75,$J$1:$O$1))</f>
        <v>0.5169999999999999</v>
      </c>
      <c r="Q75" s="11">
        <f t="shared" ref="Q75:Q86" si="117">LINEST(J75:O75,$J$1:$O$1)</f>
        <v>2.0000000000000004</v>
      </c>
      <c r="R75" s="11">
        <f t="shared" ref="R75:R86" si="118">ROUND(10^((SUM(J75:N75)-2*SUM($J$1:$N$1))/5),3)</f>
        <v>0.51700000000000002</v>
      </c>
      <c r="S75" s="12">
        <f t="shared" si="106"/>
        <v>-150</v>
      </c>
      <c r="T75" s="12">
        <f t="shared" ref="T75:T86" si="119">-4*S75</f>
        <v>600</v>
      </c>
      <c r="U75" s="12">
        <f t="shared" ref="U75:U86" si="120">ROUND(150/(R75^0.5),0)</f>
        <v>209</v>
      </c>
      <c r="V75" s="13">
        <f t="shared" ref="V75:V86" si="121">ROUND(150*I75*ATAN((1800*SQRT(3*R75))/(3*150))*SQRT(3/(R75)),0)</f>
        <v>287</v>
      </c>
      <c r="W75" s="15">
        <f t="shared" ref="W75:W86" si="122">ROUND(1/SQRT(R75),3)</f>
        <v>1.391</v>
      </c>
      <c r="X75" s="18">
        <f t="shared" ref="X75:X86" si="123">ROUND(B75-D75,3)</f>
        <v>236.01599999999999</v>
      </c>
      <c r="Y75" s="18">
        <f t="shared" ref="Y75:Y86" si="124">ROUND(D75-F75,3)</f>
        <v>188.44499999999999</v>
      </c>
      <c r="Z75" s="18">
        <f t="shared" ref="Z75:Z86" si="125">ROUND(F75-G75,3)</f>
        <v>73.650000000000006</v>
      </c>
      <c r="AA75" s="37">
        <f t="shared" si="107"/>
        <v>0.38</v>
      </c>
      <c r="AB75" s="4">
        <f t="shared" si="108"/>
        <v>109</v>
      </c>
    </row>
    <row r="76" spans="1:28" ht="13.5" thickBot="1">
      <c r="A76" s="33">
        <v>27.058949999999999</v>
      </c>
      <c r="B76" s="30">
        <v>471.5</v>
      </c>
      <c r="C76" s="30">
        <v>368.44466311646215</v>
      </c>
      <c r="D76" s="30">
        <v>289.38216039279871</v>
      </c>
      <c r="E76" s="30">
        <v>195.15728476821192</v>
      </c>
      <c r="F76" s="30">
        <v>134.05041698256255</v>
      </c>
      <c r="G76" s="30">
        <v>70.753301320528209</v>
      </c>
      <c r="H76" s="31">
        <v>42.595157793302818</v>
      </c>
      <c r="I76" s="9">
        <f t="shared" si="109"/>
        <v>0.47149999999999997</v>
      </c>
      <c r="J76" s="8">
        <f t="shared" si="110"/>
        <v>4.2760019899620501</v>
      </c>
      <c r="K76" s="8">
        <f t="shared" si="111"/>
        <v>4.6281845080734128</v>
      </c>
      <c r="L76" s="8">
        <f t="shared" si="112"/>
        <v>4.9803670261847754</v>
      </c>
      <c r="M76" s="8">
        <f t="shared" si="113"/>
        <v>5.2302444994013753</v>
      </c>
      <c r="N76" s="8">
        <f t="shared" si="114"/>
        <v>5.582427017512738</v>
      </c>
      <c r="O76" s="8">
        <f t="shared" si="115"/>
        <v>5.8323044907293378</v>
      </c>
      <c r="P76" s="11">
        <f t="shared" si="116"/>
        <v>0.47199999999999781</v>
      </c>
      <c r="Q76" s="11">
        <f t="shared" si="117"/>
        <v>2.0000000000000013</v>
      </c>
      <c r="R76" s="11">
        <f t="shared" si="118"/>
        <v>0.47199999999999998</v>
      </c>
      <c r="S76" s="12">
        <f t="shared" si="106"/>
        <v>-202</v>
      </c>
      <c r="T76" s="12">
        <f t="shared" si="119"/>
        <v>808</v>
      </c>
      <c r="U76" s="12">
        <f t="shared" si="120"/>
        <v>218</v>
      </c>
      <c r="V76" s="13">
        <f t="shared" si="121"/>
        <v>243</v>
      </c>
      <c r="W76" s="15">
        <f t="shared" si="122"/>
        <v>1.456</v>
      </c>
      <c r="X76" s="18">
        <f t="shared" si="123"/>
        <v>182.11799999999999</v>
      </c>
      <c r="Y76" s="18">
        <f t="shared" si="124"/>
        <v>155.33199999999999</v>
      </c>
      <c r="Z76" s="18">
        <f t="shared" si="125"/>
        <v>63.296999999999997</v>
      </c>
      <c r="AA76" s="37">
        <f t="shared" si="107"/>
        <v>0.38</v>
      </c>
      <c r="AB76" s="4">
        <f t="shared" si="108"/>
        <v>110</v>
      </c>
    </row>
    <row r="77" spans="1:28" ht="13.5" thickBot="1">
      <c r="A77" s="33">
        <v>27.20025</v>
      </c>
      <c r="B77" s="30">
        <v>458.4</v>
      </c>
      <c r="C77" s="30">
        <v>361.38752627890676</v>
      </c>
      <c r="D77" s="30">
        <v>285.78553615960095</v>
      </c>
      <c r="E77" s="30">
        <v>194.3196269605765</v>
      </c>
      <c r="F77" s="30">
        <v>134.19203747072598</v>
      </c>
      <c r="G77" s="30">
        <v>71.224362958359222</v>
      </c>
      <c r="H77" s="31">
        <v>42.985746436609148</v>
      </c>
      <c r="I77" s="9">
        <f t="shared" si="109"/>
        <v>0.45839999999999997</v>
      </c>
      <c r="J77" s="8">
        <f t="shared" si="110"/>
        <v>4.2581581933407948</v>
      </c>
      <c r="K77" s="8">
        <f t="shared" si="111"/>
        <v>4.6103407114521566</v>
      </c>
      <c r="L77" s="8">
        <f t="shared" si="112"/>
        <v>4.9625232295635193</v>
      </c>
      <c r="M77" s="8">
        <f t="shared" si="113"/>
        <v>5.2124007027801191</v>
      </c>
      <c r="N77" s="8">
        <f t="shared" si="114"/>
        <v>5.5645832208914818</v>
      </c>
      <c r="O77" s="8">
        <f t="shared" si="115"/>
        <v>5.8144606941080816</v>
      </c>
      <c r="P77" s="11">
        <f t="shared" si="116"/>
        <v>0.45299999999999857</v>
      </c>
      <c r="Q77" s="11">
        <f t="shared" si="117"/>
        <v>2.0000000000000009</v>
      </c>
      <c r="R77" s="11">
        <f t="shared" si="118"/>
        <v>0.45300000000000001</v>
      </c>
      <c r="S77" s="12">
        <f t="shared" si="106"/>
        <v>-217</v>
      </c>
      <c r="T77" s="12">
        <f t="shared" si="119"/>
        <v>868</v>
      </c>
      <c r="U77" s="12">
        <f t="shared" si="120"/>
        <v>223</v>
      </c>
      <c r="V77" s="13">
        <f t="shared" si="121"/>
        <v>241</v>
      </c>
      <c r="W77" s="15">
        <f t="shared" si="122"/>
        <v>1.486</v>
      </c>
      <c r="X77" s="18">
        <f t="shared" si="123"/>
        <v>172.614</v>
      </c>
      <c r="Y77" s="18">
        <f t="shared" si="124"/>
        <v>151.59299999999999</v>
      </c>
      <c r="Z77" s="18">
        <f t="shared" si="125"/>
        <v>62.968000000000004</v>
      </c>
      <c r="AA77" s="37">
        <f t="shared" si="107"/>
        <v>0.38</v>
      </c>
      <c r="AB77" s="4">
        <f t="shared" si="108"/>
        <v>110</v>
      </c>
    </row>
    <row r="78" spans="1:28" ht="13.5" thickBot="1">
      <c r="A78" s="33">
        <v>27.1296</v>
      </c>
      <c r="B78" s="30">
        <v>449.9</v>
      </c>
      <c r="C78" s="30">
        <v>356.18402533427161</v>
      </c>
      <c r="D78" s="30">
        <v>282.6005025125628</v>
      </c>
      <c r="E78" s="30">
        <v>192.92452830188677</v>
      </c>
      <c r="F78" s="30">
        <v>133.58076009501187</v>
      </c>
      <c r="G78" s="30">
        <v>71.09671302149178</v>
      </c>
      <c r="H78" s="31">
        <v>42.962184873949575</v>
      </c>
      <c r="I78" s="9">
        <f t="shared" si="109"/>
        <v>0.44989999999999997</v>
      </c>
      <c r="J78" s="8">
        <f t="shared" si="110"/>
        <v>4.2494429614425826</v>
      </c>
      <c r="K78" s="8">
        <f t="shared" si="111"/>
        <v>4.6016254795539444</v>
      </c>
      <c r="L78" s="8">
        <f t="shared" si="112"/>
        <v>4.9538079976653071</v>
      </c>
      <c r="M78" s="8">
        <f t="shared" si="113"/>
        <v>5.2036854708819069</v>
      </c>
      <c r="N78" s="8">
        <f t="shared" si="114"/>
        <v>5.5558679889932696</v>
      </c>
      <c r="O78" s="8">
        <f t="shared" si="115"/>
        <v>5.8057454622098694</v>
      </c>
      <c r="P78" s="11">
        <f t="shared" si="116"/>
        <v>0.4439999999999994</v>
      </c>
      <c r="Q78" s="11">
        <f t="shared" si="117"/>
        <v>2.0000000000000004</v>
      </c>
      <c r="R78" s="11">
        <f t="shared" si="118"/>
        <v>0.44400000000000001</v>
      </c>
      <c r="S78" s="12">
        <f t="shared" si="106"/>
        <v>-225</v>
      </c>
      <c r="T78" s="12">
        <f t="shared" si="119"/>
        <v>900</v>
      </c>
      <c r="U78" s="12">
        <f t="shared" si="120"/>
        <v>225</v>
      </c>
      <c r="V78" s="13">
        <f t="shared" si="121"/>
        <v>238</v>
      </c>
      <c r="W78" s="15">
        <f t="shared" si="122"/>
        <v>1.5009999999999999</v>
      </c>
      <c r="X78" s="18">
        <f t="shared" si="123"/>
        <v>167.29900000000001</v>
      </c>
      <c r="Y78" s="18">
        <f t="shared" si="124"/>
        <v>149.02000000000001</v>
      </c>
      <c r="Z78" s="18">
        <f t="shared" si="125"/>
        <v>62.484000000000002</v>
      </c>
      <c r="AA78" s="37">
        <f t="shared" si="107"/>
        <v>0.38</v>
      </c>
      <c r="AB78" s="4">
        <f t="shared" si="108"/>
        <v>110</v>
      </c>
    </row>
    <row r="79" spans="1:28" ht="13.5" thickBot="1">
      <c r="A79" s="33">
        <v>51.433199999999999</v>
      </c>
      <c r="B79" s="30">
        <v>823.3</v>
      </c>
      <c r="C79" s="30">
        <v>666.18017262047465</v>
      </c>
      <c r="D79" s="30">
        <v>537.87020905923339</v>
      </c>
      <c r="E79" s="30">
        <v>375.25068368277113</v>
      </c>
      <c r="F79" s="30">
        <v>263.65286080273268</v>
      </c>
      <c r="G79" s="30">
        <v>142.53808864265926</v>
      </c>
      <c r="H79" s="31">
        <v>86.748384377634153</v>
      </c>
      <c r="I79" s="9">
        <f t="shared" si="109"/>
        <v>0.82329999999999992</v>
      </c>
      <c r="J79" s="8">
        <f t="shared" si="110"/>
        <v>4.2019430634016501</v>
      </c>
      <c r="K79" s="8">
        <f t="shared" si="111"/>
        <v>4.5541255815130128</v>
      </c>
      <c r="L79" s="8">
        <f t="shared" si="112"/>
        <v>4.9063080996243755</v>
      </c>
      <c r="M79" s="8">
        <f t="shared" si="113"/>
        <v>5.1561855728409753</v>
      </c>
      <c r="N79" s="8">
        <f t="shared" si="114"/>
        <v>5.508368090952338</v>
      </c>
      <c r="O79" s="8">
        <f t="shared" si="115"/>
        <v>5.7582455641689378</v>
      </c>
      <c r="P79" s="11">
        <f t="shared" si="116"/>
        <v>0.39799999999999736</v>
      </c>
      <c r="Q79" s="11">
        <f t="shared" si="117"/>
        <v>2.0000000000000013</v>
      </c>
      <c r="R79" s="11">
        <f t="shared" si="118"/>
        <v>0.39800000000000002</v>
      </c>
      <c r="S79" s="12">
        <f t="shared" si="106"/>
        <v>-137</v>
      </c>
      <c r="T79" s="12">
        <f t="shared" si="119"/>
        <v>548</v>
      </c>
      <c r="U79" s="12">
        <f t="shared" si="120"/>
        <v>238</v>
      </c>
      <c r="V79" s="13">
        <f t="shared" si="121"/>
        <v>456</v>
      </c>
      <c r="W79" s="15">
        <f t="shared" si="122"/>
        <v>1.585</v>
      </c>
      <c r="X79" s="18">
        <f t="shared" si="123"/>
        <v>285.43</v>
      </c>
      <c r="Y79" s="18">
        <f t="shared" si="124"/>
        <v>274.21699999999998</v>
      </c>
      <c r="Z79" s="18">
        <f t="shared" si="125"/>
        <v>121.11499999999999</v>
      </c>
      <c r="AA79" s="37">
        <f t="shared" si="107"/>
        <v>0.73</v>
      </c>
      <c r="AB79" s="4">
        <f t="shared" si="108"/>
        <v>152</v>
      </c>
    </row>
    <row r="80" spans="1:28" ht="13.5" thickBot="1">
      <c r="A80" s="33">
        <v>50.232149999999997</v>
      </c>
      <c r="B80" s="30">
        <v>789.1</v>
      </c>
      <c r="C80" s="30">
        <v>641.27437996628953</v>
      </c>
      <c r="D80" s="30">
        <v>519.60052677787542</v>
      </c>
      <c r="E80" s="30">
        <v>364.14397784956168</v>
      </c>
      <c r="F80" s="30">
        <v>256.64570685169127</v>
      </c>
      <c r="G80" s="30">
        <v>139.22018348623854</v>
      </c>
      <c r="H80" s="31">
        <v>84.861628907370246</v>
      </c>
      <c r="I80" s="9">
        <f t="shared" si="109"/>
        <v>0.78910000000000002</v>
      </c>
      <c r="J80" s="8">
        <f t="shared" si="110"/>
        <v>4.1920095926536698</v>
      </c>
      <c r="K80" s="8">
        <f t="shared" si="111"/>
        <v>4.5441921107650325</v>
      </c>
      <c r="L80" s="8">
        <f t="shared" si="112"/>
        <v>4.8963746288763952</v>
      </c>
      <c r="M80" s="8">
        <f t="shared" si="113"/>
        <v>5.146252102092995</v>
      </c>
      <c r="N80" s="8">
        <f t="shared" si="114"/>
        <v>5.4984346202043577</v>
      </c>
      <c r="O80" s="8">
        <f t="shared" si="115"/>
        <v>5.7483120934209575</v>
      </c>
      <c r="P80" s="11">
        <f t="shared" si="116"/>
        <v>0.38899999999999718</v>
      </c>
      <c r="Q80" s="11">
        <f t="shared" si="117"/>
        <v>2.0000000000000013</v>
      </c>
      <c r="R80" s="11">
        <f t="shared" si="118"/>
        <v>0.38900000000000001</v>
      </c>
      <c r="S80" s="12">
        <f t="shared" si="106"/>
        <v>-147</v>
      </c>
      <c r="T80" s="12">
        <f t="shared" si="119"/>
        <v>588</v>
      </c>
      <c r="U80" s="12">
        <f t="shared" si="120"/>
        <v>241</v>
      </c>
      <c r="V80" s="13">
        <f t="shared" si="121"/>
        <v>442</v>
      </c>
      <c r="W80" s="15">
        <f t="shared" si="122"/>
        <v>1.603</v>
      </c>
      <c r="X80" s="18">
        <f t="shared" si="123"/>
        <v>269.49900000000002</v>
      </c>
      <c r="Y80" s="18">
        <f t="shared" si="124"/>
        <v>262.95499999999998</v>
      </c>
      <c r="Z80" s="18">
        <f t="shared" si="125"/>
        <v>117.426</v>
      </c>
      <c r="AA80" s="37">
        <f t="shared" si="107"/>
        <v>0.71</v>
      </c>
      <c r="AB80" s="4">
        <f t="shared" si="108"/>
        <v>150</v>
      </c>
    </row>
    <row r="81" spans="1:28" ht="13.5" thickBot="1">
      <c r="A81" s="33">
        <v>49.7376</v>
      </c>
      <c r="B81" s="30">
        <v>776.8</v>
      </c>
      <c r="C81" s="30">
        <v>633.41386808407822</v>
      </c>
      <c r="D81" s="30">
        <v>514.66431095406358</v>
      </c>
      <c r="E81" s="30">
        <v>361.97576887232054</v>
      </c>
      <c r="F81" s="30">
        <v>255.75065847234413</v>
      </c>
      <c r="G81" s="30">
        <v>139.11174785100283</v>
      </c>
      <c r="H81" s="31">
        <v>84.902360827747003</v>
      </c>
      <c r="I81" s="9">
        <f t="shared" si="109"/>
        <v>0.77679999999999993</v>
      </c>
      <c r="J81" s="8">
        <f t="shared" si="110"/>
        <v>4.1841233542396719</v>
      </c>
      <c r="K81" s="8">
        <f t="shared" si="111"/>
        <v>4.5363058723510337</v>
      </c>
      <c r="L81" s="8">
        <f t="shared" si="112"/>
        <v>4.8884883904623964</v>
      </c>
      <c r="M81" s="8">
        <f t="shared" si="113"/>
        <v>5.1383658636789962</v>
      </c>
      <c r="N81" s="8">
        <f t="shared" si="114"/>
        <v>5.4905483817903589</v>
      </c>
      <c r="O81" s="8">
        <f t="shared" si="115"/>
        <v>5.7404258550069587</v>
      </c>
      <c r="P81" s="11">
        <f t="shared" si="116"/>
        <v>0.3819999999999989</v>
      </c>
      <c r="Q81" s="11">
        <f t="shared" si="117"/>
        <v>2.0000000000000009</v>
      </c>
      <c r="R81" s="11">
        <f t="shared" si="118"/>
        <v>0.38200000000000001</v>
      </c>
      <c r="S81" s="12">
        <f t="shared" si="106"/>
        <v>-152</v>
      </c>
      <c r="T81" s="12">
        <f t="shared" si="119"/>
        <v>608</v>
      </c>
      <c r="U81" s="12">
        <f t="shared" si="120"/>
        <v>243</v>
      </c>
      <c r="V81" s="13">
        <f t="shared" si="121"/>
        <v>438</v>
      </c>
      <c r="W81" s="15">
        <f t="shared" si="122"/>
        <v>1.6180000000000001</v>
      </c>
      <c r="X81" s="18">
        <f t="shared" si="123"/>
        <v>262.13600000000002</v>
      </c>
      <c r="Y81" s="18">
        <f t="shared" si="124"/>
        <v>258.91399999999999</v>
      </c>
      <c r="Z81" s="18">
        <f t="shared" si="125"/>
        <v>116.639</v>
      </c>
      <c r="AA81" s="37">
        <f t="shared" si="107"/>
        <v>0.7</v>
      </c>
      <c r="AB81" s="4">
        <f t="shared" si="108"/>
        <v>149</v>
      </c>
    </row>
    <row r="82" spans="1:28" ht="13.5" thickBot="1">
      <c r="A82" s="33">
        <v>49.878900000000002</v>
      </c>
      <c r="B82" s="30">
        <v>774.9</v>
      </c>
      <c r="C82" s="30">
        <v>633.39488980382646</v>
      </c>
      <c r="D82" s="30">
        <v>515.68322981366452</v>
      </c>
      <c r="E82" s="30">
        <v>363.63209760675733</v>
      </c>
      <c r="F82" s="30">
        <v>257.38485385296718</v>
      </c>
      <c r="G82" s="30">
        <v>140.27878349022444</v>
      </c>
      <c r="H82" s="31">
        <v>85.69374815688586</v>
      </c>
      <c r="I82" s="9">
        <f t="shared" si="109"/>
        <v>0.77489999999999992</v>
      </c>
      <c r="J82" s="8">
        <f t="shared" si="110"/>
        <v>4.178401341533756</v>
      </c>
      <c r="K82" s="8">
        <f t="shared" si="111"/>
        <v>4.5305838596451178</v>
      </c>
      <c r="L82" s="8">
        <f t="shared" si="112"/>
        <v>4.8827663777564805</v>
      </c>
      <c r="M82" s="8">
        <f t="shared" si="113"/>
        <v>5.1326438509730803</v>
      </c>
      <c r="N82" s="8">
        <f t="shared" si="114"/>
        <v>5.484826369084443</v>
      </c>
      <c r="O82" s="8">
        <f t="shared" si="115"/>
        <v>5.7347038423010428</v>
      </c>
      <c r="P82" s="11">
        <f t="shared" si="116"/>
        <v>0.37699999999999972</v>
      </c>
      <c r="Q82" s="11">
        <f t="shared" si="117"/>
        <v>2.0000000000000004</v>
      </c>
      <c r="R82" s="11">
        <f t="shared" si="118"/>
        <v>0.377</v>
      </c>
      <c r="S82" s="12">
        <f t="shared" si="106"/>
        <v>-154</v>
      </c>
      <c r="T82" s="12">
        <f t="shared" si="119"/>
        <v>616</v>
      </c>
      <c r="U82" s="12">
        <f t="shared" si="120"/>
        <v>244</v>
      </c>
      <c r="V82" s="13">
        <f t="shared" si="121"/>
        <v>439</v>
      </c>
      <c r="W82" s="15">
        <f t="shared" si="122"/>
        <v>1.629</v>
      </c>
      <c r="X82" s="18">
        <f t="shared" si="123"/>
        <v>259.21699999999998</v>
      </c>
      <c r="Y82" s="18">
        <f t="shared" si="124"/>
        <v>258.298</v>
      </c>
      <c r="Z82" s="18">
        <f t="shared" si="125"/>
        <v>117.10599999999999</v>
      </c>
      <c r="AA82" s="37">
        <f t="shared" si="107"/>
        <v>0.71</v>
      </c>
      <c r="AB82" s="4">
        <f t="shared" si="108"/>
        <v>150</v>
      </c>
    </row>
    <row r="83" spans="1:28" ht="13.5" thickBot="1">
      <c r="A83" s="33">
        <v>97.708950000000002</v>
      </c>
      <c r="B83" s="30">
        <v>1339.2</v>
      </c>
      <c r="C83" s="30">
        <v>1110.7888916195627</v>
      </c>
      <c r="D83" s="30">
        <v>915.58796718322708</v>
      </c>
      <c r="E83" s="30">
        <v>656.1489465948066</v>
      </c>
      <c r="F83" s="30">
        <v>469.78484565014037</v>
      </c>
      <c r="G83" s="30">
        <v>259.33384972889235</v>
      </c>
      <c r="H83" s="31">
        <v>159.37797524595368</v>
      </c>
      <c r="I83" s="9">
        <f t="shared" si="109"/>
        <v>1.3391999999999999</v>
      </c>
      <c r="J83" s="8">
        <f t="shared" si="110"/>
        <v>4.1423894661188356</v>
      </c>
      <c r="K83" s="8">
        <f t="shared" si="111"/>
        <v>4.4945719842301983</v>
      </c>
      <c r="L83" s="8">
        <f t="shared" si="112"/>
        <v>4.846754502341561</v>
      </c>
      <c r="M83" s="8">
        <f t="shared" si="113"/>
        <v>5.0966319755581608</v>
      </c>
      <c r="N83" s="8">
        <f t="shared" si="114"/>
        <v>5.4488144936695235</v>
      </c>
      <c r="O83" s="8">
        <f t="shared" si="115"/>
        <v>5.6986919668861233</v>
      </c>
      <c r="P83" s="11">
        <f t="shared" si="116"/>
        <v>0.34699999999999731</v>
      </c>
      <c r="Q83" s="11">
        <f t="shared" si="117"/>
        <v>2.0000000000000013</v>
      </c>
      <c r="R83" s="11">
        <f t="shared" si="118"/>
        <v>0.34699999999999998</v>
      </c>
      <c r="S83" s="12">
        <f t="shared" si="106"/>
        <v>-97</v>
      </c>
      <c r="T83" s="12">
        <f t="shared" si="119"/>
        <v>388</v>
      </c>
      <c r="U83" s="12">
        <f t="shared" si="120"/>
        <v>255</v>
      </c>
      <c r="V83" s="13">
        <f t="shared" si="121"/>
        <v>786</v>
      </c>
      <c r="W83" s="15">
        <f t="shared" si="122"/>
        <v>1.698</v>
      </c>
      <c r="X83" s="18">
        <f t="shared" si="123"/>
        <v>423.61200000000002</v>
      </c>
      <c r="Y83" s="18">
        <f t="shared" si="124"/>
        <v>445.803</v>
      </c>
      <c r="Z83" s="18">
        <f t="shared" si="125"/>
        <v>210.45099999999999</v>
      </c>
      <c r="AA83" s="37">
        <f t="shared" si="107"/>
        <v>1.38</v>
      </c>
      <c r="AB83" s="4">
        <f t="shared" si="108"/>
        <v>209</v>
      </c>
    </row>
    <row r="84" spans="1:28" ht="13.5" thickBot="1">
      <c r="A84" s="33">
        <v>97.991550000000004</v>
      </c>
      <c r="B84" s="30">
        <v>1336.3</v>
      </c>
      <c r="C84" s="30">
        <v>1111.1141906873613</v>
      </c>
      <c r="D84" s="30">
        <v>917.78846153846143</v>
      </c>
      <c r="E84" s="30">
        <v>659.57551826258623</v>
      </c>
      <c r="F84" s="30">
        <v>473.19405099150134</v>
      </c>
      <c r="G84" s="30">
        <v>261.81426332288396</v>
      </c>
      <c r="H84" s="31">
        <v>161.07762777242041</v>
      </c>
      <c r="I84" s="9">
        <f t="shared" si="109"/>
        <v>1.3363</v>
      </c>
      <c r="J84" s="8">
        <f t="shared" si="110"/>
        <v>4.1360860973840978</v>
      </c>
      <c r="K84" s="8">
        <f t="shared" si="111"/>
        <v>4.4882686154954605</v>
      </c>
      <c r="L84" s="8">
        <f t="shared" si="112"/>
        <v>4.8404511336068223</v>
      </c>
      <c r="M84" s="8">
        <f t="shared" si="113"/>
        <v>5.0903286068234221</v>
      </c>
      <c r="N84" s="8">
        <f t="shared" si="114"/>
        <v>5.4425111249347848</v>
      </c>
      <c r="O84" s="8">
        <f t="shared" si="115"/>
        <v>5.6923885981513846</v>
      </c>
      <c r="P84" s="11">
        <f t="shared" si="116"/>
        <v>0.34200000000000019</v>
      </c>
      <c r="Q84" s="11">
        <f t="shared" si="117"/>
        <v>2</v>
      </c>
      <c r="R84" s="11">
        <f t="shared" si="118"/>
        <v>0.34200000000000003</v>
      </c>
      <c r="S84" s="12">
        <f t="shared" si="106"/>
        <v>-98</v>
      </c>
      <c r="T84" s="12">
        <f t="shared" si="119"/>
        <v>392</v>
      </c>
      <c r="U84" s="12">
        <f t="shared" si="120"/>
        <v>256</v>
      </c>
      <c r="V84" s="13">
        <f t="shared" si="121"/>
        <v>789</v>
      </c>
      <c r="W84" s="15">
        <f t="shared" si="122"/>
        <v>1.71</v>
      </c>
      <c r="X84" s="18">
        <f t="shared" si="123"/>
        <v>418.512</v>
      </c>
      <c r="Y84" s="18">
        <f t="shared" si="124"/>
        <v>444.59399999999999</v>
      </c>
      <c r="Z84" s="18">
        <f t="shared" si="125"/>
        <v>211.38</v>
      </c>
      <c r="AA84" s="37">
        <f t="shared" si="107"/>
        <v>1.39</v>
      </c>
      <c r="AB84" s="4">
        <f t="shared" si="108"/>
        <v>210</v>
      </c>
    </row>
    <row r="85" spans="1:28" ht="13.5" thickBot="1">
      <c r="A85" s="33">
        <v>97.426349999999999</v>
      </c>
      <c r="B85" s="30">
        <v>1341.6</v>
      </c>
      <c r="C85" s="30">
        <v>1111.1411042944785</v>
      </c>
      <c r="D85" s="30">
        <v>914.72727272727275</v>
      </c>
      <c r="E85" s="30">
        <v>654.43902439024396</v>
      </c>
      <c r="F85" s="30">
        <v>468</v>
      </c>
      <c r="G85" s="30">
        <v>258</v>
      </c>
      <c r="H85" s="31">
        <v>158.45669291338584</v>
      </c>
      <c r="I85" s="9">
        <f t="shared" si="109"/>
        <v>1.3415999999999999</v>
      </c>
      <c r="J85" s="8">
        <f t="shared" si="110"/>
        <v>4.1461280356782382</v>
      </c>
      <c r="K85" s="8">
        <f t="shared" si="111"/>
        <v>4.4983105537896009</v>
      </c>
      <c r="L85" s="8">
        <f t="shared" si="112"/>
        <v>4.8504930719009627</v>
      </c>
      <c r="M85" s="8">
        <f t="shared" si="113"/>
        <v>5.1003705451175625</v>
      </c>
      <c r="N85" s="8">
        <f t="shared" si="114"/>
        <v>5.4525530632289252</v>
      </c>
      <c r="O85" s="8">
        <f t="shared" si="115"/>
        <v>5.702430536445525</v>
      </c>
      <c r="P85" s="11">
        <f t="shared" si="116"/>
        <v>0.35000000000000003</v>
      </c>
      <c r="Q85" s="11">
        <f t="shared" si="117"/>
        <v>2</v>
      </c>
      <c r="R85" s="11">
        <f t="shared" si="118"/>
        <v>0.35</v>
      </c>
      <c r="S85" s="12">
        <f t="shared" si="106"/>
        <v>-96</v>
      </c>
      <c r="T85" s="12">
        <f t="shared" si="119"/>
        <v>384</v>
      </c>
      <c r="U85" s="12">
        <f t="shared" si="120"/>
        <v>254</v>
      </c>
      <c r="V85" s="13">
        <f t="shared" si="121"/>
        <v>784</v>
      </c>
      <c r="W85" s="15">
        <f t="shared" si="122"/>
        <v>1.69</v>
      </c>
      <c r="X85" s="18">
        <f t="shared" si="123"/>
        <v>426.87299999999999</v>
      </c>
      <c r="Y85" s="18">
        <f t="shared" si="124"/>
        <v>446.72699999999998</v>
      </c>
      <c r="Z85" s="18">
        <f t="shared" si="125"/>
        <v>210</v>
      </c>
      <c r="AA85" s="37">
        <f t="shared" si="107"/>
        <v>1.38</v>
      </c>
      <c r="AB85" s="4">
        <f t="shared" si="108"/>
        <v>209</v>
      </c>
    </row>
    <row r="86" spans="1:28" ht="13.5" thickBot="1">
      <c r="A86" s="33">
        <v>97.850250000000003</v>
      </c>
      <c r="B86" s="33">
        <v>1324.5</v>
      </c>
      <c r="C86" s="33">
        <v>1107.3043101312855</v>
      </c>
      <c r="D86" s="33">
        <v>918.94079555966698</v>
      </c>
      <c r="E86" s="33">
        <v>664.57601605619664</v>
      </c>
      <c r="F86" s="33">
        <v>478.96576663452265</v>
      </c>
      <c r="G86" s="33">
        <v>266.39179404666129</v>
      </c>
      <c r="H86" s="34">
        <v>164.30284485610321</v>
      </c>
      <c r="I86" s="9">
        <f t="shared" si="109"/>
        <v>1.3245</v>
      </c>
      <c r="J86" s="8">
        <f t="shared" si="110"/>
        <v>4.1218879851036814</v>
      </c>
      <c r="K86" s="8">
        <f t="shared" si="111"/>
        <v>4.4740705032150432</v>
      </c>
      <c r="L86" s="8">
        <f t="shared" si="112"/>
        <v>4.8262530213264059</v>
      </c>
      <c r="M86" s="8">
        <f t="shared" si="113"/>
        <v>5.0761304945430057</v>
      </c>
      <c r="N86" s="8">
        <f t="shared" si="114"/>
        <v>5.4283130126543684</v>
      </c>
      <c r="O86" s="8">
        <f t="shared" si="115"/>
        <v>5.6781904858709682</v>
      </c>
      <c r="P86" s="11">
        <f t="shared" si="116"/>
        <v>0.33099999999999868</v>
      </c>
      <c r="Q86" s="11">
        <f t="shared" si="117"/>
        <v>2.0000000000000009</v>
      </c>
      <c r="R86" s="11">
        <f t="shared" si="118"/>
        <v>0.33100000000000002</v>
      </c>
      <c r="S86" s="12">
        <f t="shared" si="106"/>
        <v>-103</v>
      </c>
      <c r="T86" s="12">
        <f t="shared" si="119"/>
        <v>412</v>
      </c>
      <c r="U86" s="12">
        <f t="shared" si="120"/>
        <v>261</v>
      </c>
      <c r="V86" s="13">
        <f t="shared" si="121"/>
        <v>793</v>
      </c>
      <c r="W86" s="15">
        <f t="shared" si="122"/>
        <v>1.738</v>
      </c>
      <c r="X86" s="18">
        <f t="shared" si="123"/>
        <v>405.55900000000003</v>
      </c>
      <c r="Y86" s="18">
        <f t="shared" si="124"/>
        <v>439.97500000000002</v>
      </c>
      <c r="Z86" s="18">
        <f t="shared" si="125"/>
        <v>212.57400000000001</v>
      </c>
      <c r="AA86" s="37">
        <f t="shared" si="107"/>
        <v>1.38</v>
      </c>
      <c r="AB86" s="4">
        <f t="shared" si="108"/>
        <v>209</v>
      </c>
    </row>
    <row r="87" spans="1:28" ht="13.5" thickBot="1">
      <c r="A87" s="33">
        <v>26.2818</v>
      </c>
      <c r="B87" s="27">
        <v>695</v>
      </c>
      <c r="C87" s="27">
        <v>491.64221337245863</v>
      </c>
      <c r="D87" s="27">
        <v>359.9792817679558</v>
      </c>
      <c r="E87" s="27">
        <v>224.62831286360699</v>
      </c>
      <c r="F87" s="27">
        <v>147.16261998870695</v>
      </c>
      <c r="G87" s="27">
        <v>74.125426621160415</v>
      </c>
      <c r="H87" s="28">
        <v>43.736365161939922</v>
      </c>
      <c r="I87" s="9">
        <f t="shared" ref="I87:I98" si="126">B87/1000</f>
        <v>0.69499999999999995</v>
      </c>
      <c r="J87" s="8">
        <f t="shared" ref="J87:J98" si="127">LOG10((((3*150*150)*B87)/C87)-((3*150*150)))</f>
        <v>4.4459154139511234</v>
      </c>
      <c r="K87" s="8">
        <f t="shared" ref="K87:K98" si="128">LOG10((((3*150*150)*B87)/D87)-((3*150*150)))</f>
        <v>4.7980979320624861</v>
      </c>
      <c r="L87" s="8">
        <f t="shared" ref="L87:L98" si="129">LOG10((((3*150*150)*B87)/E87)-((3*150*150)))</f>
        <v>5.1502804501738488</v>
      </c>
      <c r="M87" s="8">
        <f t="shared" ref="M87:M98" si="130">LOG10((((3*150*150)*B87)/F87)-((3*150*150)))</f>
        <v>5.4001579233904486</v>
      </c>
      <c r="N87" s="8">
        <f t="shared" ref="N87:N98" si="131">LOG10((((3*150*150)*B87)/G87)-((3*150*150)))</f>
        <v>5.7523404415018105</v>
      </c>
      <c r="O87" s="8">
        <f t="shared" ref="O87:O98" si="132">LOG10((((3*150*150)*B87)/H87)-((3*150*150)))</f>
        <v>6.0022179147184112</v>
      </c>
      <c r="P87" s="11">
        <f t="shared" ref="P87:P98" si="133">10^(INTERCEPT(J87:O87,$J$1:$O$1))</f>
        <v>0.69799999999999829</v>
      </c>
      <c r="Q87" s="11">
        <f t="shared" ref="Q87:Q98" si="134">LINEST(J87:O87,$J$1:$O$1)</f>
        <v>2.0000000000000004</v>
      </c>
      <c r="R87" s="11">
        <f t="shared" ref="R87:R98" si="135">ROUND(10^((SUM(J87:N87)-2*SUM($J$1:$N$1))/5),3)</f>
        <v>0.69799999999999995</v>
      </c>
      <c r="S87" s="12">
        <f t="shared" si="106"/>
        <v>-93</v>
      </c>
      <c r="T87" s="12">
        <f t="shared" ref="T87:T98" si="136">-4*S87</f>
        <v>372</v>
      </c>
      <c r="U87" s="12">
        <f t="shared" ref="U87:U98" si="137">ROUND(150/(R87^0.5),0)</f>
        <v>180</v>
      </c>
      <c r="V87" s="13">
        <f t="shared" ref="V87:V98" si="138">ROUND(150*I87*ATAN((1800*SQRT(3*R87))/(3*150))*SQRT(3/(R87)),0)</f>
        <v>303</v>
      </c>
      <c r="W87" s="15">
        <f t="shared" ref="W87:W98" si="139">ROUND(1/SQRT(R87),3)</f>
        <v>1.1970000000000001</v>
      </c>
      <c r="X87" s="18">
        <f t="shared" ref="X87:X98" si="140">ROUND(B87-D87,3)</f>
        <v>335.02100000000002</v>
      </c>
      <c r="Y87" s="18">
        <f t="shared" ref="Y87:Y98" si="141">ROUND(D87-F87,3)</f>
        <v>212.81700000000001</v>
      </c>
      <c r="Z87" s="18">
        <f t="shared" ref="Z87:Z98" si="142">ROUND(F87-G87,3)</f>
        <v>73.037000000000006</v>
      </c>
      <c r="AA87" s="37">
        <f t="shared" si="107"/>
        <v>0.37</v>
      </c>
      <c r="AB87" s="4">
        <f t="shared" si="108"/>
        <v>109</v>
      </c>
    </row>
    <row r="88" spans="1:28" ht="13.5" thickBot="1">
      <c r="A88" s="33">
        <v>26.63505</v>
      </c>
      <c r="B88" s="30">
        <v>543.4</v>
      </c>
      <c r="C88" s="30">
        <v>404.94038419077049</v>
      </c>
      <c r="D88" s="30">
        <v>307.12132629992459</v>
      </c>
      <c r="E88" s="30">
        <v>198.97473452947634</v>
      </c>
      <c r="F88" s="30">
        <v>133.273381294964</v>
      </c>
      <c r="G88" s="30">
        <v>68.576476527006548</v>
      </c>
      <c r="H88" s="31">
        <v>40.82849128431176</v>
      </c>
      <c r="I88" s="9">
        <f t="shared" si="126"/>
        <v>0.54339999999999999</v>
      </c>
      <c r="J88" s="8">
        <f t="shared" si="127"/>
        <v>4.3632358044836943</v>
      </c>
      <c r="K88" s="8">
        <f t="shared" si="128"/>
        <v>4.7154183225950561</v>
      </c>
      <c r="L88" s="8">
        <f t="shared" si="129"/>
        <v>5.0676008407064188</v>
      </c>
      <c r="M88" s="8">
        <f t="shared" si="130"/>
        <v>5.3174783139230186</v>
      </c>
      <c r="N88" s="8">
        <f t="shared" si="131"/>
        <v>5.6696608320343813</v>
      </c>
      <c r="O88" s="8">
        <f t="shared" si="132"/>
        <v>5.9195383052509811</v>
      </c>
      <c r="P88" s="11">
        <f t="shared" si="133"/>
        <v>0.57699999999999807</v>
      </c>
      <c r="Q88" s="11">
        <f t="shared" si="134"/>
        <v>2.0000000000000009</v>
      </c>
      <c r="R88" s="11">
        <f t="shared" si="135"/>
        <v>0.57699999999999996</v>
      </c>
      <c r="S88" s="12">
        <f t="shared" si="106"/>
        <v>-144</v>
      </c>
      <c r="T88" s="12">
        <f t="shared" si="136"/>
        <v>576</v>
      </c>
      <c r="U88" s="12">
        <f t="shared" si="137"/>
        <v>197</v>
      </c>
      <c r="V88" s="13">
        <f t="shared" si="138"/>
        <v>257</v>
      </c>
      <c r="W88" s="15">
        <f t="shared" si="139"/>
        <v>1.3160000000000001</v>
      </c>
      <c r="X88" s="18">
        <f t="shared" si="140"/>
        <v>236.279</v>
      </c>
      <c r="Y88" s="18">
        <f t="shared" si="141"/>
        <v>173.84800000000001</v>
      </c>
      <c r="Z88" s="18">
        <f t="shared" si="142"/>
        <v>64.697000000000003</v>
      </c>
      <c r="AA88" s="37">
        <f t="shared" si="107"/>
        <v>0.38</v>
      </c>
      <c r="AB88" s="4">
        <f t="shared" si="108"/>
        <v>109</v>
      </c>
    </row>
    <row r="89" spans="1:28" ht="13.5" thickBot="1">
      <c r="A89" s="33">
        <v>26.564399999999999</v>
      </c>
      <c r="B89" s="30">
        <v>521.9</v>
      </c>
      <c r="C89" s="30">
        <v>394.84700739744443</v>
      </c>
      <c r="D89" s="30">
        <v>302.72621809744771</v>
      </c>
      <c r="E89" s="30">
        <v>198.51654621529093</v>
      </c>
      <c r="F89" s="30">
        <v>133.95790554414782</v>
      </c>
      <c r="G89" s="30">
        <v>69.438531133581677</v>
      </c>
      <c r="H89" s="31">
        <v>41.473299427844871</v>
      </c>
      <c r="I89" s="9">
        <f t="shared" si="126"/>
        <v>0.52190000000000003</v>
      </c>
      <c r="J89" s="8">
        <f t="shared" si="127"/>
        <v>4.3368598209168097</v>
      </c>
      <c r="K89" s="8">
        <f t="shared" si="128"/>
        <v>4.6890423390281724</v>
      </c>
      <c r="L89" s="8">
        <f t="shared" si="129"/>
        <v>5.0412248571395342</v>
      </c>
      <c r="M89" s="8">
        <f t="shared" si="130"/>
        <v>5.291102330356134</v>
      </c>
      <c r="N89" s="8">
        <f t="shared" si="131"/>
        <v>5.6432848484674967</v>
      </c>
      <c r="O89" s="8">
        <f t="shared" si="132"/>
        <v>5.8931623216840965</v>
      </c>
      <c r="P89" s="11">
        <f t="shared" si="133"/>
        <v>0.54299999999999915</v>
      </c>
      <c r="Q89" s="11">
        <f t="shared" si="134"/>
        <v>2</v>
      </c>
      <c r="R89" s="11">
        <f t="shared" si="135"/>
        <v>0.54300000000000004</v>
      </c>
      <c r="S89" s="12">
        <f t="shared" si="106"/>
        <v>-159</v>
      </c>
      <c r="T89" s="12">
        <f t="shared" si="136"/>
        <v>636</v>
      </c>
      <c r="U89" s="12">
        <f t="shared" si="137"/>
        <v>204</v>
      </c>
      <c r="V89" s="13">
        <f t="shared" si="138"/>
        <v>253</v>
      </c>
      <c r="W89" s="15">
        <f t="shared" si="139"/>
        <v>1.357</v>
      </c>
      <c r="X89" s="18">
        <f t="shared" si="140"/>
        <v>219.17400000000001</v>
      </c>
      <c r="Y89" s="18">
        <f t="shared" si="141"/>
        <v>168.768</v>
      </c>
      <c r="Z89" s="18">
        <f t="shared" si="142"/>
        <v>64.519000000000005</v>
      </c>
      <c r="AA89" s="37">
        <f t="shared" si="107"/>
        <v>0.38</v>
      </c>
      <c r="AB89" s="4">
        <f t="shared" si="108"/>
        <v>109</v>
      </c>
    </row>
    <row r="90" spans="1:28" ht="13.5" thickBot="1">
      <c r="A90" s="33">
        <v>26.564399999999999</v>
      </c>
      <c r="B90" s="30">
        <v>512.1</v>
      </c>
      <c r="C90" s="30">
        <v>390.40829003840082</v>
      </c>
      <c r="D90" s="30">
        <v>300.99921630094053</v>
      </c>
      <c r="E90" s="30">
        <v>198.64235841737786</v>
      </c>
      <c r="F90" s="30">
        <v>134.57428170988089</v>
      </c>
      <c r="G90" s="30">
        <v>70.035557986870913</v>
      </c>
      <c r="H90" s="31">
        <v>41.902138337333632</v>
      </c>
      <c r="I90" s="9">
        <f t="shared" si="126"/>
        <v>0.5121</v>
      </c>
      <c r="J90" s="8">
        <f t="shared" si="127"/>
        <v>4.3230457354817009</v>
      </c>
      <c r="K90" s="8">
        <f t="shared" si="128"/>
        <v>4.6752282535930636</v>
      </c>
      <c r="L90" s="8">
        <f t="shared" si="129"/>
        <v>5.0274107717044263</v>
      </c>
      <c r="M90" s="8">
        <f t="shared" si="130"/>
        <v>5.2772882449210261</v>
      </c>
      <c r="N90" s="8">
        <f t="shared" si="131"/>
        <v>5.6294707630323888</v>
      </c>
      <c r="O90" s="8">
        <f t="shared" si="132"/>
        <v>5.8793482362489886</v>
      </c>
      <c r="P90" s="11">
        <f t="shared" si="133"/>
        <v>0.52599999999999592</v>
      </c>
      <c r="Q90" s="11">
        <f t="shared" si="134"/>
        <v>2.0000000000000013</v>
      </c>
      <c r="R90" s="11">
        <f t="shared" si="135"/>
        <v>0.52600000000000002</v>
      </c>
      <c r="S90" s="12">
        <f t="shared" si="106"/>
        <v>-167</v>
      </c>
      <c r="T90" s="12">
        <f t="shared" si="136"/>
        <v>668</v>
      </c>
      <c r="U90" s="12">
        <f t="shared" si="137"/>
        <v>207</v>
      </c>
      <c r="V90" s="13">
        <f t="shared" si="138"/>
        <v>252</v>
      </c>
      <c r="W90" s="15">
        <f t="shared" si="139"/>
        <v>1.379</v>
      </c>
      <c r="X90" s="18">
        <f t="shared" si="140"/>
        <v>211.101</v>
      </c>
      <c r="Y90" s="18">
        <f t="shared" si="141"/>
        <v>166.42500000000001</v>
      </c>
      <c r="Z90" s="18">
        <f t="shared" si="142"/>
        <v>64.539000000000001</v>
      </c>
      <c r="AA90" s="37">
        <f t="shared" si="107"/>
        <v>0.38</v>
      </c>
      <c r="AB90" s="4">
        <f t="shared" si="108"/>
        <v>109</v>
      </c>
    </row>
    <row r="91" spans="1:28" ht="13.5" thickBot="1">
      <c r="A91" s="33">
        <v>51.079949999999997</v>
      </c>
      <c r="B91" s="30">
        <v>911.5</v>
      </c>
      <c r="C91" s="30">
        <v>713.26512868073269</v>
      </c>
      <c r="D91" s="30">
        <v>560.80803937653809</v>
      </c>
      <c r="E91" s="30">
        <v>378.68716244287492</v>
      </c>
      <c r="F91" s="30">
        <v>260.32939832444782</v>
      </c>
      <c r="G91" s="30">
        <v>137.52263126131564</v>
      </c>
      <c r="H91" s="31">
        <v>82.823479525078753</v>
      </c>
      <c r="I91" s="9">
        <f t="shared" si="126"/>
        <v>0.91149999999999998</v>
      </c>
      <c r="J91" s="8">
        <f t="shared" si="127"/>
        <v>4.2732328340430454</v>
      </c>
      <c r="K91" s="8">
        <f t="shared" si="128"/>
        <v>4.6254153521544081</v>
      </c>
      <c r="L91" s="8">
        <f t="shared" si="129"/>
        <v>4.9775978702657708</v>
      </c>
      <c r="M91" s="8">
        <f t="shared" si="130"/>
        <v>5.2274753434823706</v>
      </c>
      <c r="N91" s="8">
        <f t="shared" si="131"/>
        <v>5.5796578615937333</v>
      </c>
      <c r="O91" s="8">
        <f t="shared" si="132"/>
        <v>5.8295353348103331</v>
      </c>
      <c r="P91" s="11">
        <f t="shared" si="133"/>
        <v>0.46899999999999764</v>
      </c>
      <c r="Q91" s="11">
        <f t="shared" si="134"/>
        <v>2.0000000000000013</v>
      </c>
      <c r="R91" s="11">
        <f t="shared" si="135"/>
        <v>0.46899999999999997</v>
      </c>
      <c r="S91" s="12">
        <f t="shared" si="106"/>
        <v>-105</v>
      </c>
      <c r="T91" s="12">
        <f t="shared" si="136"/>
        <v>420</v>
      </c>
      <c r="U91" s="12">
        <f t="shared" si="137"/>
        <v>219</v>
      </c>
      <c r="V91" s="13">
        <f t="shared" si="138"/>
        <v>471</v>
      </c>
      <c r="W91" s="15">
        <f t="shared" si="139"/>
        <v>1.46</v>
      </c>
      <c r="X91" s="18">
        <f t="shared" si="140"/>
        <v>350.69200000000001</v>
      </c>
      <c r="Y91" s="18">
        <f t="shared" si="141"/>
        <v>300.47899999999998</v>
      </c>
      <c r="Z91" s="18">
        <f t="shared" si="142"/>
        <v>122.807</v>
      </c>
      <c r="AA91" s="37">
        <f t="shared" si="107"/>
        <v>0.72</v>
      </c>
      <c r="AB91" s="4">
        <f t="shared" si="108"/>
        <v>151</v>
      </c>
    </row>
    <row r="92" spans="1:28" ht="13.5" thickBot="1">
      <c r="A92" s="33">
        <v>50.020200000000003</v>
      </c>
      <c r="B92" s="30">
        <v>871.7</v>
      </c>
      <c r="C92" s="30">
        <v>690.12139338494023</v>
      </c>
      <c r="D92" s="30">
        <v>547.55025125628151</v>
      </c>
      <c r="E92" s="30">
        <v>373.79931389365356</v>
      </c>
      <c r="F92" s="30">
        <v>258.81828978622332</v>
      </c>
      <c r="G92" s="30">
        <v>137.75284450063214</v>
      </c>
      <c r="H92" s="31">
        <v>83.241023682200165</v>
      </c>
      <c r="I92" s="9">
        <f t="shared" si="126"/>
        <v>0.87170000000000003</v>
      </c>
      <c r="J92" s="8">
        <f t="shared" si="127"/>
        <v>4.2494429614425826</v>
      </c>
      <c r="K92" s="8">
        <f t="shared" si="128"/>
        <v>4.6016254795539444</v>
      </c>
      <c r="L92" s="8">
        <f t="shared" si="129"/>
        <v>4.9538079976653071</v>
      </c>
      <c r="M92" s="8">
        <f t="shared" si="130"/>
        <v>5.2036854708819069</v>
      </c>
      <c r="N92" s="8">
        <f t="shared" si="131"/>
        <v>5.5558679889932696</v>
      </c>
      <c r="O92" s="8">
        <f t="shared" si="132"/>
        <v>5.8057454622098694</v>
      </c>
      <c r="P92" s="11">
        <f t="shared" si="133"/>
        <v>0.4439999999999994</v>
      </c>
      <c r="Q92" s="11">
        <f t="shared" si="134"/>
        <v>2.0000000000000004</v>
      </c>
      <c r="R92" s="11">
        <f t="shared" si="135"/>
        <v>0.44400000000000001</v>
      </c>
      <c r="S92" s="12">
        <f t="shared" si="106"/>
        <v>-116</v>
      </c>
      <c r="T92" s="12">
        <f t="shared" si="136"/>
        <v>464</v>
      </c>
      <c r="U92" s="12">
        <f t="shared" si="137"/>
        <v>225</v>
      </c>
      <c r="V92" s="13">
        <f t="shared" si="138"/>
        <v>461</v>
      </c>
      <c r="W92" s="15">
        <f t="shared" si="139"/>
        <v>1.5009999999999999</v>
      </c>
      <c r="X92" s="18">
        <f t="shared" si="140"/>
        <v>324.14999999999998</v>
      </c>
      <c r="Y92" s="18">
        <f t="shared" si="141"/>
        <v>288.73200000000003</v>
      </c>
      <c r="Z92" s="18">
        <f t="shared" si="142"/>
        <v>121.065</v>
      </c>
      <c r="AA92" s="37">
        <f t="shared" si="107"/>
        <v>0.71</v>
      </c>
      <c r="AB92" s="4">
        <f t="shared" si="108"/>
        <v>150</v>
      </c>
    </row>
    <row r="93" spans="1:28" ht="13.5" thickBot="1">
      <c r="A93" s="33">
        <v>49.878900000000002</v>
      </c>
      <c r="B93" s="30">
        <v>862.3</v>
      </c>
      <c r="C93" s="30">
        <v>685.57420494699636</v>
      </c>
      <c r="D93" s="30">
        <v>545.75949367088606</v>
      </c>
      <c r="E93" s="30">
        <v>374.09978308026024</v>
      </c>
      <c r="F93" s="30">
        <v>259.72891566265059</v>
      </c>
      <c r="G93" s="30">
        <v>138.63344051446944</v>
      </c>
      <c r="H93" s="31">
        <v>83.881322957198435</v>
      </c>
      <c r="I93" s="9">
        <f t="shared" si="126"/>
        <v>0.86229999999999996</v>
      </c>
      <c r="J93" s="8">
        <f t="shared" si="127"/>
        <v>4.2405492482826004</v>
      </c>
      <c r="K93" s="8">
        <f t="shared" si="128"/>
        <v>4.5927317663939622</v>
      </c>
      <c r="L93" s="8">
        <f t="shared" si="129"/>
        <v>4.9449142845053249</v>
      </c>
      <c r="M93" s="8">
        <f t="shared" si="130"/>
        <v>5.1947917577219247</v>
      </c>
      <c r="N93" s="8">
        <f t="shared" si="131"/>
        <v>5.5469742758332874</v>
      </c>
      <c r="O93" s="8">
        <f t="shared" si="132"/>
        <v>5.7968517490498872</v>
      </c>
      <c r="P93" s="11">
        <f t="shared" si="133"/>
        <v>0.43499999999999878</v>
      </c>
      <c r="Q93" s="11">
        <f t="shared" si="134"/>
        <v>2.0000000000000009</v>
      </c>
      <c r="R93" s="11">
        <f t="shared" si="135"/>
        <v>0.435</v>
      </c>
      <c r="S93" s="12">
        <f t="shared" si="106"/>
        <v>-120</v>
      </c>
      <c r="T93" s="12">
        <f t="shared" si="136"/>
        <v>480</v>
      </c>
      <c r="U93" s="12">
        <f t="shared" si="137"/>
        <v>227</v>
      </c>
      <c r="V93" s="13">
        <f t="shared" si="138"/>
        <v>460</v>
      </c>
      <c r="W93" s="15">
        <f t="shared" si="139"/>
        <v>1.516</v>
      </c>
      <c r="X93" s="18">
        <f t="shared" si="140"/>
        <v>316.541</v>
      </c>
      <c r="Y93" s="18">
        <f t="shared" si="141"/>
        <v>286.03100000000001</v>
      </c>
      <c r="Z93" s="18">
        <f t="shared" si="142"/>
        <v>121.095</v>
      </c>
      <c r="AA93" s="37">
        <f t="shared" si="107"/>
        <v>0.71</v>
      </c>
      <c r="AB93" s="4">
        <f t="shared" si="108"/>
        <v>150</v>
      </c>
    </row>
    <row r="94" spans="1:28" ht="13.5" thickBot="1">
      <c r="A94" s="33">
        <v>49.878900000000002</v>
      </c>
      <c r="B94" s="30">
        <v>857.2</v>
      </c>
      <c r="C94" s="30">
        <v>684.42157558552174</v>
      </c>
      <c r="D94" s="30">
        <v>546.68367346938783</v>
      </c>
      <c r="E94" s="30">
        <v>376.2949956101844</v>
      </c>
      <c r="F94" s="30">
        <v>261.98044009779954</v>
      </c>
      <c r="G94" s="30">
        <v>140.24869109947645</v>
      </c>
      <c r="H94" s="31">
        <v>84.972244250594784</v>
      </c>
      <c r="I94" s="9">
        <f t="shared" si="126"/>
        <v>0.85720000000000007</v>
      </c>
      <c r="J94" s="8">
        <f t="shared" si="127"/>
        <v>4.2314695904306809</v>
      </c>
      <c r="K94" s="8">
        <f t="shared" si="128"/>
        <v>4.5836521085420436</v>
      </c>
      <c r="L94" s="8">
        <f t="shared" si="129"/>
        <v>4.9358346266534063</v>
      </c>
      <c r="M94" s="8">
        <f t="shared" si="130"/>
        <v>5.1857120998700061</v>
      </c>
      <c r="N94" s="8">
        <f t="shared" si="131"/>
        <v>5.5378946179813688</v>
      </c>
      <c r="O94" s="8">
        <f t="shared" si="132"/>
        <v>5.7877720911979686</v>
      </c>
      <c r="P94" s="11">
        <f t="shared" si="133"/>
        <v>0.42599999999999694</v>
      </c>
      <c r="Q94" s="11">
        <f t="shared" si="134"/>
        <v>2.0000000000000013</v>
      </c>
      <c r="R94" s="11">
        <f t="shared" si="135"/>
        <v>0.42599999999999999</v>
      </c>
      <c r="S94" s="12">
        <f t="shared" si="106"/>
        <v>-123</v>
      </c>
      <c r="T94" s="12">
        <f t="shared" si="136"/>
        <v>492</v>
      </c>
      <c r="U94" s="12">
        <f t="shared" si="137"/>
        <v>230</v>
      </c>
      <c r="V94" s="13">
        <f t="shared" si="138"/>
        <v>462</v>
      </c>
      <c r="W94" s="15">
        <f t="shared" si="139"/>
        <v>1.532</v>
      </c>
      <c r="X94" s="18">
        <f t="shared" si="140"/>
        <v>310.51600000000002</v>
      </c>
      <c r="Y94" s="18">
        <f t="shared" si="141"/>
        <v>284.70299999999997</v>
      </c>
      <c r="Z94" s="18">
        <f t="shared" si="142"/>
        <v>121.732</v>
      </c>
      <c r="AA94" s="37">
        <f t="shared" si="107"/>
        <v>0.71</v>
      </c>
      <c r="AB94" s="4">
        <f t="shared" si="108"/>
        <v>150</v>
      </c>
    </row>
    <row r="95" spans="1:28" ht="13.5" thickBot="1">
      <c r="A95" s="33">
        <v>97.002449999999996</v>
      </c>
      <c r="B95" s="30">
        <v>1399.1</v>
      </c>
      <c r="C95" s="30">
        <v>1137.0003611846855</v>
      </c>
      <c r="D95" s="30">
        <v>921.26865671641781</v>
      </c>
      <c r="E95" s="30">
        <v>645.63913244116281</v>
      </c>
      <c r="F95" s="30">
        <v>455.04119687771026</v>
      </c>
      <c r="G95" s="30">
        <v>246.84191954834154</v>
      </c>
      <c r="H95" s="31">
        <v>150.46243188987665</v>
      </c>
      <c r="I95" s="9">
        <f t="shared" si="126"/>
        <v>1.3991</v>
      </c>
      <c r="J95" s="8">
        <f t="shared" si="127"/>
        <v>4.1920095926536707</v>
      </c>
      <c r="K95" s="8">
        <f t="shared" si="128"/>
        <v>4.5441921107650325</v>
      </c>
      <c r="L95" s="8">
        <f t="shared" si="129"/>
        <v>4.8963746288763952</v>
      </c>
      <c r="M95" s="8">
        <f t="shared" si="130"/>
        <v>5.146252102092995</v>
      </c>
      <c r="N95" s="8">
        <f t="shared" si="131"/>
        <v>5.4984346202043577</v>
      </c>
      <c r="O95" s="8">
        <f t="shared" si="132"/>
        <v>5.7483120934209575</v>
      </c>
      <c r="P95" s="11">
        <f t="shared" si="133"/>
        <v>0.38899999999999879</v>
      </c>
      <c r="Q95" s="11">
        <f t="shared" si="134"/>
        <v>2.0000000000000009</v>
      </c>
      <c r="R95" s="11">
        <f t="shared" si="135"/>
        <v>0.38900000000000001</v>
      </c>
      <c r="S95" s="12">
        <f t="shared" si="106"/>
        <v>-83</v>
      </c>
      <c r="T95" s="12">
        <f t="shared" si="136"/>
        <v>332</v>
      </c>
      <c r="U95" s="12">
        <f t="shared" si="137"/>
        <v>241</v>
      </c>
      <c r="V95" s="13">
        <f t="shared" si="138"/>
        <v>783</v>
      </c>
      <c r="W95" s="15">
        <f t="shared" si="139"/>
        <v>1.603</v>
      </c>
      <c r="X95" s="18">
        <f t="shared" si="140"/>
        <v>477.83100000000002</v>
      </c>
      <c r="Y95" s="18">
        <f t="shared" si="141"/>
        <v>466.22699999999998</v>
      </c>
      <c r="Z95" s="18">
        <f t="shared" si="142"/>
        <v>208.19900000000001</v>
      </c>
      <c r="AA95" s="37">
        <f t="shared" si="107"/>
        <v>1.37</v>
      </c>
      <c r="AB95" s="4">
        <f t="shared" si="108"/>
        <v>209</v>
      </c>
    </row>
    <row r="96" spans="1:28" ht="13.5" thickBot="1">
      <c r="A96" s="33">
        <v>97.285049999999998</v>
      </c>
      <c r="B96" s="30">
        <v>1367.7</v>
      </c>
      <c r="C96" s="30">
        <v>1112.5542299349243</v>
      </c>
      <c r="D96" s="30">
        <v>902.17678100263868</v>
      </c>
      <c r="E96" s="30">
        <v>632.90143452105519</v>
      </c>
      <c r="F96" s="30">
        <v>446.37728459530035</v>
      </c>
      <c r="G96" s="30">
        <v>242.32813607370662</v>
      </c>
      <c r="H96" s="31">
        <v>147.76361279170271</v>
      </c>
      <c r="I96" s="9">
        <f t="shared" si="126"/>
        <v>1.3677000000000001</v>
      </c>
      <c r="J96" s="8">
        <f t="shared" si="127"/>
        <v>4.189770956346873</v>
      </c>
      <c r="K96" s="8">
        <f t="shared" si="128"/>
        <v>4.5419534744582357</v>
      </c>
      <c r="L96" s="8">
        <f t="shared" si="129"/>
        <v>4.8941359925695984</v>
      </c>
      <c r="M96" s="8">
        <f t="shared" si="130"/>
        <v>5.1440134657861982</v>
      </c>
      <c r="N96" s="8">
        <f t="shared" si="131"/>
        <v>5.4961959838975609</v>
      </c>
      <c r="O96" s="8">
        <f t="shared" si="132"/>
        <v>5.7460734571141607</v>
      </c>
      <c r="P96" s="11">
        <f t="shared" si="133"/>
        <v>0.38699999999999679</v>
      </c>
      <c r="Q96" s="11">
        <f t="shared" si="134"/>
        <v>2.0000000000000013</v>
      </c>
      <c r="R96" s="11">
        <f t="shared" si="135"/>
        <v>0.38700000000000001</v>
      </c>
      <c r="S96" s="12">
        <f t="shared" si="106"/>
        <v>-85</v>
      </c>
      <c r="T96" s="12">
        <f t="shared" si="136"/>
        <v>340</v>
      </c>
      <c r="U96" s="12">
        <f t="shared" si="137"/>
        <v>241</v>
      </c>
      <c r="V96" s="13">
        <f t="shared" si="138"/>
        <v>767</v>
      </c>
      <c r="W96" s="15">
        <f t="shared" si="139"/>
        <v>1.607</v>
      </c>
      <c r="X96" s="18">
        <f t="shared" si="140"/>
        <v>465.52300000000002</v>
      </c>
      <c r="Y96" s="18">
        <f t="shared" si="141"/>
        <v>455.79899999999998</v>
      </c>
      <c r="Z96" s="18">
        <f t="shared" si="142"/>
        <v>204.04900000000001</v>
      </c>
      <c r="AA96" s="37">
        <f t="shared" si="107"/>
        <v>1.38</v>
      </c>
      <c r="AB96" s="4">
        <f t="shared" si="108"/>
        <v>209</v>
      </c>
    </row>
    <row r="97" spans="1:28" ht="13.5" thickBot="1">
      <c r="A97" s="33">
        <v>97.073099999999997</v>
      </c>
      <c r="B97" s="30">
        <v>1383.2</v>
      </c>
      <c r="C97" s="30">
        <v>1109.1233071988597</v>
      </c>
      <c r="D97" s="30">
        <v>888.94601542416467</v>
      </c>
      <c r="E97" s="30">
        <v>614.48245224344748</v>
      </c>
      <c r="F97" s="30">
        <v>429.03225806451621</v>
      </c>
      <c r="G97" s="30">
        <v>230.37974683544309</v>
      </c>
      <c r="H97" s="31">
        <v>139.77364591754247</v>
      </c>
      <c r="I97" s="9">
        <f t="shared" si="126"/>
        <v>1.3832</v>
      </c>
      <c r="J97" s="8">
        <f t="shared" si="127"/>
        <v>4.2221960463017192</v>
      </c>
      <c r="K97" s="8">
        <f t="shared" si="128"/>
        <v>4.5743785644130819</v>
      </c>
      <c r="L97" s="8">
        <f t="shared" si="129"/>
        <v>4.9265610825244446</v>
      </c>
      <c r="M97" s="8">
        <f t="shared" si="130"/>
        <v>5.1764385557410444</v>
      </c>
      <c r="N97" s="8">
        <f t="shared" si="131"/>
        <v>5.5286210738524071</v>
      </c>
      <c r="O97" s="8">
        <f t="shared" si="132"/>
        <v>5.7784985470690069</v>
      </c>
      <c r="P97" s="11">
        <f t="shared" si="133"/>
        <v>0.4169999999999966</v>
      </c>
      <c r="Q97" s="11">
        <f t="shared" si="134"/>
        <v>2.0000000000000013</v>
      </c>
      <c r="R97" s="11">
        <f t="shared" si="135"/>
        <v>0.41699999999999998</v>
      </c>
      <c r="S97" s="12">
        <f t="shared" si="106"/>
        <v>-78</v>
      </c>
      <c r="T97" s="12">
        <f t="shared" si="136"/>
        <v>312</v>
      </c>
      <c r="U97" s="12">
        <f t="shared" si="137"/>
        <v>232</v>
      </c>
      <c r="V97" s="13">
        <f t="shared" si="138"/>
        <v>752</v>
      </c>
      <c r="W97" s="15">
        <f t="shared" si="139"/>
        <v>1.5489999999999999</v>
      </c>
      <c r="X97" s="18">
        <f t="shared" si="140"/>
        <v>494.25400000000002</v>
      </c>
      <c r="Y97" s="18">
        <f t="shared" si="141"/>
        <v>459.91399999999999</v>
      </c>
      <c r="Z97" s="18">
        <f t="shared" si="142"/>
        <v>198.65299999999999</v>
      </c>
      <c r="AA97" s="37">
        <f t="shared" si="107"/>
        <v>1.37</v>
      </c>
      <c r="AB97" s="4">
        <f t="shared" si="108"/>
        <v>209</v>
      </c>
    </row>
    <row r="98" spans="1:28" ht="13.5" thickBot="1">
      <c r="A98" s="33">
        <v>96.931799999999996</v>
      </c>
      <c r="B98" s="33">
        <v>1364.8</v>
      </c>
      <c r="C98" s="33">
        <v>1118.2811361981062</v>
      </c>
      <c r="D98" s="33">
        <v>912.29946524064155</v>
      </c>
      <c r="E98" s="33">
        <v>644.9905482041587</v>
      </c>
      <c r="F98" s="33">
        <v>457.37265415549592</v>
      </c>
      <c r="G98" s="33">
        <v>249.78038067349922</v>
      </c>
      <c r="H98" s="34">
        <v>152.73052820053712</v>
      </c>
      <c r="I98" s="9">
        <f t="shared" si="126"/>
        <v>1.3648</v>
      </c>
      <c r="J98" s="8">
        <f t="shared" si="127"/>
        <v>4.1726029312098607</v>
      </c>
      <c r="K98" s="8">
        <f t="shared" si="128"/>
        <v>4.5247854493212225</v>
      </c>
      <c r="L98" s="8">
        <f t="shared" si="129"/>
        <v>4.8769679674325852</v>
      </c>
      <c r="M98" s="8">
        <f t="shared" si="130"/>
        <v>5.126845440649185</v>
      </c>
      <c r="N98" s="8">
        <f t="shared" si="131"/>
        <v>5.4790279587605477</v>
      </c>
      <c r="O98" s="8">
        <f t="shared" si="132"/>
        <v>5.7289054319771475</v>
      </c>
      <c r="P98" s="11">
        <f t="shared" si="133"/>
        <v>0.37199999999999905</v>
      </c>
      <c r="Q98" s="11">
        <f t="shared" si="134"/>
        <v>2.0000000000000009</v>
      </c>
      <c r="R98" s="11">
        <f t="shared" si="135"/>
        <v>0.372</v>
      </c>
      <c r="S98" s="12">
        <f t="shared" si="106"/>
        <v>-89</v>
      </c>
      <c r="T98" s="12">
        <f t="shared" si="136"/>
        <v>356</v>
      </c>
      <c r="U98" s="12">
        <f t="shared" si="137"/>
        <v>246</v>
      </c>
      <c r="V98" s="13">
        <f t="shared" si="138"/>
        <v>778</v>
      </c>
      <c r="W98" s="15">
        <f t="shared" si="139"/>
        <v>1.64</v>
      </c>
      <c r="X98" s="18">
        <f t="shared" si="140"/>
        <v>452.50099999999998</v>
      </c>
      <c r="Y98" s="18">
        <f t="shared" si="141"/>
        <v>454.92700000000002</v>
      </c>
      <c r="Z98" s="18">
        <f t="shared" si="142"/>
        <v>207.59200000000001</v>
      </c>
      <c r="AA98" s="37">
        <f t="shared" si="107"/>
        <v>1.37</v>
      </c>
      <c r="AB98" s="4">
        <f t="shared" si="108"/>
        <v>208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2:V13"/>
  <sheetViews>
    <sheetView tabSelected="1" workbookViewId="0">
      <selection activeCell="C3" sqref="C3:I4"/>
    </sheetView>
  </sheetViews>
  <sheetFormatPr defaultRowHeight="12.75"/>
  <sheetData>
    <row r="2" spans="3:22">
      <c r="C2" s="3">
        <v>0</v>
      </c>
      <c r="D2" s="4">
        <v>200</v>
      </c>
      <c r="E2" s="4">
        <v>300</v>
      </c>
      <c r="F2" s="4">
        <v>450</v>
      </c>
      <c r="G2" s="4">
        <v>600</v>
      </c>
      <c r="H2" s="4">
        <v>900</v>
      </c>
      <c r="I2" s="4">
        <v>1200</v>
      </c>
      <c r="K2" s="3">
        <v>0</v>
      </c>
      <c r="L2" s="4">
        <v>200</v>
      </c>
      <c r="M2" s="4">
        <v>300</v>
      </c>
      <c r="N2" s="4">
        <v>450</v>
      </c>
      <c r="O2" s="4">
        <v>600</v>
      </c>
      <c r="P2" s="4">
        <v>900</v>
      </c>
      <c r="Q2" s="4">
        <v>1200</v>
      </c>
      <c r="S2" s="39">
        <v>1.02</v>
      </c>
      <c r="U2" s="40">
        <v>25</v>
      </c>
      <c r="V2">
        <v>0.15</v>
      </c>
    </row>
    <row r="3" spans="3:22">
      <c r="C3" s="38">
        <f>ROUND('paraméter számoló (4)'!B3/1000,3)</f>
        <v>0.39400000000000002</v>
      </c>
      <c r="D3" s="38">
        <f>ROUND('paraméter számoló (4)'!C3/1000,3)</f>
        <v>0.35099999999999998</v>
      </c>
      <c r="E3" s="38">
        <f>ROUND('paraméter számoló (4)'!D3/1000,3)</f>
        <v>0.309</v>
      </c>
      <c r="F3" s="38">
        <f>ROUND('paraméter számoló (4)'!E3/1000,3)</f>
        <v>0.24399999999999999</v>
      </c>
      <c r="G3" s="38">
        <f>ROUND('paraméter számoló (4)'!F3/1000,3)</f>
        <v>0.188</v>
      </c>
      <c r="H3" s="38">
        <f>ROUND('paraméter számoló (4)'!G3/1000,3)</f>
        <v>0.114</v>
      </c>
      <c r="I3" s="38">
        <f>ROUND('paraméter számoló (4)'!H3/1000,3)</f>
        <v>7.2999999999999995E-2</v>
      </c>
      <c r="K3" s="38">
        <f>($S$2*3*$S$3^2)/(0.165*K2^2+3*$S$3^2)</f>
        <v>1.02</v>
      </c>
      <c r="L3" s="38">
        <f t="shared" ref="L3:Q3" si="0">($S$2*3*$S$3^2)/(0.165*L2^2+3*$S$3^2)</f>
        <v>0.92914979757085026</v>
      </c>
      <c r="M3" s="38">
        <f t="shared" si="0"/>
        <v>0.83606557377049184</v>
      </c>
      <c r="N3" s="38">
        <f t="shared" si="0"/>
        <v>0.68227424749163879</v>
      </c>
      <c r="O3" s="38">
        <f t="shared" si="0"/>
        <v>0.54255319148936165</v>
      </c>
      <c r="P3" s="38">
        <f t="shared" si="0"/>
        <v>0.34228187919463088</v>
      </c>
      <c r="Q3" s="38">
        <f t="shared" si="0"/>
        <v>0.22566371681415928</v>
      </c>
      <c r="S3">
        <v>150</v>
      </c>
      <c r="U3" s="41">
        <v>50</v>
      </c>
      <c r="V3">
        <v>0.25</v>
      </c>
    </row>
    <row r="4" spans="3:22">
      <c r="C4" s="38">
        <f>ROUND('paraméter számoló (4)'!B4/1000,3)</f>
        <v>0.37</v>
      </c>
      <c r="D4" s="38">
        <f>ROUND('paraméter számoló (4)'!C4/1000,3)</f>
        <v>0.32900000000000001</v>
      </c>
      <c r="E4" s="38">
        <f>ROUND('paraméter számoló (4)'!D4/1000,3)</f>
        <v>0.28899999999999998</v>
      </c>
      <c r="F4" s="38">
        <f>ROUND('paraméter számoló (4)'!E4/1000,3)</f>
        <v>0.22700000000000001</v>
      </c>
      <c r="G4" s="38">
        <f>ROUND('paraméter számoló (4)'!F4/1000,3)</f>
        <v>0.17399999999999999</v>
      </c>
      <c r="H4" s="38">
        <f>ROUND('paraméter számoló (4)'!G4/1000,3)</f>
        <v>0.105</v>
      </c>
      <c r="I4" s="38">
        <f>ROUND('paraméter számoló (4)'!H4/1000,3)</f>
        <v>6.7000000000000004E-2</v>
      </c>
      <c r="U4" s="41">
        <v>100</v>
      </c>
      <c r="V4">
        <v>0.45</v>
      </c>
    </row>
    <row r="5" spans="3:22">
      <c r="C5" s="38">
        <f>ROUND('paraméter számoló (4)'!B5/1000,3)</f>
        <v>0.36499999999999999</v>
      </c>
      <c r="D5" s="38">
        <f>ROUND('paraméter számoló (4)'!C5/1000,3)</f>
        <v>0.32500000000000001</v>
      </c>
      <c r="E5" s="38">
        <f>ROUND('paraméter számoló (4)'!D5/1000,3)</f>
        <v>0.28599999999999998</v>
      </c>
      <c r="F5" s="38">
        <f>ROUND('paraméter számoló (4)'!E5/1000,3)</f>
        <v>0.22600000000000001</v>
      </c>
      <c r="G5" s="38">
        <f>ROUND('paraméter számoló (4)'!F5/1000,3)</f>
        <v>0.17399999999999999</v>
      </c>
      <c r="H5" s="38">
        <f>ROUND('paraméter számoló (4)'!G5/1000,3)</f>
        <v>0.105</v>
      </c>
      <c r="I5" s="38">
        <f>ROUND('paraméter számoló (4)'!H5/1000,3)</f>
        <v>6.8000000000000005E-2</v>
      </c>
    </row>
    <row r="6" spans="3:22">
      <c r="C6" s="38">
        <f>ROUND('paraméter számoló (4)'!B6/1000,3)</f>
        <v>0.36299999999999999</v>
      </c>
      <c r="D6" s="38">
        <f>ROUND('paraméter számoló (4)'!C6/1000,3)</f>
        <v>0.32400000000000001</v>
      </c>
      <c r="E6" s="38">
        <f>ROUND('paraméter számoló (4)'!D6/1000,3)</f>
        <v>0.28499999999999998</v>
      </c>
      <c r="F6" s="38">
        <f>ROUND('paraméter számoló (4)'!E6/1000,3)</f>
        <v>0.224</v>
      </c>
      <c r="G6" s="38">
        <f>ROUND('paraméter számoló (4)'!F6/1000,3)</f>
        <v>0.17299999999999999</v>
      </c>
      <c r="H6" s="38">
        <f>ROUND('paraméter számoló (4)'!G6/1000,3)</f>
        <v>0.105</v>
      </c>
      <c r="I6" s="38">
        <f>ROUND('paraméter számoló (4)'!H6/1000,3)</f>
        <v>6.7000000000000004E-2</v>
      </c>
    </row>
    <row r="7" spans="3:22">
      <c r="C7" s="38">
        <f>ROUND('paraméter számoló (4)'!B7/1000,3)</f>
        <v>0.64100000000000001</v>
      </c>
      <c r="D7" s="38">
        <f>ROUND('paraméter számoló (4)'!C7/1000,3)</f>
        <v>0.57599999999999996</v>
      </c>
      <c r="E7" s="38">
        <f>ROUND('paraméter számoló (4)'!D7/1000,3)</f>
        <v>0.51100000000000001</v>
      </c>
      <c r="F7" s="38">
        <f>ROUND('paraméter számoló (4)'!E7/1000,3)</f>
        <v>0.40799999999999997</v>
      </c>
      <c r="G7" s="38">
        <f>ROUND('paraméter számoló (4)'!F7/1000,3)</f>
        <v>0.318</v>
      </c>
      <c r="H7" s="38">
        <f>ROUND('paraméter számoló (4)'!G7/1000,3)</f>
        <v>0.19500000000000001</v>
      </c>
      <c r="I7" s="38">
        <f>ROUND('paraméter számoló (4)'!H7/1000,3)</f>
        <v>0.127</v>
      </c>
    </row>
    <row r="8" spans="3:22">
      <c r="C8" s="38">
        <f>ROUND('paraméter számoló (4)'!B8/1000,3)</f>
        <v>0.61899999999999999</v>
      </c>
      <c r="D8" s="38">
        <f>ROUND('paraméter számoló (4)'!C8/1000,3)</f>
        <v>0.55600000000000005</v>
      </c>
      <c r="E8" s="38">
        <f>ROUND('paraméter számoló (4)'!D8/1000,3)</f>
        <v>0.49299999999999999</v>
      </c>
      <c r="F8" s="38">
        <f>ROUND('paraméter számoló (4)'!E8/1000,3)</f>
        <v>0.39400000000000002</v>
      </c>
      <c r="G8" s="38">
        <f>ROUND('paraméter számoló (4)'!F8/1000,3)</f>
        <v>0.307</v>
      </c>
      <c r="H8" s="38">
        <f>ROUND('paraméter számoló (4)'!G8/1000,3)</f>
        <v>0.189</v>
      </c>
      <c r="I8" s="38">
        <f>ROUND('paraméter számoló (4)'!H8/1000,3)</f>
        <v>0.122</v>
      </c>
    </row>
    <row r="9" spans="3:22">
      <c r="C9" s="38">
        <f>ROUND('paraméter számoló (4)'!B9/1000,3)</f>
        <v>0.61099999999999999</v>
      </c>
      <c r="D9" s="38">
        <f>ROUND('paraméter számoló (4)'!C9/1000,3)</f>
        <v>0.54900000000000004</v>
      </c>
      <c r="E9" s="38">
        <f>ROUND('paraméter számoló (4)'!D9/1000,3)</f>
        <v>0.48699999999999999</v>
      </c>
      <c r="F9" s="38">
        <f>ROUND('paraméter számoló (4)'!E9/1000,3)</f>
        <v>0.38800000000000001</v>
      </c>
      <c r="G9" s="38">
        <f>ROUND('paraméter számoló (4)'!F9/1000,3)</f>
        <v>0.30199999999999999</v>
      </c>
      <c r="H9" s="38">
        <f>ROUND('paraméter számoló (4)'!G9/1000,3)</f>
        <v>0.185</v>
      </c>
      <c r="I9" s="38">
        <f>ROUND('paraméter számoló (4)'!H9/1000,3)</f>
        <v>0.12</v>
      </c>
    </row>
    <row r="10" spans="3:22">
      <c r="C10" s="38">
        <f>ROUND('paraméter számoló (4)'!B10/1000,3)</f>
        <v>0.60699999999999998</v>
      </c>
      <c r="D10" s="38">
        <f>ROUND('paraméter számoló (4)'!C10/1000,3)</f>
        <v>0.54500000000000004</v>
      </c>
      <c r="E10" s="38">
        <f>ROUND('paraméter számoló (4)'!D10/1000,3)</f>
        <v>0.48199999999999998</v>
      </c>
      <c r="F10" s="38">
        <f>ROUND('paraméter számoló (4)'!E10/1000,3)</f>
        <v>0.38400000000000001</v>
      </c>
      <c r="G10" s="38">
        <f>ROUND('paraméter számoló (4)'!F10/1000,3)</f>
        <v>0.29799999999999999</v>
      </c>
      <c r="H10" s="38">
        <f>ROUND('paraméter számoló (4)'!G10/1000,3)</f>
        <v>0.182</v>
      </c>
      <c r="I10" s="38">
        <f>ROUND('paraméter számoló (4)'!H10/1000,3)</f>
        <v>0.11799999999999999</v>
      </c>
    </row>
    <row r="11" spans="3:22">
      <c r="C11" s="38">
        <f>ROUND('paraméter számoló (4)'!B11/1000,3)</f>
        <v>1.012</v>
      </c>
      <c r="D11" s="38">
        <f>ROUND('paraméter számoló (4)'!C11/1000,3)</f>
        <v>0.92300000000000004</v>
      </c>
      <c r="E11" s="38">
        <f>ROUND('paraméter számoló (4)'!D11/1000,3)</f>
        <v>0.83099999999999996</v>
      </c>
      <c r="F11" s="38">
        <f>ROUND('paraméter számoló (4)'!E11/1000,3)</f>
        <v>0.68</v>
      </c>
      <c r="G11" s="38">
        <f>ROUND('paraméter számoló (4)'!F11/1000,3)</f>
        <v>0.54100000000000004</v>
      </c>
      <c r="H11" s="38">
        <f>ROUND('paraméter számoló (4)'!G11/1000,3)</f>
        <v>0.34200000000000003</v>
      </c>
      <c r="I11" s="38">
        <f>ROUND('paraméter számoló (4)'!H11/1000,3)</f>
        <v>0.22600000000000001</v>
      </c>
    </row>
    <row r="12" spans="3:22">
      <c r="C12" s="38">
        <f>ROUND('paraméter számoló (4)'!B12/1000,3)</f>
        <v>1.0249999999999999</v>
      </c>
      <c r="D12" s="38">
        <f>ROUND('paraméter számoló (4)'!C12/1000,3)</f>
        <v>0.93400000000000005</v>
      </c>
      <c r="E12" s="38">
        <f>ROUND('paraméter számoló (4)'!D12/1000,3)</f>
        <v>0.84</v>
      </c>
      <c r="F12" s="38">
        <f>ROUND('paraméter számoló (4)'!E12/1000,3)</f>
        <v>0.68500000000000005</v>
      </c>
      <c r="G12" s="38">
        <f>ROUND('paraméter számoló (4)'!F12/1000,3)</f>
        <v>0.54400000000000004</v>
      </c>
      <c r="H12" s="38">
        <f>ROUND('paraméter számoló (4)'!G12/1000,3)</f>
        <v>0.34300000000000003</v>
      </c>
      <c r="I12" s="38">
        <f>ROUND('paraméter számoló (4)'!H12/1000,3)</f>
        <v>0.22600000000000001</v>
      </c>
    </row>
    <row r="13" spans="3:22">
      <c r="C13" s="38">
        <f>ROUND('paraméter számoló (4)'!B13/1000,3)</f>
        <v>1.02</v>
      </c>
      <c r="D13" s="38">
        <f>ROUND('paraméter számoló (4)'!C13/1000,3)</f>
        <v>0.93</v>
      </c>
      <c r="E13" s="38">
        <f>ROUND('paraméter számoló (4)'!D13/1000,3)</f>
        <v>0.83699999999999997</v>
      </c>
      <c r="F13" s="38">
        <f>ROUND('paraméter számoló (4)'!E13/1000,3)</f>
        <v>0.68400000000000005</v>
      </c>
      <c r="G13" s="38">
        <f>ROUND('paraméter számoló (4)'!F13/1000,3)</f>
        <v>0.54400000000000004</v>
      </c>
      <c r="H13" s="38">
        <f>ROUND('paraméter számoló (4)'!G13/1000,3)</f>
        <v>0.34399999999999997</v>
      </c>
      <c r="I13" s="38">
        <f>ROUND('paraméter számoló (4)'!H13/1000,3)</f>
        <v>0.22700000000000001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4</vt:i4>
      </vt:variant>
      <vt:variant>
        <vt:lpstr>Diagramok</vt:lpstr>
      </vt:variant>
      <vt:variant>
        <vt:i4>4</vt:i4>
      </vt:variant>
    </vt:vector>
  </HeadingPairs>
  <TitlesOfParts>
    <vt:vector size="8" baseType="lpstr">
      <vt:lpstr>paraméter számoló (2)</vt:lpstr>
      <vt:lpstr>paraméter számoló (3)</vt:lpstr>
      <vt:lpstr>paraméter számoló (4)</vt:lpstr>
      <vt:lpstr>Munka1</vt:lpstr>
      <vt:lpstr>Diagram6</vt:lpstr>
      <vt:lpstr>Diagram7</vt:lpstr>
      <vt:lpstr>Diagram8</vt:lpstr>
      <vt:lpstr>Diagram1</vt:lpstr>
    </vt:vector>
  </TitlesOfParts>
  <Company>InfoSys GmbH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</dc:creator>
  <cp:lastModifiedBy>Primusz Péter</cp:lastModifiedBy>
  <cp:lastPrinted>2009-08-11T07:56:27Z</cp:lastPrinted>
  <dcterms:created xsi:type="dcterms:W3CDTF">2006-12-02T08:57:55Z</dcterms:created>
  <dcterms:modified xsi:type="dcterms:W3CDTF">2011-03-23T16:47:51Z</dcterms:modified>
</cp:coreProperties>
</file>