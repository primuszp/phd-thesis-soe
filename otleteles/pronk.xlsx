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Munka1" sheetId="1" r:id="rId1"/>
    <sheet name="Munka2" sheetId="2" r:id="rId2"/>
    <sheet name="Munka3" sheetId="3" r:id="rId3"/>
  </sheets>
  <calcPr calcId="125725"/>
</workbook>
</file>

<file path=xl/calcChain.xml><?xml version="1.0" encoding="utf-8"?>
<calcChain xmlns="http://schemas.openxmlformats.org/spreadsheetml/2006/main">
  <c r="J10" i="1"/>
  <c r="F10"/>
  <c r="L9"/>
  <c r="I4"/>
  <c r="J4"/>
  <c r="J8" s="1"/>
  <c r="M3"/>
  <c r="H9" l="1"/>
  <c r="N3"/>
  <c r="H10"/>
  <c r="G10"/>
  <c r="G9"/>
  <c r="F9"/>
  <c r="J3"/>
  <c r="G4" s="1"/>
  <c r="H4"/>
  <c r="H3"/>
  <c r="G3"/>
  <c r="I3"/>
  <c r="J9" l="1"/>
</calcChain>
</file>

<file path=xl/sharedStrings.xml><?xml version="1.0" encoding="utf-8"?>
<sst xmlns="http://schemas.openxmlformats.org/spreadsheetml/2006/main" count="15" uniqueCount="14">
  <si>
    <t>E</t>
  </si>
  <si>
    <t>mu</t>
  </si>
  <si>
    <t>h</t>
  </si>
  <si>
    <t>-</t>
  </si>
  <si>
    <t>A</t>
  </si>
  <si>
    <t>N</t>
  </si>
  <si>
    <t>No.</t>
  </si>
  <si>
    <t>E*</t>
  </si>
  <si>
    <t>h*</t>
  </si>
  <si>
    <t>No.*</t>
  </si>
  <si>
    <t>He</t>
  </si>
  <si>
    <t>p</t>
  </si>
  <si>
    <t>a</t>
  </si>
  <si>
    <t xml:space="preserve">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</si>
</sst>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10"/>
  <sheetViews>
    <sheetView tabSelected="1" workbookViewId="0">
      <selection activeCell="G19" sqref="G19"/>
    </sheetView>
  </sheetViews>
  <sheetFormatPr defaultRowHeight="15"/>
  <cols>
    <col min="6" max="6" width="12" bestFit="1" customWidth="1"/>
    <col min="10" max="10" width="12" bestFit="1" customWidth="1"/>
    <col min="12" max="12" width="12.7109375" bestFit="1" customWidth="1"/>
    <col min="14" max="14" width="13.28515625" bestFit="1" customWidth="1"/>
  </cols>
  <sheetData>
    <row r="2" spans="1:17">
      <c r="A2" s="3" t="s">
        <v>6</v>
      </c>
      <c r="B2" s="2" t="s">
        <v>0</v>
      </c>
      <c r="C2" s="2" t="s">
        <v>1</v>
      </c>
      <c r="D2" s="2" t="s">
        <v>2</v>
      </c>
      <c r="F2" s="2" t="s">
        <v>9</v>
      </c>
      <c r="G2" s="2" t="s">
        <v>4</v>
      </c>
      <c r="H2" s="2" t="s">
        <v>5</v>
      </c>
      <c r="I2" s="2" t="s">
        <v>7</v>
      </c>
      <c r="J2" s="2" t="s">
        <v>8</v>
      </c>
      <c r="M2" s="2" t="s">
        <v>0</v>
      </c>
      <c r="N2" s="2" t="s">
        <v>10</v>
      </c>
      <c r="P2" t="s">
        <v>11</v>
      </c>
      <c r="Q2">
        <v>0.7</v>
      </c>
    </row>
    <row r="3" spans="1:17">
      <c r="A3" s="1">
        <v>1</v>
      </c>
      <c r="B3" s="1">
        <v>2000</v>
      </c>
      <c r="C3" s="1">
        <v>0.35</v>
      </c>
      <c r="D3" s="1">
        <v>0.04</v>
      </c>
      <c r="F3" s="1">
        <v>2</v>
      </c>
      <c r="G3" s="1">
        <f>ROUND(D4/D3,3)</f>
        <v>1</v>
      </c>
      <c r="H3" s="1">
        <f>ROUND(B3/B4,3)</f>
        <v>0.5</v>
      </c>
      <c r="I3" s="1">
        <f>B4</f>
        <v>4000</v>
      </c>
      <c r="J3" s="1">
        <f>ROUND(((((G3^4)+(4*H3*G3^3) + (6*H3*G3^2)+(4*G3*H3)+(H3^2))/(((G3+1)^3)*(G3+H3)))^(1/3))*(D3+D4),4)</f>
        <v>7.0599999999999996E-2</v>
      </c>
      <c r="M3">
        <f>B6</f>
        <v>100</v>
      </c>
      <c r="N3">
        <f>ROUND(J4*((I4/M3))^(1/3),2)</f>
        <v>0.62</v>
      </c>
      <c r="P3" t="s">
        <v>12</v>
      </c>
      <c r="Q3">
        <v>0.15</v>
      </c>
    </row>
    <row r="4" spans="1:17">
      <c r="A4" s="1">
        <v>2</v>
      </c>
      <c r="B4" s="1">
        <v>4000</v>
      </c>
      <c r="C4" s="1">
        <v>0.35</v>
      </c>
      <c r="D4" s="1">
        <v>0.04</v>
      </c>
      <c r="F4" s="4">
        <v>3</v>
      </c>
      <c r="G4" s="4">
        <f>ROUND(D5/J3,3)</f>
        <v>1.4159999999999999</v>
      </c>
      <c r="H4" s="4">
        <f>ROUND(I3/B5,3)</f>
        <v>0.66700000000000004</v>
      </c>
      <c r="I4" s="4">
        <f>B5</f>
        <v>6000</v>
      </c>
      <c r="J4" s="4">
        <f>ROUND(((((G4^4)+(4*H4*G4^3) + (6*H4*G4^2)+(4*G4*H4)+(H4^2))/(((G4+1)^3)*(G4+H4)))^(1/3))*(J3+D5),4)</f>
        <v>0.15909999999999999</v>
      </c>
    </row>
    <row r="5" spans="1:17">
      <c r="A5" s="1">
        <v>3</v>
      </c>
      <c r="B5" s="1">
        <v>6000</v>
      </c>
      <c r="C5" s="1">
        <v>0.35</v>
      </c>
      <c r="D5" s="1">
        <v>0.1</v>
      </c>
      <c r="F5" s="1"/>
    </row>
    <row r="6" spans="1:17">
      <c r="A6" s="1">
        <v>0</v>
      </c>
      <c r="B6" s="1">
        <v>100</v>
      </c>
      <c r="C6" s="1">
        <v>0.35</v>
      </c>
      <c r="D6" s="1" t="s">
        <v>3</v>
      </c>
    </row>
    <row r="8" spans="1:17">
      <c r="J8">
        <f>Q2*(1-(1+(Q3/J4)^2)^(-1.5))</f>
        <v>0.43035512114972763</v>
      </c>
    </row>
    <row r="9" spans="1:17">
      <c r="B9" s="1"/>
      <c r="F9">
        <f>((1+C3)*Q2)/I4</f>
        <v>1.5749999999999998E-4</v>
      </c>
      <c r="G9">
        <f>(J4/Q3)*((1+(J4/Q3)^2))^(-1.5)</f>
        <v>0.34240200199769694</v>
      </c>
      <c r="H9">
        <f>(J4/Q3)*((1+(J4/Q3)^2))^(-0.5)-1</f>
        <v>-0.27239102821619976</v>
      </c>
      <c r="J9">
        <f>F9*(G9-(1-2*C6)*H9)*1000000</f>
        <v>66.79879139785271</v>
      </c>
      <c r="L9">
        <f>((((1-C6)/(2*C6))*(J8-I4*J9*10^-6)-(C6*J8))/I4)*1000000</f>
        <v>-20.528919615710915</v>
      </c>
      <c r="P9" t="s">
        <v>13</v>
      </c>
    </row>
    <row r="10" spans="1:17">
      <c r="F10">
        <f>((1+C3)*Q2)/(2*I4)</f>
        <v>7.874999999999999E-5</v>
      </c>
      <c r="G10">
        <f>(-J4/Q3)/(SQRT(1+(J4/Q3)^2))^3</f>
        <v>-0.34240200199769688</v>
      </c>
      <c r="H10">
        <f>((J4/Q3)/(SQRT(1+(J4/Q3)^2)))-1</f>
        <v>-0.27239102821619976</v>
      </c>
      <c r="J10">
        <f>F10*(G10-(1-2*C6)*H10)*1000000</f>
        <v>-20.528919615710908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dcterms:created xsi:type="dcterms:W3CDTF">2010-08-17T12:42:33Z</dcterms:created>
  <dcterms:modified xsi:type="dcterms:W3CDTF">2010-08-17T19:28:25Z</dcterms:modified>
</cp:coreProperties>
</file>